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0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2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3.xml" ContentType="application/vnd.openxmlformats-officedocument.themeOverrid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4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5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6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7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8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9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0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1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2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3.xml" ContentType="application/vnd.openxmlformats-officedocument.themeOverrid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4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5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6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27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28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29.xml" ContentType="application/vnd.openxmlformats-officedocument.themeOverrid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drawings/drawing6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0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1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32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33.xml" ContentType="application/vnd.openxmlformats-officedocument.themeOverrid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ally\OneDrive\Pulpit\"/>
    </mc:Choice>
  </mc:AlternateContent>
  <xr:revisionPtr revIDLastSave="0" documentId="13_ncr:1_{057579DB-7A42-46C9-87C9-F6B2178AC8FA}" xr6:coauthVersionLast="47" xr6:coauthVersionMax="47" xr10:uidLastSave="{00000000-0000-0000-0000-000000000000}"/>
  <bookViews>
    <workbookView xWindow="-110" yWindow="-110" windowWidth="38620" windowHeight="21220" activeTab="2" xr2:uid="{7AAF892D-751B-4F9F-8FED-05B25B86C3FF}"/>
  </bookViews>
  <sheets>
    <sheet name="Dane Zawodników" sheetId="1" r:id="rId1"/>
    <sheet name="Dane Zespołów" sheetId="3" r:id="rId2"/>
    <sheet name="DBI główne" sheetId="8" r:id="rId3"/>
    <sheet name="DBI rzutowe" sheetId="10" r:id="rId4"/>
    <sheet name="DBI pozostałe" sheetId="12" r:id="rId5"/>
    <sheet name="DBZ główne" sheetId="13" r:id="rId6"/>
    <sheet name="DBZ drugie" sheetId="15" r:id="rId7"/>
    <sheet name="DBZ kwarty" sheetId="20" r:id="rId8"/>
    <sheet name="ZAWODNICY SUMY" sheetId="4" r:id="rId9"/>
    <sheet name="ZAWODNICY ŚREDNIE" sheetId="7" r:id="rId10"/>
    <sheet name="ZESPOŁY" sheetId="5" r:id="rId11"/>
    <sheet name="KOLEJKA 1" sheetId="16" r:id="rId12"/>
    <sheet name="KOLEJKA 2" sheetId="18" r:id="rId13"/>
    <sheet name="KOLEJKA 3" sheetId="19" r:id="rId14"/>
    <sheet name="KOLEJKA 4" sheetId="21" r:id="rId15"/>
    <sheet name="KOLEJKA 5" sheetId="22" r:id="rId16"/>
    <sheet name="katalog" sheetId="2" r:id="rId17"/>
  </sheets>
  <definedNames>
    <definedName name="Fragmentator_zespół">#N/A</definedName>
    <definedName name="Fragmentator_zespół1">#N/A</definedName>
    <definedName name="Fragmentator_zespół2">#N/A</definedName>
  </definedNames>
  <calcPr calcId="181029"/>
  <pivotCaches>
    <pivotCache cacheId="5" r:id="rId18"/>
    <pivotCache cacheId="11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78" i="7" l="1"/>
  <c r="AQ86" i="4"/>
  <c r="D192" i="1"/>
  <c r="D193" i="1"/>
  <c r="D194" i="1"/>
  <c r="G192" i="1"/>
  <c r="F192" i="1" s="1"/>
  <c r="G193" i="1"/>
  <c r="F193" i="1" s="1"/>
  <c r="G194" i="1"/>
  <c r="F194" i="1" s="1"/>
  <c r="X192" i="1"/>
  <c r="AJ192" i="1" s="1"/>
  <c r="X193" i="1"/>
  <c r="X194" i="1"/>
  <c r="AE194" i="1" s="1"/>
  <c r="AS194" i="1" s="1"/>
  <c r="Y192" i="1"/>
  <c r="Y193" i="1"/>
  <c r="Y194" i="1"/>
  <c r="Z192" i="1"/>
  <c r="Z193" i="1"/>
  <c r="Z194" i="1"/>
  <c r="AA192" i="1"/>
  <c r="AA193" i="1"/>
  <c r="AA194" i="1"/>
  <c r="AC192" i="1"/>
  <c r="AC193" i="1"/>
  <c r="AC194" i="1"/>
  <c r="AD192" i="1"/>
  <c r="AD193" i="1"/>
  <c r="AD194" i="1"/>
  <c r="AE192" i="1"/>
  <c r="AS192" i="1" s="1"/>
  <c r="AE193" i="1"/>
  <c r="AS193" i="1" s="1"/>
  <c r="AF192" i="1"/>
  <c r="AF193" i="1"/>
  <c r="AF194" i="1"/>
  <c r="AG192" i="1"/>
  <c r="AG193" i="1"/>
  <c r="AG194" i="1"/>
  <c r="AI192" i="1"/>
  <c r="AI193" i="1"/>
  <c r="AI194" i="1"/>
  <c r="AJ193" i="1"/>
  <c r="AJ194" i="1"/>
  <c r="AK192" i="1"/>
  <c r="AK193" i="1"/>
  <c r="AK194" i="1"/>
  <c r="AL192" i="1"/>
  <c r="AL193" i="1"/>
  <c r="AL194" i="1"/>
  <c r="AM192" i="1"/>
  <c r="AM193" i="1"/>
  <c r="AM194" i="1"/>
  <c r="AO192" i="1"/>
  <c r="AO193" i="1"/>
  <c r="AO194" i="1"/>
  <c r="AP192" i="1"/>
  <c r="AP193" i="1"/>
  <c r="AP194" i="1"/>
  <c r="AQ192" i="1"/>
  <c r="AR192" i="1" s="1"/>
  <c r="AQ193" i="1"/>
  <c r="AR193" i="1" s="1"/>
  <c r="AQ194" i="1"/>
  <c r="AR194" i="1" s="1"/>
  <c r="AT192" i="1"/>
  <c r="AT193" i="1"/>
  <c r="AT194" i="1"/>
  <c r="AU192" i="1"/>
  <c r="AU193" i="1"/>
  <c r="AU194" i="1"/>
  <c r="AV192" i="1"/>
  <c r="AV193" i="1"/>
  <c r="AV194" i="1"/>
  <c r="AW192" i="1"/>
  <c r="AW193" i="1"/>
  <c r="D191" i="1"/>
  <c r="G191" i="1"/>
  <c r="F191" i="1" s="1"/>
  <c r="X191" i="1"/>
  <c r="AJ191" i="1" s="1"/>
  <c r="Y191" i="1"/>
  <c r="Z191" i="1"/>
  <c r="AA191" i="1"/>
  <c r="AC191" i="1"/>
  <c r="AD191" i="1"/>
  <c r="AF191" i="1"/>
  <c r="AG191" i="1"/>
  <c r="AI191" i="1"/>
  <c r="AK191" i="1"/>
  <c r="AL191" i="1"/>
  <c r="AM191" i="1"/>
  <c r="AO191" i="1"/>
  <c r="AP191" i="1"/>
  <c r="AQ191" i="1"/>
  <c r="AR191" i="1" s="1"/>
  <c r="AT191" i="1"/>
  <c r="AU191" i="1"/>
  <c r="AV191" i="1"/>
  <c r="D183" i="1"/>
  <c r="D184" i="1"/>
  <c r="D185" i="1"/>
  <c r="D186" i="1"/>
  <c r="D187" i="1"/>
  <c r="D188" i="1"/>
  <c r="D189" i="1"/>
  <c r="D190" i="1"/>
  <c r="G183" i="1"/>
  <c r="AW183" i="1" s="1"/>
  <c r="G184" i="1"/>
  <c r="AW184" i="1" s="1"/>
  <c r="G185" i="1"/>
  <c r="AW185" i="1" s="1"/>
  <c r="G186" i="1"/>
  <c r="AW186" i="1" s="1"/>
  <c r="G187" i="1"/>
  <c r="AW187" i="1" s="1"/>
  <c r="G188" i="1"/>
  <c r="AW188" i="1" s="1"/>
  <c r="G189" i="1"/>
  <c r="AW189" i="1" s="1"/>
  <c r="G190" i="1"/>
  <c r="AW190" i="1" s="1"/>
  <c r="X183" i="1"/>
  <c r="AE183" i="1" s="1"/>
  <c r="AS183" i="1" s="1"/>
  <c r="X184" i="1"/>
  <c r="X185" i="1"/>
  <c r="AE185" i="1" s="1"/>
  <c r="AS185" i="1" s="1"/>
  <c r="X186" i="1"/>
  <c r="AE186" i="1" s="1"/>
  <c r="AS186" i="1" s="1"/>
  <c r="X187" i="1"/>
  <c r="X188" i="1"/>
  <c r="AE188" i="1" s="1"/>
  <c r="AS188" i="1" s="1"/>
  <c r="X189" i="1"/>
  <c r="AE189" i="1" s="1"/>
  <c r="AS189" i="1" s="1"/>
  <c r="X190" i="1"/>
  <c r="AE190" i="1" s="1"/>
  <c r="AS190" i="1" s="1"/>
  <c r="Y183" i="1"/>
  <c r="Y184" i="1"/>
  <c r="Y185" i="1"/>
  <c r="Y186" i="1"/>
  <c r="Y187" i="1"/>
  <c r="Y188" i="1"/>
  <c r="Y189" i="1"/>
  <c r="Y190" i="1"/>
  <c r="Z183" i="1"/>
  <c r="Z184" i="1"/>
  <c r="Z185" i="1"/>
  <c r="Z186" i="1"/>
  <c r="Z187" i="1"/>
  <c r="Z188" i="1"/>
  <c r="Z189" i="1"/>
  <c r="Z190" i="1"/>
  <c r="AA183" i="1"/>
  <c r="AA184" i="1"/>
  <c r="AA185" i="1"/>
  <c r="AA186" i="1"/>
  <c r="AA187" i="1"/>
  <c r="AA188" i="1"/>
  <c r="AA189" i="1"/>
  <c r="AA190" i="1"/>
  <c r="AC183" i="1"/>
  <c r="AC184" i="1"/>
  <c r="AC185" i="1"/>
  <c r="AC186" i="1"/>
  <c r="AC187" i="1"/>
  <c r="AC188" i="1"/>
  <c r="AC189" i="1"/>
  <c r="AC190" i="1"/>
  <c r="AD183" i="1"/>
  <c r="AD184" i="1"/>
  <c r="AD185" i="1"/>
  <c r="AD186" i="1"/>
  <c r="AD187" i="1"/>
  <c r="AD188" i="1"/>
  <c r="AD189" i="1"/>
  <c r="AD190" i="1"/>
  <c r="AE184" i="1"/>
  <c r="AS184" i="1" s="1"/>
  <c r="AE187" i="1"/>
  <c r="AS187" i="1" s="1"/>
  <c r="AF183" i="1"/>
  <c r="AF184" i="1"/>
  <c r="AF185" i="1"/>
  <c r="AF186" i="1"/>
  <c r="AF187" i="1"/>
  <c r="AF188" i="1"/>
  <c r="AF189" i="1"/>
  <c r="AF190" i="1"/>
  <c r="AG183" i="1"/>
  <c r="AG184" i="1"/>
  <c r="AG185" i="1"/>
  <c r="AG186" i="1"/>
  <c r="AG187" i="1"/>
  <c r="AG188" i="1"/>
  <c r="AG189" i="1"/>
  <c r="AG190" i="1"/>
  <c r="AI183" i="1"/>
  <c r="AI184" i="1"/>
  <c r="AI185" i="1"/>
  <c r="AI186" i="1"/>
  <c r="AI187" i="1"/>
  <c r="AI188" i="1"/>
  <c r="AI189" i="1"/>
  <c r="AI190" i="1"/>
  <c r="AJ184" i="1"/>
  <c r="AJ185" i="1"/>
  <c r="AJ186" i="1"/>
  <c r="AJ187" i="1"/>
  <c r="AJ188" i="1"/>
  <c r="AJ189" i="1"/>
  <c r="AJ190" i="1"/>
  <c r="AK183" i="1"/>
  <c r="AK184" i="1"/>
  <c r="AK185" i="1"/>
  <c r="AK186" i="1"/>
  <c r="AK187" i="1"/>
  <c r="AK188" i="1"/>
  <c r="AK189" i="1"/>
  <c r="AK190" i="1"/>
  <c r="AL183" i="1"/>
  <c r="AL184" i="1"/>
  <c r="AL185" i="1"/>
  <c r="AL186" i="1"/>
  <c r="AL187" i="1"/>
  <c r="AL188" i="1"/>
  <c r="AL189" i="1"/>
  <c r="AL190" i="1"/>
  <c r="AM183" i="1"/>
  <c r="AM184" i="1"/>
  <c r="AM185" i="1"/>
  <c r="AM186" i="1"/>
  <c r="AM187" i="1"/>
  <c r="AM188" i="1"/>
  <c r="AM189" i="1"/>
  <c r="AM190" i="1"/>
  <c r="AO183" i="1"/>
  <c r="AO184" i="1"/>
  <c r="AO185" i="1"/>
  <c r="AO186" i="1"/>
  <c r="AO187" i="1"/>
  <c r="AO188" i="1"/>
  <c r="AO189" i="1"/>
  <c r="AO190" i="1"/>
  <c r="AP183" i="1"/>
  <c r="AP184" i="1"/>
  <c r="AP185" i="1"/>
  <c r="AP186" i="1"/>
  <c r="AP187" i="1"/>
  <c r="AP188" i="1"/>
  <c r="AP189" i="1"/>
  <c r="AP190" i="1"/>
  <c r="AQ183" i="1"/>
  <c r="AR183" i="1" s="1"/>
  <c r="AQ184" i="1"/>
  <c r="AR184" i="1" s="1"/>
  <c r="AQ185" i="1"/>
  <c r="AR185" i="1" s="1"/>
  <c r="AQ186" i="1"/>
  <c r="AR186" i="1" s="1"/>
  <c r="AQ187" i="1"/>
  <c r="AR187" i="1" s="1"/>
  <c r="AQ188" i="1"/>
  <c r="AR188" i="1" s="1"/>
  <c r="AQ189" i="1"/>
  <c r="AR189" i="1" s="1"/>
  <c r="AQ190" i="1"/>
  <c r="AR190" i="1" s="1"/>
  <c r="AT183" i="1"/>
  <c r="AT184" i="1"/>
  <c r="AT185" i="1"/>
  <c r="AT186" i="1"/>
  <c r="AT187" i="1"/>
  <c r="AT188" i="1"/>
  <c r="AT189" i="1"/>
  <c r="AT190" i="1"/>
  <c r="AU183" i="1"/>
  <c r="AU184" i="1"/>
  <c r="AU185" i="1"/>
  <c r="AU186" i="1"/>
  <c r="AU187" i="1"/>
  <c r="AU188" i="1"/>
  <c r="AU189" i="1"/>
  <c r="AU190" i="1"/>
  <c r="AV183" i="1"/>
  <c r="AV184" i="1"/>
  <c r="AV185" i="1"/>
  <c r="AV186" i="1"/>
  <c r="AV187" i="1"/>
  <c r="AV188" i="1"/>
  <c r="AV189" i="1"/>
  <c r="AV190" i="1"/>
  <c r="D178" i="1"/>
  <c r="D179" i="1"/>
  <c r="D180" i="1"/>
  <c r="D181" i="1"/>
  <c r="D182" i="1"/>
  <c r="G178" i="1"/>
  <c r="F178" i="1" s="1"/>
  <c r="G179" i="1"/>
  <c r="F179" i="1" s="1"/>
  <c r="G180" i="1"/>
  <c r="F180" i="1" s="1"/>
  <c r="G181" i="1"/>
  <c r="F181" i="1" s="1"/>
  <c r="G182" i="1"/>
  <c r="F182" i="1" s="1"/>
  <c r="X178" i="1"/>
  <c r="AE178" i="1" s="1"/>
  <c r="AS178" i="1" s="1"/>
  <c r="X179" i="1"/>
  <c r="AJ179" i="1" s="1"/>
  <c r="X180" i="1"/>
  <c r="AJ180" i="1" s="1"/>
  <c r="X181" i="1"/>
  <c r="AJ181" i="1" s="1"/>
  <c r="X182" i="1"/>
  <c r="AJ182" i="1" s="1"/>
  <c r="Y178" i="1"/>
  <c r="Y179" i="1"/>
  <c r="Y180" i="1"/>
  <c r="Y181" i="1"/>
  <c r="Y182" i="1"/>
  <c r="Z178" i="1"/>
  <c r="Z179" i="1"/>
  <c r="Z180" i="1"/>
  <c r="Z181" i="1"/>
  <c r="Z182" i="1"/>
  <c r="AA178" i="1"/>
  <c r="AA179" i="1"/>
  <c r="AA180" i="1"/>
  <c r="AA181" i="1"/>
  <c r="AA182" i="1"/>
  <c r="AC178" i="1"/>
  <c r="AC179" i="1"/>
  <c r="AC180" i="1"/>
  <c r="AC181" i="1"/>
  <c r="AC182" i="1"/>
  <c r="AD178" i="1"/>
  <c r="AD179" i="1"/>
  <c r="AD180" i="1"/>
  <c r="AD181" i="1"/>
  <c r="AD182" i="1"/>
  <c r="AE180" i="1"/>
  <c r="AS180" i="1" s="1"/>
  <c r="AE181" i="1"/>
  <c r="AS181" i="1" s="1"/>
  <c r="AF178" i="1"/>
  <c r="AF179" i="1"/>
  <c r="AF180" i="1"/>
  <c r="AF181" i="1"/>
  <c r="AF182" i="1"/>
  <c r="AG178" i="1"/>
  <c r="AG179" i="1"/>
  <c r="AG180" i="1"/>
  <c r="AG181" i="1"/>
  <c r="AG182" i="1"/>
  <c r="AI178" i="1"/>
  <c r="AI179" i="1"/>
  <c r="AI180" i="1"/>
  <c r="AI181" i="1"/>
  <c r="AI182" i="1"/>
  <c r="AJ178" i="1"/>
  <c r="AK178" i="1"/>
  <c r="AK179" i="1"/>
  <c r="AK180" i="1"/>
  <c r="AK181" i="1"/>
  <c r="AK182" i="1"/>
  <c r="AL178" i="1"/>
  <c r="AL179" i="1"/>
  <c r="AL180" i="1"/>
  <c r="AL181" i="1"/>
  <c r="AL182" i="1"/>
  <c r="AM178" i="1"/>
  <c r="AM179" i="1"/>
  <c r="AM180" i="1"/>
  <c r="AM181" i="1"/>
  <c r="AM182" i="1"/>
  <c r="AO178" i="1"/>
  <c r="AO179" i="1"/>
  <c r="AO180" i="1"/>
  <c r="AO181" i="1"/>
  <c r="AO182" i="1"/>
  <c r="AP178" i="1"/>
  <c r="AP179" i="1"/>
  <c r="AP180" i="1"/>
  <c r="AP181" i="1"/>
  <c r="AP182" i="1"/>
  <c r="AQ178" i="1"/>
  <c r="AQ179" i="1"/>
  <c r="AR179" i="1" s="1"/>
  <c r="AQ180" i="1"/>
  <c r="AR180" i="1" s="1"/>
  <c r="AQ181" i="1"/>
  <c r="AR181" i="1" s="1"/>
  <c r="AQ182" i="1"/>
  <c r="AR182" i="1" s="1"/>
  <c r="AR178" i="1"/>
  <c r="AT178" i="1"/>
  <c r="AT179" i="1"/>
  <c r="AT180" i="1"/>
  <c r="AT181" i="1"/>
  <c r="AT182" i="1"/>
  <c r="AU178" i="1"/>
  <c r="AU179" i="1"/>
  <c r="AU180" i="1"/>
  <c r="AU181" i="1"/>
  <c r="AU182" i="1"/>
  <c r="AV178" i="1"/>
  <c r="AV179" i="1"/>
  <c r="AV180" i="1"/>
  <c r="AV181" i="1"/>
  <c r="AV182" i="1"/>
  <c r="AW179" i="1"/>
  <c r="AW182" i="1"/>
  <c r="D171" i="1"/>
  <c r="D172" i="1"/>
  <c r="D173" i="1"/>
  <c r="D174" i="1"/>
  <c r="D175" i="1"/>
  <c r="D176" i="1"/>
  <c r="D177" i="1"/>
  <c r="G171" i="1"/>
  <c r="F171" i="1" s="1"/>
  <c r="G172" i="1"/>
  <c r="F172" i="1" s="1"/>
  <c r="G173" i="1"/>
  <c r="F173" i="1" s="1"/>
  <c r="G174" i="1"/>
  <c r="F174" i="1" s="1"/>
  <c r="G175" i="1"/>
  <c r="F175" i="1" s="1"/>
  <c r="G176" i="1"/>
  <c r="F176" i="1" s="1"/>
  <c r="G177" i="1"/>
  <c r="F177" i="1" s="1"/>
  <c r="X171" i="1"/>
  <c r="AE171" i="1" s="1"/>
  <c r="AS171" i="1" s="1"/>
  <c r="X172" i="1"/>
  <c r="AE172" i="1" s="1"/>
  <c r="AS172" i="1" s="1"/>
  <c r="X173" i="1"/>
  <c r="AE173" i="1" s="1"/>
  <c r="AS173" i="1" s="1"/>
  <c r="X174" i="1"/>
  <c r="AE174" i="1" s="1"/>
  <c r="AS174" i="1" s="1"/>
  <c r="X175" i="1"/>
  <c r="AE175" i="1" s="1"/>
  <c r="AS175" i="1" s="1"/>
  <c r="X176" i="1"/>
  <c r="AE176" i="1" s="1"/>
  <c r="AS176" i="1" s="1"/>
  <c r="X177" i="1"/>
  <c r="AE177" i="1" s="1"/>
  <c r="AS177" i="1" s="1"/>
  <c r="Y171" i="1"/>
  <c r="Y172" i="1"/>
  <c r="Y173" i="1"/>
  <c r="Y174" i="1"/>
  <c r="Y175" i="1"/>
  <c r="Y176" i="1"/>
  <c r="Y177" i="1"/>
  <c r="Z171" i="1"/>
  <c r="Z172" i="1"/>
  <c r="Z173" i="1"/>
  <c r="Z174" i="1"/>
  <c r="Z175" i="1"/>
  <c r="Z176" i="1"/>
  <c r="Z177" i="1"/>
  <c r="AA171" i="1"/>
  <c r="AA172" i="1"/>
  <c r="AA173" i="1"/>
  <c r="AA174" i="1"/>
  <c r="AA175" i="1"/>
  <c r="AA176" i="1"/>
  <c r="AA177" i="1"/>
  <c r="AC171" i="1"/>
  <c r="AC172" i="1"/>
  <c r="AC173" i="1"/>
  <c r="AC174" i="1"/>
  <c r="AC175" i="1"/>
  <c r="AC176" i="1"/>
  <c r="AC177" i="1"/>
  <c r="AD171" i="1"/>
  <c r="AD172" i="1"/>
  <c r="AD173" i="1"/>
  <c r="AD174" i="1"/>
  <c r="AD175" i="1"/>
  <c r="AD176" i="1"/>
  <c r="AD177" i="1"/>
  <c r="AF171" i="1"/>
  <c r="AF172" i="1"/>
  <c r="AF173" i="1"/>
  <c r="AF174" i="1"/>
  <c r="AF175" i="1"/>
  <c r="AF176" i="1"/>
  <c r="AF177" i="1"/>
  <c r="AG171" i="1"/>
  <c r="AG172" i="1"/>
  <c r="AG173" i="1"/>
  <c r="AG174" i="1"/>
  <c r="AG175" i="1"/>
  <c r="AG176" i="1"/>
  <c r="AG177" i="1"/>
  <c r="AI171" i="1"/>
  <c r="AI172" i="1"/>
  <c r="AI173" i="1"/>
  <c r="AI174" i="1"/>
  <c r="AI175" i="1"/>
  <c r="AI176" i="1"/>
  <c r="AI177" i="1"/>
  <c r="AK171" i="1"/>
  <c r="AK172" i="1"/>
  <c r="AK173" i="1"/>
  <c r="AK174" i="1"/>
  <c r="AK175" i="1"/>
  <c r="AK176" i="1"/>
  <c r="AK177" i="1"/>
  <c r="AL171" i="1"/>
  <c r="AL172" i="1"/>
  <c r="AL173" i="1"/>
  <c r="AL174" i="1"/>
  <c r="AL175" i="1"/>
  <c r="AL176" i="1"/>
  <c r="AL177" i="1"/>
  <c r="AM171" i="1"/>
  <c r="AM172" i="1"/>
  <c r="AM173" i="1"/>
  <c r="AM174" i="1"/>
  <c r="AM175" i="1"/>
  <c r="AM176" i="1"/>
  <c r="AM177" i="1"/>
  <c r="AO171" i="1"/>
  <c r="AO172" i="1"/>
  <c r="AO173" i="1"/>
  <c r="AO174" i="1"/>
  <c r="AO175" i="1"/>
  <c r="AO176" i="1"/>
  <c r="AO177" i="1"/>
  <c r="AP171" i="1"/>
  <c r="AP172" i="1"/>
  <c r="AP173" i="1"/>
  <c r="AP174" i="1"/>
  <c r="AP175" i="1"/>
  <c r="AP176" i="1"/>
  <c r="AP177" i="1"/>
  <c r="AQ171" i="1"/>
  <c r="AR171" i="1" s="1"/>
  <c r="AQ172" i="1"/>
  <c r="AR172" i="1" s="1"/>
  <c r="AQ173" i="1"/>
  <c r="AR173" i="1" s="1"/>
  <c r="AQ174" i="1"/>
  <c r="AR174" i="1" s="1"/>
  <c r="AQ175" i="1"/>
  <c r="AR175" i="1" s="1"/>
  <c r="AQ176" i="1"/>
  <c r="AR176" i="1" s="1"/>
  <c r="AQ177" i="1"/>
  <c r="AR177" i="1" s="1"/>
  <c r="AT171" i="1"/>
  <c r="AT172" i="1"/>
  <c r="AT173" i="1"/>
  <c r="AT174" i="1"/>
  <c r="AT175" i="1"/>
  <c r="AT176" i="1"/>
  <c r="AT177" i="1"/>
  <c r="AU171" i="1"/>
  <c r="AU172" i="1"/>
  <c r="AU173" i="1"/>
  <c r="AU174" i="1"/>
  <c r="AU175" i="1"/>
  <c r="AU176" i="1"/>
  <c r="AU177" i="1"/>
  <c r="AV171" i="1"/>
  <c r="AV172" i="1"/>
  <c r="AV173" i="1"/>
  <c r="AV174" i="1"/>
  <c r="AV175" i="1"/>
  <c r="AV176" i="1"/>
  <c r="AV177" i="1"/>
  <c r="S32" i="22"/>
  <c r="T32" i="22" s="1"/>
  <c r="Q32" i="22"/>
  <c r="P32" i="22" s="1"/>
  <c r="L32" i="22"/>
  <c r="M32" i="22" s="1"/>
  <c r="J32" i="22"/>
  <c r="I32" i="22" s="1"/>
  <c r="E32" i="22"/>
  <c r="F32" i="22" s="1"/>
  <c r="C32" i="22"/>
  <c r="B32" i="22" s="1"/>
  <c r="S31" i="22"/>
  <c r="T31" i="22" s="1"/>
  <c r="Q31" i="22"/>
  <c r="P31" i="22" s="1"/>
  <c r="L31" i="22"/>
  <c r="M31" i="22" s="1"/>
  <c r="J31" i="22"/>
  <c r="I31" i="22" s="1"/>
  <c r="E31" i="22"/>
  <c r="F31" i="22" s="1"/>
  <c r="C31" i="22"/>
  <c r="B31" i="22" s="1"/>
  <c r="S30" i="22"/>
  <c r="T30" i="22" s="1"/>
  <c r="Q30" i="22"/>
  <c r="P30" i="22" s="1"/>
  <c r="L30" i="22"/>
  <c r="M30" i="22" s="1"/>
  <c r="J30" i="22"/>
  <c r="I30" i="22" s="1"/>
  <c r="E30" i="22"/>
  <c r="F30" i="22" s="1"/>
  <c r="C30" i="22"/>
  <c r="B30" i="22" s="1"/>
  <c r="S29" i="22"/>
  <c r="T29" i="22" s="1"/>
  <c r="Q29" i="22"/>
  <c r="P29" i="22" s="1"/>
  <c r="L29" i="22"/>
  <c r="M29" i="22" s="1"/>
  <c r="J29" i="22"/>
  <c r="I29" i="22" s="1"/>
  <c r="E29" i="22"/>
  <c r="F29" i="22" s="1"/>
  <c r="C29" i="22"/>
  <c r="B29" i="22" s="1"/>
  <c r="S28" i="22"/>
  <c r="T28" i="22" s="1"/>
  <c r="Q28" i="22"/>
  <c r="P28" i="22" s="1"/>
  <c r="L28" i="22"/>
  <c r="M28" i="22" s="1"/>
  <c r="J28" i="22"/>
  <c r="I28" i="22" s="1"/>
  <c r="E28" i="22"/>
  <c r="F28" i="22" s="1"/>
  <c r="C28" i="22"/>
  <c r="B28" i="22" s="1"/>
  <c r="S27" i="22"/>
  <c r="T27" i="22" s="1"/>
  <c r="Q27" i="22"/>
  <c r="P27" i="22" s="1"/>
  <c r="L27" i="22"/>
  <c r="M27" i="22" s="1"/>
  <c r="J27" i="22"/>
  <c r="I27" i="22" s="1"/>
  <c r="E27" i="22"/>
  <c r="F27" i="22" s="1"/>
  <c r="C27" i="22"/>
  <c r="B27" i="22" s="1"/>
  <c r="S26" i="22"/>
  <c r="T26" i="22" s="1"/>
  <c r="Q26" i="22"/>
  <c r="P26" i="22" s="1"/>
  <c r="L26" i="22"/>
  <c r="M26" i="22" s="1"/>
  <c r="J26" i="22"/>
  <c r="I26" i="22" s="1"/>
  <c r="E26" i="22"/>
  <c r="F26" i="22" s="1"/>
  <c r="C26" i="22"/>
  <c r="B26" i="22" s="1"/>
  <c r="S25" i="22"/>
  <c r="T25" i="22" s="1"/>
  <c r="Q25" i="22"/>
  <c r="P25" i="22" s="1"/>
  <c r="L25" i="22"/>
  <c r="M25" i="22" s="1"/>
  <c r="J25" i="22"/>
  <c r="I25" i="22" s="1"/>
  <c r="E25" i="22"/>
  <c r="F25" i="22" s="1"/>
  <c r="C25" i="22"/>
  <c r="B25" i="22" s="1"/>
  <c r="S24" i="22"/>
  <c r="T24" i="22" s="1"/>
  <c r="Q24" i="22"/>
  <c r="P24" i="22" s="1"/>
  <c r="L24" i="22"/>
  <c r="M24" i="22" s="1"/>
  <c r="J24" i="22"/>
  <c r="I24" i="22" s="1"/>
  <c r="E24" i="22"/>
  <c r="F24" i="22" s="1"/>
  <c r="C24" i="22"/>
  <c r="B24" i="22" s="1"/>
  <c r="S22" i="22"/>
  <c r="T22" i="22" s="1"/>
  <c r="Q22" i="22"/>
  <c r="P22" i="22" s="1"/>
  <c r="L22" i="22"/>
  <c r="M22" i="22" s="1"/>
  <c r="J22" i="22"/>
  <c r="I22" i="22" s="1"/>
  <c r="E22" i="22"/>
  <c r="F22" i="22" s="1"/>
  <c r="C22" i="22"/>
  <c r="B22" i="22" s="1"/>
  <c r="S21" i="22"/>
  <c r="T21" i="22" s="1"/>
  <c r="Q21" i="22"/>
  <c r="P21" i="22" s="1"/>
  <c r="L21" i="22"/>
  <c r="M21" i="22" s="1"/>
  <c r="J21" i="22"/>
  <c r="I21" i="22" s="1"/>
  <c r="E21" i="22"/>
  <c r="F21" i="22" s="1"/>
  <c r="C21" i="22"/>
  <c r="B21" i="22" s="1"/>
  <c r="S20" i="22"/>
  <c r="T20" i="22" s="1"/>
  <c r="Q20" i="22"/>
  <c r="P20" i="22" s="1"/>
  <c r="L20" i="22"/>
  <c r="M20" i="22" s="1"/>
  <c r="J20" i="22"/>
  <c r="I20" i="22" s="1"/>
  <c r="E20" i="22"/>
  <c r="F20" i="22" s="1"/>
  <c r="C20" i="22"/>
  <c r="B20" i="22" s="1"/>
  <c r="S19" i="22"/>
  <c r="T19" i="22" s="1"/>
  <c r="Q19" i="22"/>
  <c r="P19" i="22" s="1"/>
  <c r="L19" i="22"/>
  <c r="M19" i="22" s="1"/>
  <c r="J19" i="22"/>
  <c r="I19" i="22" s="1"/>
  <c r="E19" i="22"/>
  <c r="F19" i="22" s="1"/>
  <c r="C19" i="22"/>
  <c r="B19" i="22" s="1"/>
  <c r="S17" i="22"/>
  <c r="T17" i="22" s="1"/>
  <c r="Q17" i="22"/>
  <c r="P17" i="22" s="1"/>
  <c r="L17" i="22"/>
  <c r="M17" i="22" s="1"/>
  <c r="J17" i="22"/>
  <c r="I17" i="22" s="1"/>
  <c r="E17" i="22"/>
  <c r="F17" i="22" s="1"/>
  <c r="C17" i="22"/>
  <c r="B17" i="22" s="1"/>
  <c r="S16" i="22"/>
  <c r="T16" i="22" s="1"/>
  <c r="Q16" i="22"/>
  <c r="P16" i="22" s="1"/>
  <c r="L16" i="22"/>
  <c r="M16" i="22" s="1"/>
  <c r="J16" i="22"/>
  <c r="I16" i="22" s="1"/>
  <c r="E16" i="22"/>
  <c r="F16" i="22" s="1"/>
  <c r="C16" i="22"/>
  <c r="B16" i="22" s="1"/>
  <c r="T15" i="22"/>
  <c r="M15" i="22"/>
  <c r="F15" i="22"/>
  <c r="S14" i="22"/>
  <c r="T14" i="22" s="1"/>
  <c r="Q14" i="22"/>
  <c r="P14" i="22" s="1"/>
  <c r="L14" i="22"/>
  <c r="M14" i="22" s="1"/>
  <c r="J14" i="22"/>
  <c r="I14" i="22" s="1"/>
  <c r="E14" i="22"/>
  <c r="F14" i="22" s="1"/>
  <c r="C14" i="22"/>
  <c r="B14" i="22" s="1"/>
  <c r="S13" i="22"/>
  <c r="T13" i="22" s="1"/>
  <c r="Q13" i="22"/>
  <c r="P13" i="22" s="1"/>
  <c r="L13" i="22"/>
  <c r="M13" i="22" s="1"/>
  <c r="J13" i="22"/>
  <c r="I13" i="22" s="1"/>
  <c r="E13" i="22"/>
  <c r="F13" i="22" s="1"/>
  <c r="C13" i="22"/>
  <c r="B13" i="22" s="1"/>
  <c r="T12" i="22"/>
  <c r="M12" i="22"/>
  <c r="F12" i="22"/>
  <c r="S11" i="22"/>
  <c r="T11" i="22" s="1"/>
  <c r="Q11" i="22"/>
  <c r="P11" i="22" s="1"/>
  <c r="L11" i="22"/>
  <c r="M11" i="22" s="1"/>
  <c r="J11" i="22"/>
  <c r="I11" i="22" s="1"/>
  <c r="E11" i="22"/>
  <c r="F11" i="22" s="1"/>
  <c r="C11" i="22"/>
  <c r="B11" i="22" s="1"/>
  <c r="S10" i="22"/>
  <c r="T10" i="22" s="1"/>
  <c r="Q10" i="22"/>
  <c r="P10" i="22" s="1"/>
  <c r="L10" i="22"/>
  <c r="M10" i="22" s="1"/>
  <c r="J10" i="22"/>
  <c r="I10" i="22" s="1"/>
  <c r="E10" i="22"/>
  <c r="F10" i="22" s="1"/>
  <c r="C10" i="22"/>
  <c r="B10" i="22" s="1"/>
  <c r="T9" i="22"/>
  <c r="M9" i="22"/>
  <c r="F9" i="22"/>
  <c r="S8" i="22"/>
  <c r="T8" i="22" s="1"/>
  <c r="Q8" i="22"/>
  <c r="P8" i="22" s="1"/>
  <c r="L8" i="22"/>
  <c r="M8" i="22" s="1"/>
  <c r="J8" i="22"/>
  <c r="I8" i="22" s="1"/>
  <c r="E8" i="22"/>
  <c r="F8" i="22" s="1"/>
  <c r="C8" i="22"/>
  <c r="B8" i="22" s="1"/>
  <c r="R5" i="22"/>
  <c r="K5" i="22"/>
  <c r="D5" i="22"/>
  <c r="D161" i="1"/>
  <c r="D162" i="1"/>
  <c r="D163" i="1"/>
  <c r="D164" i="1"/>
  <c r="D165" i="1"/>
  <c r="D166" i="1"/>
  <c r="D167" i="1"/>
  <c r="D168" i="1"/>
  <c r="D169" i="1"/>
  <c r="D170" i="1"/>
  <c r="G161" i="1"/>
  <c r="F161" i="1" s="1"/>
  <c r="G162" i="1"/>
  <c r="F162" i="1" s="1"/>
  <c r="G163" i="1"/>
  <c r="F163" i="1" s="1"/>
  <c r="G164" i="1"/>
  <c r="F164" i="1" s="1"/>
  <c r="G165" i="1"/>
  <c r="F165" i="1" s="1"/>
  <c r="G166" i="1"/>
  <c r="F166" i="1" s="1"/>
  <c r="G167" i="1"/>
  <c r="F167" i="1" s="1"/>
  <c r="G168" i="1"/>
  <c r="F168" i="1" s="1"/>
  <c r="G169" i="1"/>
  <c r="F169" i="1" s="1"/>
  <c r="G170" i="1"/>
  <c r="AW170" i="1" s="1"/>
  <c r="X161" i="1"/>
  <c r="AE161" i="1" s="1"/>
  <c r="AS161" i="1" s="1"/>
  <c r="X162" i="1"/>
  <c r="AE162" i="1" s="1"/>
  <c r="AS162" i="1" s="1"/>
  <c r="X163" i="1"/>
  <c r="X164" i="1"/>
  <c r="AE164" i="1" s="1"/>
  <c r="AS164" i="1" s="1"/>
  <c r="X165" i="1"/>
  <c r="AE165" i="1" s="1"/>
  <c r="AS165" i="1" s="1"/>
  <c r="X166" i="1"/>
  <c r="AE166" i="1" s="1"/>
  <c r="AS166" i="1" s="1"/>
  <c r="X167" i="1"/>
  <c r="AE167" i="1" s="1"/>
  <c r="AS167" i="1" s="1"/>
  <c r="X168" i="1"/>
  <c r="AE168" i="1" s="1"/>
  <c r="AS168" i="1" s="1"/>
  <c r="X169" i="1"/>
  <c r="AJ169" i="1" s="1"/>
  <c r="X170" i="1"/>
  <c r="AJ170" i="1" s="1"/>
  <c r="Y161" i="1"/>
  <c r="Y162" i="1"/>
  <c r="Y163" i="1"/>
  <c r="Y164" i="1"/>
  <c r="Y165" i="1"/>
  <c r="Y166" i="1"/>
  <c r="Y167" i="1"/>
  <c r="Y168" i="1"/>
  <c r="Y169" i="1"/>
  <c r="Y170" i="1"/>
  <c r="Z161" i="1"/>
  <c r="Z162" i="1"/>
  <c r="Z163" i="1"/>
  <c r="Z164" i="1"/>
  <c r="Z165" i="1"/>
  <c r="Z166" i="1"/>
  <c r="Z167" i="1"/>
  <c r="Z168" i="1"/>
  <c r="Z169" i="1"/>
  <c r="Z170" i="1"/>
  <c r="AA161" i="1"/>
  <c r="AA162" i="1"/>
  <c r="AA163" i="1"/>
  <c r="AA164" i="1"/>
  <c r="AA165" i="1"/>
  <c r="AA166" i="1"/>
  <c r="AA167" i="1"/>
  <c r="AA168" i="1"/>
  <c r="AA169" i="1"/>
  <c r="AA170" i="1"/>
  <c r="AC161" i="1"/>
  <c r="AC162" i="1"/>
  <c r="AC163" i="1"/>
  <c r="AC164" i="1"/>
  <c r="AC165" i="1"/>
  <c r="AC166" i="1"/>
  <c r="AC167" i="1"/>
  <c r="AC168" i="1"/>
  <c r="AC169" i="1"/>
  <c r="AC170" i="1"/>
  <c r="AD161" i="1"/>
  <c r="AD162" i="1"/>
  <c r="AD163" i="1"/>
  <c r="AD164" i="1"/>
  <c r="AD165" i="1"/>
  <c r="AD166" i="1"/>
  <c r="AD167" i="1"/>
  <c r="AD168" i="1"/>
  <c r="AD169" i="1"/>
  <c r="AD170" i="1"/>
  <c r="AE163" i="1"/>
  <c r="AS163" i="1" s="1"/>
  <c r="AF161" i="1"/>
  <c r="AF162" i="1"/>
  <c r="AF163" i="1"/>
  <c r="AF164" i="1"/>
  <c r="AF165" i="1"/>
  <c r="AF166" i="1"/>
  <c r="AF167" i="1"/>
  <c r="AF168" i="1"/>
  <c r="AF169" i="1"/>
  <c r="AF170" i="1"/>
  <c r="AG161" i="1"/>
  <c r="AG162" i="1"/>
  <c r="AG163" i="1"/>
  <c r="AG164" i="1"/>
  <c r="AG165" i="1"/>
  <c r="AG166" i="1"/>
  <c r="AG167" i="1"/>
  <c r="AG168" i="1"/>
  <c r="AG169" i="1"/>
  <c r="AG170" i="1"/>
  <c r="AI161" i="1"/>
  <c r="AI162" i="1"/>
  <c r="AI163" i="1"/>
  <c r="AI164" i="1"/>
  <c r="AI165" i="1"/>
  <c r="AI166" i="1"/>
  <c r="AI167" i="1"/>
  <c r="AI168" i="1"/>
  <c r="AI169" i="1"/>
  <c r="AI170" i="1"/>
  <c r="AJ163" i="1"/>
  <c r="AJ166" i="1"/>
  <c r="AK161" i="1"/>
  <c r="AK162" i="1"/>
  <c r="AK163" i="1"/>
  <c r="AK164" i="1"/>
  <c r="AK165" i="1"/>
  <c r="AK166" i="1"/>
  <c r="AK167" i="1"/>
  <c r="AK168" i="1"/>
  <c r="AK169" i="1"/>
  <c r="AK170" i="1"/>
  <c r="AL161" i="1"/>
  <c r="AL162" i="1"/>
  <c r="AL163" i="1"/>
  <c r="AL164" i="1"/>
  <c r="AL165" i="1"/>
  <c r="AL166" i="1"/>
  <c r="AL167" i="1"/>
  <c r="AL168" i="1"/>
  <c r="AL169" i="1"/>
  <c r="AL170" i="1"/>
  <c r="AM161" i="1"/>
  <c r="AM162" i="1"/>
  <c r="AM163" i="1"/>
  <c r="AM164" i="1"/>
  <c r="AM165" i="1"/>
  <c r="AM166" i="1"/>
  <c r="AM167" i="1"/>
  <c r="AM168" i="1"/>
  <c r="AM169" i="1"/>
  <c r="AM170" i="1"/>
  <c r="AO161" i="1"/>
  <c r="AO162" i="1"/>
  <c r="AO163" i="1"/>
  <c r="AO164" i="1"/>
  <c r="AO165" i="1"/>
  <c r="AO166" i="1"/>
  <c r="AO167" i="1"/>
  <c r="AO168" i="1"/>
  <c r="AO169" i="1"/>
  <c r="AO170" i="1"/>
  <c r="AP161" i="1"/>
  <c r="AP162" i="1"/>
  <c r="AP163" i="1"/>
  <c r="AP164" i="1"/>
  <c r="AP165" i="1"/>
  <c r="AP166" i="1"/>
  <c r="AP167" i="1"/>
  <c r="AP168" i="1"/>
  <c r="AP169" i="1"/>
  <c r="AP170" i="1"/>
  <c r="AQ161" i="1"/>
  <c r="AR161" i="1" s="1"/>
  <c r="AQ162" i="1"/>
  <c r="AR162" i="1" s="1"/>
  <c r="AQ163" i="1"/>
  <c r="AR163" i="1" s="1"/>
  <c r="AQ164" i="1"/>
  <c r="AR164" i="1" s="1"/>
  <c r="AQ165" i="1"/>
  <c r="AR165" i="1" s="1"/>
  <c r="AQ166" i="1"/>
  <c r="AR166" i="1" s="1"/>
  <c r="AQ167" i="1"/>
  <c r="AR167" i="1" s="1"/>
  <c r="AQ168" i="1"/>
  <c r="AR168" i="1" s="1"/>
  <c r="AQ169" i="1"/>
  <c r="AR169" i="1" s="1"/>
  <c r="AQ170" i="1"/>
  <c r="AR170" i="1" s="1"/>
  <c r="AT161" i="1"/>
  <c r="AT162" i="1"/>
  <c r="AT163" i="1"/>
  <c r="AT164" i="1"/>
  <c r="AT165" i="1"/>
  <c r="AT166" i="1"/>
  <c r="AT167" i="1"/>
  <c r="AT168" i="1"/>
  <c r="AT169" i="1"/>
  <c r="AT170" i="1"/>
  <c r="AU161" i="1"/>
  <c r="AU162" i="1"/>
  <c r="AU163" i="1"/>
  <c r="AU164" i="1"/>
  <c r="AU165" i="1"/>
  <c r="AU166" i="1"/>
  <c r="AU167" i="1"/>
  <c r="AU168" i="1"/>
  <c r="AU169" i="1"/>
  <c r="AU170" i="1"/>
  <c r="AV161" i="1"/>
  <c r="AV162" i="1"/>
  <c r="AV163" i="1"/>
  <c r="AV164" i="1"/>
  <c r="AV165" i="1"/>
  <c r="AV166" i="1"/>
  <c r="AV167" i="1"/>
  <c r="AV168" i="1"/>
  <c r="AV169" i="1"/>
  <c r="AV170" i="1"/>
  <c r="D152" i="1"/>
  <c r="D153" i="1"/>
  <c r="D154" i="1"/>
  <c r="D155" i="1"/>
  <c r="D156" i="1"/>
  <c r="D157" i="1"/>
  <c r="D158" i="1"/>
  <c r="D159" i="1"/>
  <c r="D160" i="1"/>
  <c r="G152" i="1"/>
  <c r="F152" i="1" s="1"/>
  <c r="G153" i="1"/>
  <c r="F153" i="1" s="1"/>
  <c r="G154" i="1"/>
  <c r="F154" i="1" s="1"/>
  <c r="G155" i="1"/>
  <c r="F155" i="1" s="1"/>
  <c r="G156" i="1"/>
  <c r="AW156" i="1" s="1"/>
  <c r="G157" i="1"/>
  <c r="AW157" i="1" s="1"/>
  <c r="G158" i="1"/>
  <c r="AW158" i="1" s="1"/>
  <c r="G159" i="1"/>
  <c r="AW159" i="1" s="1"/>
  <c r="G160" i="1"/>
  <c r="AW160" i="1" s="1"/>
  <c r="X152" i="1"/>
  <c r="AJ152" i="1" s="1"/>
  <c r="X153" i="1"/>
  <c r="AJ153" i="1" s="1"/>
  <c r="X154" i="1"/>
  <c r="AJ154" i="1" s="1"/>
  <c r="X155" i="1"/>
  <c r="AJ155" i="1" s="1"/>
  <c r="X156" i="1"/>
  <c r="AJ156" i="1" s="1"/>
  <c r="X157" i="1"/>
  <c r="AE157" i="1" s="1"/>
  <c r="AS157" i="1" s="1"/>
  <c r="X158" i="1"/>
  <c r="AE158" i="1" s="1"/>
  <c r="AS158" i="1" s="1"/>
  <c r="X159" i="1"/>
  <c r="AE159" i="1" s="1"/>
  <c r="AS159" i="1" s="1"/>
  <c r="X160" i="1"/>
  <c r="Y152" i="1"/>
  <c r="Y153" i="1"/>
  <c r="Y154" i="1"/>
  <c r="Y155" i="1"/>
  <c r="Y156" i="1"/>
  <c r="Y157" i="1"/>
  <c r="Y158" i="1"/>
  <c r="Y159" i="1"/>
  <c r="Y160" i="1"/>
  <c r="Z152" i="1"/>
  <c r="Z153" i="1"/>
  <c r="Z154" i="1"/>
  <c r="Z155" i="1"/>
  <c r="Z156" i="1"/>
  <c r="Z157" i="1"/>
  <c r="Z158" i="1"/>
  <c r="Z159" i="1"/>
  <c r="Z160" i="1"/>
  <c r="AA152" i="1"/>
  <c r="AA153" i="1"/>
  <c r="AA154" i="1"/>
  <c r="AA155" i="1"/>
  <c r="AA156" i="1"/>
  <c r="AA157" i="1"/>
  <c r="AA158" i="1"/>
  <c r="AA159" i="1"/>
  <c r="AA160" i="1"/>
  <c r="AC152" i="1"/>
  <c r="AC153" i="1"/>
  <c r="AC154" i="1"/>
  <c r="AC155" i="1"/>
  <c r="AC156" i="1"/>
  <c r="AC157" i="1"/>
  <c r="AC158" i="1"/>
  <c r="AC159" i="1"/>
  <c r="AC160" i="1"/>
  <c r="AD152" i="1"/>
  <c r="AD153" i="1"/>
  <c r="AD154" i="1"/>
  <c r="AD155" i="1"/>
  <c r="AD156" i="1"/>
  <c r="AD157" i="1"/>
  <c r="AD158" i="1"/>
  <c r="AD159" i="1"/>
  <c r="AD160" i="1"/>
  <c r="AE160" i="1"/>
  <c r="AS160" i="1" s="1"/>
  <c r="AF152" i="1"/>
  <c r="AF153" i="1"/>
  <c r="AF154" i="1"/>
  <c r="AF155" i="1"/>
  <c r="AF156" i="1"/>
  <c r="AF157" i="1"/>
  <c r="AF158" i="1"/>
  <c r="AF159" i="1"/>
  <c r="AF160" i="1"/>
  <c r="AG152" i="1"/>
  <c r="AG153" i="1"/>
  <c r="AG154" i="1"/>
  <c r="AG155" i="1"/>
  <c r="AG156" i="1"/>
  <c r="AG157" i="1"/>
  <c r="AG158" i="1"/>
  <c r="AG159" i="1"/>
  <c r="AG160" i="1"/>
  <c r="AI152" i="1"/>
  <c r="AI153" i="1"/>
  <c r="AI154" i="1"/>
  <c r="AI155" i="1"/>
  <c r="AI156" i="1"/>
  <c r="AI157" i="1"/>
  <c r="AI158" i="1"/>
  <c r="AI159" i="1"/>
  <c r="AI160" i="1"/>
  <c r="AJ160" i="1"/>
  <c r="AK152" i="1"/>
  <c r="AK153" i="1"/>
  <c r="AK154" i="1"/>
  <c r="AK155" i="1"/>
  <c r="AK156" i="1"/>
  <c r="AK157" i="1"/>
  <c r="AK158" i="1"/>
  <c r="AK159" i="1"/>
  <c r="AK160" i="1"/>
  <c r="AL152" i="1"/>
  <c r="AL153" i="1"/>
  <c r="AL154" i="1"/>
  <c r="AL155" i="1"/>
  <c r="AL156" i="1"/>
  <c r="AL157" i="1"/>
  <c r="AL158" i="1"/>
  <c r="AL159" i="1"/>
  <c r="AL160" i="1"/>
  <c r="AM152" i="1"/>
  <c r="AM153" i="1"/>
  <c r="AM154" i="1"/>
  <c r="AM155" i="1"/>
  <c r="AM156" i="1"/>
  <c r="AM157" i="1"/>
  <c r="AM158" i="1"/>
  <c r="AM159" i="1"/>
  <c r="AM160" i="1"/>
  <c r="AO152" i="1"/>
  <c r="AO153" i="1"/>
  <c r="AO154" i="1"/>
  <c r="AO155" i="1"/>
  <c r="AO156" i="1"/>
  <c r="AO157" i="1"/>
  <c r="AO158" i="1"/>
  <c r="AO159" i="1"/>
  <c r="AO160" i="1"/>
  <c r="AP152" i="1"/>
  <c r="AP153" i="1"/>
  <c r="AP154" i="1"/>
  <c r="AP155" i="1"/>
  <c r="AP156" i="1"/>
  <c r="AP157" i="1"/>
  <c r="AP158" i="1"/>
  <c r="AP159" i="1"/>
  <c r="AP160" i="1"/>
  <c r="AQ152" i="1"/>
  <c r="AR152" i="1" s="1"/>
  <c r="AQ153" i="1"/>
  <c r="AR153" i="1" s="1"/>
  <c r="AQ154" i="1"/>
  <c r="AR154" i="1" s="1"/>
  <c r="AQ155" i="1"/>
  <c r="AR155" i="1" s="1"/>
  <c r="AQ156" i="1"/>
  <c r="AR156" i="1" s="1"/>
  <c r="AQ157" i="1"/>
  <c r="AR157" i="1" s="1"/>
  <c r="AQ158" i="1"/>
  <c r="AR158" i="1" s="1"/>
  <c r="AQ159" i="1"/>
  <c r="AR159" i="1" s="1"/>
  <c r="AQ160" i="1"/>
  <c r="AR160" i="1" s="1"/>
  <c r="AT152" i="1"/>
  <c r="AT153" i="1"/>
  <c r="AT154" i="1"/>
  <c r="AT155" i="1"/>
  <c r="AT156" i="1"/>
  <c r="AT157" i="1"/>
  <c r="AT158" i="1"/>
  <c r="AT159" i="1"/>
  <c r="AT160" i="1"/>
  <c r="AU152" i="1"/>
  <c r="AU153" i="1"/>
  <c r="AU154" i="1"/>
  <c r="AU155" i="1"/>
  <c r="AU156" i="1"/>
  <c r="AU157" i="1"/>
  <c r="AU158" i="1"/>
  <c r="AU159" i="1"/>
  <c r="AU160" i="1"/>
  <c r="AV152" i="1"/>
  <c r="AV153" i="1"/>
  <c r="AV154" i="1"/>
  <c r="AV155" i="1"/>
  <c r="AV156" i="1"/>
  <c r="AV157" i="1"/>
  <c r="AV158" i="1"/>
  <c r="AV159" i="1"/>
  <c r="AV160" i="1"/>
  <c r="D28" i="3"/>
  <c r="AZ28" i="3"/>
  <c r="BA28" i="3"/>
  <c r="BB28" i="3"/>
  <c r="BC28" i="3"/>
  <c r="D27" i="3"/>
  <c r="AZ27" i="3"/>
  <c r="BA27" i="3"/>
  <c r="BB27" i="3"/>
  <c r="BC27" i="3"/>
  <c r="D26" i="3"/>
  <c r="AZ26" i="3"/>
  <c r="BA26" i="3"/>
  <c r="BB26" i="3"/>
  <c r="BC26" i="3"/>
  <c r="D25" i="3"/>
  <c r="AZ25" i="3"/>
  <c r="BA25" i="3"/>
  <c r="BB25" i="3"/>
  <c r="BC25" i="3"/>
  <c r="D24" i="3"/>
  <c r="AZ24" i="3"/>
  <c r="BA24" i="3"/>
  <c r="BB24" i="3"/>
  <c r="BC24" i="3"/>
  <c r="D23" i="3"/>
  <c r="AZ23" i="3"/>
  <c r="BA23" i="3"/>
  <c r="BB23" i="3"/>
  <c r="BC23" i="3"/>
  <c r="AR77" i="7"/>
  <c r="AR76" i="7"/>
  <c r="AR75" i="7"/>
  <c r="AR74" i="7"/>
  <c r="AR73" i="7"/>
  <c r="AR72" i="7"/>
  <c r="AQ85" i="4"/>
  <c r="AQ84" i="4"/>
  <c r="AQ83" i="4"/>
  <c r="AQ82" i="4"/>
  <c r="AQ81" i="4"/>
  <c r="AQ80" i="4"/>
  <c r="D146" i="1"/>
  <c r="D147" i="1"/>
  <c r="D148" i="1"/>
  <c r="D149" i="1"/>
  <c r="D150" i="1"/>
  <c r="D151" i="1"/>
  <c r="G146" i="1"/>
  <c r="F146" i="1" s="1"/>
  <c r="G147" i="1"/>
  <c r="F147" i="1" s="1"/>
  <c r="G148" i="1"/>
  <c r="F148" i="1" s="1"/>
  <c r="G149" i="1"/>
  <c r="F149" i="1" s="1"/>
  <c r="G150" i="1"/>
  <c r="F150" i="1" s="1"/>
  <c r="G151" i="1"/>
  <c r="F151" i="1" s="1"/>
  <c r="X146" i="1"/>
  <c r="AJ146" i="1" s="1"/>
  <c r="X147" i="1"/>
  <c r="AJ147" i="1" s="1"/>
  <c r="X148" i="1"/>
  <c r="AJ148" i="1" s="1"/>
  <c r="X149" i="1"/>
  <c r="AJ149" i="1" s="1"/>
  <c r="X150" i="1"/>
  <c r="AE150" i="1" s="1"/>
  <c r="AS150" i="1" s="1"/>
  <c r="X151" i="1"/>
  <c r="AE151" i="1" s="1"/>
  <c r="AS151" i="1" s="1"/>
  <c r="Y146" i="1"/>
  <c r="Y147" i="1"/>
  <c r="Y148" i="1"/>
  <c r="Y149" i="1"/>
  <c r="Y150" i="1"/>
  <c r="Y151" i="1"/>
  <c r="Z146" i="1"/>
  <c r="Z147" i="1"/>
  <c r="Z148" i="1"/>
  <c r="Z149" i="1"/>
  <c r="Z150" i="1"/>
  <c r="Z151" i="1"/>
  <c r="AA146" i="1"/>
  <c r="AA147" i="1"/>
  <c r="AA148" i="1"/>
  <c r="AA149" i="1"/>
  <c r="AA150" i="1"/>
  <c r="AA151" i="1"/>
  <c r="AC146" i="1"/>
  <c r="AC147" i="1"/>
  <c r="AC148" i="1"/>
  <c r="AC149" i="1"/>
  <c r="AC150" i="1"/>
  <c r="AC151" i="1"/>
  <c r="AD146" i="1"/>
  <c r="AD147" i="1"/>
  <c r="AD148" i="1"/>
  <c r="AD149" i="1"/>
  <c r="AD150" i="1"/>
  <c r="AD151" i="1"/>
  <c r="AF146" i="1"/>
  <c r="AF147" i="1"/>
  <c r="AF148" i="1"/>
  <c r="AF149" i="1"/>
  <c r="AF150" i="1"/>
  <c r="AF151" i="1"/>
  <c r="AG146" i="1"/>
  <c r="AG147" i="1"/>
  <c r="AG148" i="1"/>
  <c r="AG149" i="1"/>
  <c r="AG150" i="1"/>
  <c r="AG151" i="1"/>
  <c r="AI146" i="1"/>
  <c r="AI147" i="1"/>
  <c r="AI148" i="1"/>
  <c r="AI149" i="1"/>
  <c r="AI150" i="1"/>
  <c r="AI151" i="1"/>
  <c r="AK146" i="1"/>
  <c r="AK147" i="1"/>
  <c r="AK148" i="1"/>
  <c r="AK149" i="1"/>
  <c r="AK150" i="1"/>
  <c r="AK151" i="1"/>
  <c r="AL146" i="1"/>
  <c r="AL147" i="1"/>
  <c r="AL148" i="1"/>
  <c r="AL149" i="1"/>
  <c r="AL150" i="1"/>
  <c r="AL151" i="1"/>
  <c r="AM146" i="1"/>
  <c r="AM147" i="1"/>
  <c r="AM148" i="1"/>
  <c r="AM149" i="1"/>
  <c r="AM150" i="1"/>
  <c r="AM151" i="1"/>
  <c r="AO146" i="1"/>
  <c r="AO147" i="1"/>
  <c r="AO148" i="1"/>
  <c r="AO149" i="1"/>
  <c r="AO150" i="1"/>
  <c r="AO151" i="1"/>
  <c r="AP146" i="1"/>
  <c r="AP147" i="1"/>
  <c r="AP148" i="1"/>
  <c r="AP149" i="1"/>
  <c r="AP150" i="1"/>
  <c r="AP151" i="1"/>
  <c r="AQ146" i="1"/>
  <c r="AR146" i="1" s="1"/>
  <c r="AQ147" i="1"/>
  <c r="AR147" i="1" s="1"/>
  <c r="AQ148" i="1"/>
  <c r="AR148" i="1" s="1"/>
  <c r="AQ149" i="1"/>
  <c r="AR149" i="1" s="1"/>
  <c r="AQ150" i="1"/>
  <c r="AR150" i="1" s="1"/>
  <c r="AQ151" i="1"/>
  <c r="AR151" i="1" s="1"/>
  <c r="AT146" i="1"/>
  <c r="AT147" i="1"/>
  <c r="AT148" i="1"/>
  <c r="AT149" i="1"/>
  <c r="AT150" i="1"/>
  <c r="AT151" i="1"/>
  <c r="AU146" i="1"/>
  <c r="AU147" i="1"/>
  <c r="AU148" i="1"/>
  <c r="AU149" i="1"/>
  <c r="AU150" i="1"/>
  <c r="AU151" i="1"/>
  <c r="AV146" i="1"/>
  <c r="AV147" i="1"/>
  <c r="AV148" i="1"/>
  <c r="AV149" i="1"/>
  <c r="AV150" i="1"/>
  <c r="AV151" i="1"/>
  <c r="D138" i="1"/>
  <c r="D139" i="1"/>
  <c r="D140" i="1"/>
  <c r="D141" i="1"/>
  <c r="D142" i="1"/>
  <c r="D143" i="1"/>
  <c r="D144" i="1"/>
  <c r="D145" i="1"/>
  <c r="G138" i="1"/>
  <c r="AW138" i="1" s="1"/>
  <c r="G139" i="1"/>
  <c r="AW139" i="1" s="1"/>
  <c r="G140" i="1"/>
  <c r="AW140" i="1" s="1"/>
  <c r="G141" i="1"/>
  <c r="AW141" i="1" s="1"/>
  <c r="G142" i="1"/>
  <c r="AW142" i="1" s="1"/>
  <c r="G143" i="1"/>
  <c r="AW143" i="1" s="1"/>
  <c r="G144" i="1"/>
  <c r="AW144" i="1" s="1"/>
  <c r="G145" i="1"/>
  <c r="AW145" i="1" s="1"/>
  <c r="X138" i="1"/>
  <c r="AE138" i="1" s="1"/>
  <c r="AS138" i="1" s="1"/>
  <c r="X139" i="1"/>
  <c r="AE139" i="1" s="1"/>
  <c r="AS139" i="1" s="1"/>
  <c r="X140" i="1"/>
  <c r="AE140" i="1" s="1"/>
  <c r="AS140" i="1" s="1"/>
  <c r="X141" i="1"/>
  <c r="AE141" i="1" s="1"/>
  <c r="AS141" i="1" s="1"/>
  <c r="X142" i="1"/>
  <c r="AE142" i="1" s="1"/>
  <c r="AS142" i="1" s="1"/>
  <c r="X143" i="1"/>
  <c r="AE143" i="1" s="1"/>
  <c r="AS143" i="1" s="1"/>
  <c r="X144" i="1"/>
  <c r="AJ144" i="1" s="1"/>
  <c r="X145" i="1"/>
  <c r="AE145" i="1" s="1"/>
  <c r="AS145" i="1" s="1"/>
  <c r="Y138" i="1"/>
  <c r="Y139" i="1"/>
  <c r="Y140" i="1"/>
  <c r="Y141" i="1"/>
  <c r="Y142" i="1"/>
  <c r="Y143" i="1"/>
  <c r="Y144" i="1"/>
  <c r="Y145" i="1"/>
  <c r="Z138" i="1"/>
  <c r="Z139" i="1"/>
  <c r="Z140" i="1"/>
  <c r="Z141" i="1"/>
  <c r="Z142" i="1"/>
  <c r="Z143" i="1"/>
  <c r="Z144" i="1"/>
  <c r="Z145" i="1"/>
  <c r="AA138" i="1"/>
  <c r="AA139" i="1"/>
  <c r="AA140" i="1"/>
  <c r="AA141" i="1"/>
  <c r="AA142" i="1"/>
  <c r="AA143" i="1"/>
  <c r="AA144" i="1"/>
  <c r="AA145" i="1"/>
  <c r="AC138" i="1"/>
  <c r="AC139" i="1"/>
  <c r="AC140" i="1"/>
  <c r="AC141" i="1"/>
  <c r="AC142" i="1"/>
  <c r="AC143" i="1"/>
  <c r="AC144" i="1"/>
  <c r="AC145" i="1"/>
  <c r="AD138" i="1"/>
  <c r="AD139" i="1"/>
  <c r="AD140" i="1"/>
  <c r="AD141" i="1"/>
  <c r="AD142" i="1"/>
  <c r="AD143" i="1"/>
  <c r="AD144" i="1"/>
  <c r="AD145" i="1"/>
  <c r="AF138" i="1"/>
  <c r="AF139" i="1"/>
  <c r="AF140" i="1"/>
  <c r="AF141" i="1"/>
  <c r="AF142" i="1"/>
  <c r="AF143" i="1"/>
  <c r="AF144" i="1"/>
  <c r="AF145" i="1"/>
  <c r="AG138" i="1"/>
  <c r="AG139" i="1"/>
  <c r="AG140" i="1"/>
  <c r="AG141" i="1"/>
  <c r="AG142" i="1"/>
  <c r="AG143" i="1"/>
  <c r="AG144" i="1"/>
  <c r="AG145" i="1"/>
  <c r="AI138" i="1"/>
  <c r="AI139" i="1"/>
  <c r="AI140" i="1"/>
  <c r="AI141" i="1"/>
  <c r="AI142" i="1"/>
  <c r="AI143" i="1"/>
  <c r="AI144" i="1"/>
  <c r="AI145" i="1"/>
  <c r="AK138" i="1"/>
  <c r="AK139" i="1"/>
  <c r="AK140" i="1"/>
  <c r="AK141" i="1"/>
  <c r="AK142" i="1"/>
  <c r="AK143" i="1"/>
  <c r="AK144" i="1"/>
  <c r="AK145" i="1"/>
  <c r="AL138" i="1"/>
  <c r="AL139" i="1"/>
  <c r="AL140" i="1"/>
  <c r="AL141" i="1"/>
  <c r="AL142" i="1"/>
  <c r="AL143" i="1"/>
  <c r="AL144" i="1"/>
  <c r="AL145" i="1"/>
  <c r="AM138" i="1"/>
  <c r="AM139" i="1"/>
  <c r="AM140" i="1"/>
  <c r="AM141" i="1"/>
  <c r="AM142" i="1"/>
  <c r="AM143" i="1"/>
  <c r="AM144" i="1"/>
  <c r="AM145" i="1"/>
  <c r="AO138" i="1"/>
  <c r="AO139" i="1"/>
  <c r="AO140" i="1"/>
  <c r="AO141" i="1"/>
  <c r="AO142" i="1"/>
  <c r="AO143" i="1"/>
  <c r="AO144" i="1"/>
  <c r="AO145" i="1"/>
  <c r="AP138" i="1"/>
  <c r="AP139" i="1"/>
  <c r="AP140" i="1"/>
  <c r="AP141" i="1"/>
  <c r="AP142" i="1"/>
  <c r="AP143" i="1"/>
  <c r="AP144" i="1"/>
  <c r="AP145" i="1"/>
  <c r="AQ138" i="1"/>
  <c r="AR138" i="1" s="1"/>
  <c r="AQ139" i="1"/>
  <c r="AR139" i="1" s="1"/>
  <c r="AQ140" i="1"/>
  <c r="AR140" i="1" s="1"/>
  <c r="AQ141" i="1"/>
  <c r="AR141" i="1" s="1"/>
  <c r="AQ142" i="1"/>
  <c r="AR142" i="1" s="1"/>
  <c r="AQ143" i="1"/>
  <c r="AR143" i="1" s="1"/>
  <c r="AQ144" i="1"/>
  <c r="AR144" i="1" s="1"/>
  <c r="AQ145" i="1"/>
  <c r="AR145" i="1" s="1"/>
  <c r="AT138" i="1"/>
  <c r="AT139" i="1"/>
  <c r="AT140" i="1"/>
  <c r="AT141" i="1"/>
  <c r="AT142" i="1"/>
  <c r="AT143" i="1"/>
  <c r="AT144" i="1"/>
  <c r="AT145" i="1"/>
  <c r="AU138" i="1"/>
  <c r="AU139" i="1"/>
  <c r="AU140" i="1"/>
  <c r="AU141" i="1"/>
  <c r="AU142" i="1"/>
  <c r="AU143" i="1"/>
  <c r="AU144" i="1"/>
  <c r="AU145" i="1"/>
  <c r="AV138" i="1"/>
  <c r="AV139" i="1"/>
  <c r="AV140" i="1"/>
  <c r="AV141" i="1"/>
  <c r="AV142" i="1"/>
  <c r="AV143" i="1"/>
  <c r="AV144" i="1"/>
  <c r="AV145" i="1"/>
  <c r="D128" i="1"/>
  <c r="D129" i="1"/>
  <c r="D130" i="1"/>
  <c r="D131" i="1"/>
  <c r="D132" i="1"/>
  <c r="D133" i="1"/>
  <c r="D134" i="1"/>
  <c r="D135" i="1"/>
  <c r="D136" i="1"/>
  <c r="D137" i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AW137" i="1" s="1"/>
  <c r="X128" i="1"/>
  <c r="AE128" i="1" s="1"/>
  <c r="AS128" i="1" s="1"/>
  <c r="X129" i="1"/>
  <c r="AE129" i="1" s="1"/>
  <c r="AS129" i="1" s="1"/>
  <c r="X130" i="1"/>
  <c r="AJ130" i="1" s="1"/>
  <c r="X131" i="1"/>
  <c r="AE131" i="1" s="1"/>
  <c r="AS131" i="1" s="1"/>
  <c r="X132" i="1"/>
  <c r="AJ132" i="1" s="1"/>
  <c r="X133" i="1"/>
  <c r="AE133" i="1" s="1"/>
  <c r="AS133" i="1" s="1"/>
  <c r="X134" i="1"/>
  <c r="AJ134" i="1" s="1"/>
  <c r="X135" i="1"/>
  <c r="AJ135" i="1" s="1"/>
  <c r="X136" i="1"/>
  <c r="AE136" i="1" s="1"/>
  <c r="AS136" i="1" s="1"/>
  <c r="X137" i="1"/>
  <c r="AE137" i="1" s="1"/>
  <c r="AS137" i="1" s="1"/>
  <c r="Y128" i="1"/>
  <c r="Y129" i="1"/>
  <c r="Y130" i="1"/>
  <c r="Y131" i="1"/>
  <c r="Y132" i="1"/>
  <c r="Y133" i="1"/>
  <c r="Y134" i="1"/>
  <c r="Y135" i="1"/>
  <c r="Y136" i="1"/>
  <c r="Y137" i="1"/>
  <c r="Z128" i="1"/>
  <c r="Z129" i="1"/>
  <c r="Z130" i="1"/>
  <c r="Z131" i="1"/>
  <c r="Z132" i="1"/>
  <c r="Z133" i="1"/>
  <c r="Z134" i="1"/>
  <c r="Z135" i="1"/>
  <c r="Z136" i="1"/>
  <c r="Z137" i="1"/>
  <c r="AA128" i="1"/>
  <c r="AA129" i="1"/>
  <c r="AA130" i="1"/>
  <c r="AA131" i="1"/>
  <c r="AA132" i="1"/>
  <c r="AA133" i="1"/>
  <c r="AA134" i="1"/>
  <c r="AA135" i="1"/>
  <c r="AA136" i="1"/>
  <c r="AA137" i="1"/>
  <c r="AC128" i="1"/>
  <c r="AC129" i="1"/>
  <c r="AC130" i="1"/>
  <c r="AC131" i="1"/>
  <c r="AC132" i="1"/>
  <c r="AC133" i="1"/>
  <c r="AC134" i="1"/>
  <c r="AC135" i="1"/>
  <c r="AC136" i="1"/>
  <c r="AC137" i="1"/>
  <c r="AD128" i="1"/>
  <c r="AD129" i="1"/>
  <c r="AD130" i="1"/>
  <c r="AD131" i="1"/>
  <c r="AD132" i="1"/>
  <c r="AD133" i="1"/>
  <c r="AD134" i="1"/>
  <c r="AD135" i="1"/>
  <c r="AD136" i="1"/>
  <c r="AD137" i="1"/>
  <c r="AF128" i="1"/>
  <c r="AF129" i="1"/>
  <c r="AF130" i="1"/>
  <c r="AF131" i="1"/>
  <c r="AF132" i="1"/>
  <c r="AF133" i="1"/>
  <c r="AF134" i="1"/>
  <c r="AF135" i="1"/>
  <c r="AF136" i="1"/>
  <c r="AF137" i="1"/>
  <c r="AG128" i="1"/>
  <c r="AG129" i="1"/>
  <c r="AG130" i="1"/>
  <c r="AG131" i="1"/>
  <c r="AG132" i="1"/>
  <c r="AG133" i="1"/>
  <c r="AG134" i="1"/>
  <c r="AG135" i="1"/>
  <c r="AG136" i="1"/>
  <c r="AG137" i="1"/>
  <c r="AI128" i="1"/>
  <c r="AI129" i="1"/>
  <c r="AI130" i="1"/>
  <c r="AI131" i="1"/>
  <c r="AI132" i="1"/>
  <c r="AI133" i="1"/>
  <c r="AI134" i="1"/>
  <c r="AI135" i="1"/>
  <c r="AI136" i="1"/>
  <c r="AI137" i="1"/>
  <c r="AK128" i="1"/>
  <c r="AK129" i="1"/>
  <c r="AK130" i="1"/>
  <c r="AK131" i="1"/>
  <c r="AK132" i="1"/>
  <c r="AK133" i="1"/>
  <c r="AK134" i="1"/>
  <c r="AK135" i="1"/>
  <c r="AK136" i="1"/>
  <c r="AK137" i="1"/>
  <c r="AL128" i="1"/>
  <c r="AL129" i="1"/>
  <c r="AL130" i="1"/>
  <c r="AL131" i="1"/>
  <c r="AL132" i="1"/>
  <c r="AL133" i="1"/>
  <c r="AL134" i="1"/>
  <c r="AL135" i="1"/>
  <c r="AL136" i="1"/>
  <c r="AL137" i="1"/>
  <c r="AM128" i="1"/>
  <c r="AM129" i="1"/>
  <c r="AM130" i="1"/>
  <c r="AM131" i="1"/>
  <c r="AM132" i="1"/>
  <c r="AM133" i="1"/>
  <c r="AM134" i="1"/>
  <c r="AM135" i="1"/>
  <c r="AM136" i="1"/>
  <c r="AM137" i="1"/>
  <c r="AO128" i="1"/>
  <c r="AO129" i="1"/>
  <c r="AO130" i="1"/>
  <c r="AO131" i="1"/>
  <c r="AO132" i="1"/>
  <c r="AO133" i="1"/>
  <c r="AO134" i="1"/>
  <c r="AO135" i="1"/>
  <c r="AO136" i="1"/>
  <c r="AO137" i="1"/>
  <c r="AP128" i="1"/>
  <c r="AP129" i="1"/>
  <c r="AP130" i="1"/>
  <c r="AP131" i="1"/>
  <c r="AP132" i="1"/>
  <c r="AP133" i="1"/>
  <c r="AP134" i="1"/>
  <c r="AP135" i="1"/>
  <c r="AP136" i="1"/>
  <c r="AP137" i="1"/>
  <c r="AQ128" i="1"/>
  <c r="AR128" i="1" s="1"/>
  <c r="AQ129" i="1"/>
  <c r="AR129" i="1" s="1"/>
  <c r="AQ130" i="1"/>
  <c r="AR130" i="1" s="1"/>
  <c r="AQ131" i="1"/>
  <c r="AR131" i="1" s="1"/>
  <c r="AQ132" i="1"/>
  <c r="AR132" i="1" s="1"/>
  <c r="AQ133" i="1"/>
  <c r="AR133" i="1" s="1"/>
  <c r="AQ134" i="1"/>
  <c r="AR134" i="1" s="1"/>
  <c r="AQ135" i="1"/>
  <c r="AR135" i="1" s="1"/>
  <c r="AQ136" i="1"/>
  <c r="AR136" i="1" s="1"/>
  <c r="AQ137" i="1"/>
  <c r="AR137" i="1" s="1"/>
  <c r="AT128" i="1"/>
  <c r="AT129" i="1"/>
  <c r="AT130" i="1"/>
  <c r="AT131" i="1"/>
  <c r="AT132" i="1"/>
  <c r="AT133" i="1"/>
  <c r="AT134" i="1"/>
  <c r="AT135" i="1"/>
  <c r="AT136" i="1"/>
  <c r="AT137" i="1"/>
  <c r="AU128" i="1"/>
  <c r="AU129" i="1"/>
  <c r="AU130" i="1"/>
  <c r="AU131" i="1"/>
  <c r="AU132" i="1"/>
  <c r="AU133" i="1"/>
  <c r="AU134" i="1"/>
  <c r="AU135" i="1"/>
  <c r="AU136" i="1"/>
  <c r="AU137" i="1"/>
  <c r="AV128" i="1"/>
  <c r="AV129" i="1"/>
  <c r="AV130" i="1"/>
  <c r="AV131" i="1"/>
  <c r="AV132" i="1"/>
  <c r="AV133" i="1"/>
  <c r="AV134" i="1"/>
  <c r="AV135" i="1"/>
  <c r="AV136" i="1"/>
  <c r="AV137" i="1"/>
  <c r="D121" i="1"/>
  <c r="D122" i="1"/>
  <c r="D123" i="1"/>
  <c r="D124" i="1"/>
  <c r="D125" i="1"/>
  <c r="D126" i="1"/>
  <c r="D127" i="1"/>
  <c r="G121" i="1"/>
  <c r="AW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X121" i="1"/>
  <c r="AE121" i="1" s="1"/>
  <c r="AS121" i="1" s="1"/>
  <c r="X122" i="1"/>
  <c r="AE122" i="1" s="1"/>
  <c r="AS122" i="1" s="1"/>
  <c r="X123" i="1"/>
  <c r="AE123" i="1" s="1"/>
  <c r="AS123" i="1" s="1"/>
  <c r="X124" i="1"/>
  <c r="AE124" i="1" s="1"/>
  <c r="AS124" i="1" s="1"/>
  <c r="X125" i="1"/>
  <c r="AE125" i="1" s="1"/>
  <c r="AS125" i="1" s="1"/>
  <c r="X126" i="1"/>
  <c r="AE126" i="1" s="1"/>
  <c r="AS126" i="1" s="1"/>
  <c r="X127" i="1"/>
  <c r="AE127" i="1" s="1"/>
  <c r="AS127" i="1" s="1"/>
  <c r="Y121" i="1"/>
  <c r="Y122" i="1"/>
  <c r="Y123" i="1"/>
  <c r="Y124" i="1"/>
  <c r="Y125" i="1"/>
  <c r="Y126" i="1"/>
  <c r="Y127" i="1"/>
  <c r="Z121" i="1"/>
  <c r="Z122" i="1"/>
  <c r="Z123" i="1"/>
  <c r="Z124" i="1"/>
  <c r="Z125" i="1"/>
  <c r="Z126" i="1"/>
  <c r="Z127" i="1"/>
  <c r="AA121" i="1"/>
  <c r="AA122" i="1"/>
  <c r="AA123" i="1"/>
  <c r="AA124" i="1"/>
  <c r="AA125" i="1"/>
  <c r="AA126" i="1"/>
  <c r="AA127" i="1"/>
  <c r="AC121" i="1"/>
  <c r="AC122" i="1"/>
  <c r="AC123" i="1"/>
  <c r="AC124" i="1"/>
  <c r="AC125" i="1"/>
  <c r="AC126" i="1"/>
  <c r="AC127" i="1"/>
  <c r="AD121" i="1"/>
  <c r="AD122" i="1"/>
  <c r="AD123" i="1"/>
  <c r="AD124" i="1"/>
  <c r="AD125" i="1"/>
  <c r="AD126" i="1"/>
  <c r="AD127" i="1"/>
  <c r="AF121" i="1"/>
  <c r="AF122" i="1"/>
  <c r="AF123" i="1"/>
  <c r="AF124" i="1"/>
  <c r="AF125" i="1"/>
  <c r="AF126" i="1"/>
  <c r="AF127" i="1"/>
  <c r="AG121" i="1"/>
  <c r="AG122" i="1"/>
  <c r="AG123" i="1"/>
  <c r="AG124" i="1"/>
  <c r="AG125" i="1"/>
  <c r="AG126" i="1"/>
  <c r="AG127" i="1"/>
  <c r="AI121" i="1"/>
  <c r="AI122" i="1"/>
  <c r="AI123" i="1"/>
  <c r="AI124" i="1"/>
  <c r="AI125" i="1"/>
  <c r="AI126" i="1"/>
  <c r="AI127" i="1"/>
  <c r="AK121" i="1"/>
  <c r="AK122" i="1"/>
  <c r="AK123" i="1"/>
  <c r="AK124" i="1"/>
  <c r="AK125" i="1"/>
  <c r="AK126" i="1"/>
  <c r="AK127" i="1"/>
  <c r="AL121" i="1"/>
  <c r="AL122" i="1"/>
  <c r="AL123" i="1"/>
  <c r="AL124" i="1"/>
  <c r="AL125" i="1"/>
  <c r="AL126" i="1"/>
  <c r="AL127" i="1"/>
  <c r="AM121" i="1"/>
  <c r="AM122" i="1"/>
  <c r="AM123" i="1"/>
  <c r="AM124" i="1"/>
  <c r="AM125" i="1"/>
  <c r="AM126" i="1"/>
  <c r="AM127" i="1"/>
  <c r="AO121" i="1"/>
  <c r="AO122" i="1"/>
  <c r="AO123" i="1"/>
  <c r="AO124" i="1"/>
  <c r="AO125" i="1"/>
  <c r="AO126" i="1"/>
  <c r="AO127" i="1"/>
  <c r="AP121" i="1"/>
  <c r="AP122" i="1"/>
  <c r="AP123" i="1"/>
  <c r="AP124" i="1"/>
  <c r="AP125" i="1"/>
  <c r="AP126" i="1"/>
  <c r="AP127" i="1"/>
  <c r="AQ121" i="1"/>
  <c r="AR121" i="1" s="1"/>
  <c r="AQ122" i="1"/>
  <c r="AR122" i="1" s="1"/>
  <c r="AQ123" i="1"/>
  <c r="AR123" i="1" s="1"/>
  <c r="AQ124" i="1"/>
  <c r="AR124" i="1" s="1"/>
  <c r="AQ125" i="1"/>
  <c r="AR125" i="1" s="1"/>
  <c r="AQ126" i="1"/>
  <c r="AR126" i="1" s="1"/>
  <c r="AQ127" i="1"/>
  <c r="AR127" i="1" s="1"/>
  <c r="AT121" i="1"/>
  <c r="AT122" i="1"/>
  <c r="AT123" i="1"/>
  <c r="AT124" i="1"/>
  <c r="AT125" i="1"/>
  <c r="AT126" i="1"/>
  <c r="AT127" i="1"/>
  <c r="AU121" i="1"/>
  <c r="AU122" i="1"/>
  <c r="AU123" i="1"/>
  <c r="AU124" i="1"/>
  <c r="AU125" i="1"/>
  <c r="AU126" i="1"/>
  <c r="AU127" i="1"/>
  <c r="AV121" i="1"/>
  <c r="AV122" i="1"/>
  <c r="AV123" i="1"/>
  <c r="AV124" i="1"/>
  <c r="AV125" i="1"/>
  <c r="AV126" i="1"/>
  <c r="AV127" i="1"/>
  <c r="D113" i="1"/>
  <c r="D114" i="1"/>
  <c r="D115" i="1"/>
  <c r="D116" i="1"/>
  <c r="D117" i="1"/>
  <c r="D118" i="1"/>
  <c r="D119" i="1"/>
  <c r="D120" i="1"/>
  <c r="G113" i="1"/>
  <c r="AW113" i="1" s="1"/>
  <c r="G114" i="1"/>
  <c r="AW114" i="1" s="1"/>
  <c r="G115" i="1"/>
  <c r="F115" i="1" s="1"/>
  <c r="G116" i="1"/>
  <c r="AW116" i="1" s="1"/>
  <c r="G117" i="1"/>
  <c r="AW117" i="1" s="1"/>
  <c r="G118" i="1"/>
  <c r="AW118" i="1" s="1"/>
  <c r="G119" i="1"/>
  <c r="F119" i="1" s="1"/>
  <c r="G120" i="1"/>
  <c r="AW120" i="1" s="1"/>
  <c r="X113" i="1"/>
  <c r="AE113" i="1" s="1"/>
  <c r="AS113" i="1" s="1"/>
  <c r="X114" i="1"/>
  <c r="AE114" i="1" s="1"/>
  <c r="AS114" i="1" s="1"/>
  <c r="X115" i="1"/>
  <c r="AE115" i="1" s="1"/>
  <c r="AS115" i="1" s="1"/>
  <c r="X116" i="1"/>
  <c r="AE116" i="1" s="1"/>
  <c r="X117" i="1"/>
  <c r="AE117" i="1" s="1"/>
  <c r="AS117" i="1" s="1"/>
  <c r="X118" i="1"/>
  <c r="AJ118" i="1" s="1"/>
  <c r="X119" i="1"/>
  <c r="AE119" i="1" s="1"/>
  <c r="AS119" i="1" s="1"/>
  <c r="X120" i="1"/>
  <c r="AE120" i="1" s="1"/>
  <c r="AS120" i="1" s="1"/>
  <c r="Y113" i="1"/>
  <c r="Y114" i="1"/>
  <c r="Y115" i="1"/>
  <c r="Y116" i="1"/>
  <c r="Y117" i="1"/>
  <c r="Y118" i="1"/>
  <c r="Y119" i="1"/>
  <c r="Y120" i="1"/>
  <c r="Z113" i="1"/>
  <c r="Z114" i="1"/>
  <c r="Z115" i="1"/>
  <c r="Z116" i="1"/>
  <c r="Z117" i="1"/>
  <c r="Z118" i="1"/>
  <c r="Z119" i="1"/>
  <c r="Z120" i="1"/>
  <c r="AA113" i="1"/>
  <c r="AA114" i="1"/>
  <c r="AA115" i="1"/>
  <c r="AA116" i="1"/>
  <c r="AA117" i="1"/>
  <c r="AA118" i="1"/>
  <c r="AA119" i="1"/>
  <c r="AA120" i="1"/>
  <c r="AC113" i="1"/>
  <c r="AC114" i="1"/>
  <c r="AC115" i="1"/>
  <c r="AC116" i="1"/>
  <c r="AC117" i="1"/>
  <c r="AC118" i="1"/>
  <c r="AC119" i="1"/>
  <c r="AC120" i="1"/>
  <c r="AD113" i="1"/>
  <c r="AD114" i="1"/>
  <c r="AD115" i="1"/>
  <c r="AD116" i="1"/>
  <c r="AD117" i="1"/>
  <c r="AD118" i="1"/>
  <c r="AD119" i="1"/>
  <c r="AD120" i="1"/>
  <c r="AF113" i="1"/>
  <c r="AF114" i="1"/>
  <c r="AF115" i="1"/>
  <c r="AF116" i="1"/>
  <c r="AF117" i="1"/>
  <c r="AF118" i="1"/>
  <c r="AF119" i="1"/>
  <c r="AF120" i="1"/>
  <c r="AG113" i="1"/>
  <c r="AG114" i="1"/>
  <c r="AG115" i="1"/>
  <c r="AG116" i="1"/>
  <c r="AG117" i="1"/>
  <c r="AG118" i="1"/>
  <c r="AG119" i="1"/>
  <c r="AG120" i="1"/>
  <c r="AI113" i="1"/>
  <c r="AI114" i="1"/>
  <c r="AI115" i="1"/>
  <c r="AI116" i="1"/>
  <c r="AI117" i="1"/>
  <c r="AI118" i="1"/>
  <c r="AI119" i="1"/>
  <c r="AI120" i="1"/>
  <c r="AK113" i="1"/>
  <c r="AK114" i="1"/>
  <c r="AK115" i="1"/>
  <c r="AK116" i="1"/>
  <c r="AK117" i="1"/>
  <c r="AK118" i="1"/>
  <c r="AK119" i="1"/>
  <c r="AK120" i="1"/>
  <c r="AL113" i="1"/>
  <c r="AL114" i="1"/>
  <c r="AL115" i="1"/>
  <c r="AL116" i="1"/>
  <c r="AL117" i="1"/>
  <c r="AL118" i="1"/>
  <c r="AL119" i="1"/>
  <c r="AL120" i="1"/>
  <c r="AM113" i="1"/>
  <c r="AM114" i="1"/>
  <c r="AM115" i="1"/>
  <c r="AM116" i="1"/>
  <c r="AM117" i="1"/>
  <c r="AM118" i="1"/>
  <c r="AM119" i="1"/>
  <c r="AM120" i="1"/>
  <c r="AO113" i="1"/>
  <c r="AO114" i="1"/>
  <c r="AO115" i="1"/>
  <c r="AO116" i="1"/>
  <c r="AO117" i="1"/>
  <c r="AO118" i="1"/>
  <c r="AO119" i="1"/>
  <c r="AO120" i="1"/>
  <c r="AP113" i="1"/>
  <c r="AP114" i="1"/>
  <c r="AP115" i="1"/>
  <c r="AP116" i="1"/>
  <c r="AP117" i="1"/>
  <c r="AP118" i="1"/>
  <c r="AP119" i="1"/>
  <c r="AP120" i="1"/>
  <c r="AQ113" i="1"/>
  <c r="AR113" i="1" s="1"/>
  <c r="AQ114" i="1"/>
  <c r="AR114" i="1" s="1"/>
  <c r="AQ115" i="1"/>
  <c r="AR115" i="1" s="1"/>
  <c r="AQ116" i="1"/>
  <c r="AR116" i="1" s="1"/>
  <c r="AQ117" i="1"/>
  <c r="AR117" i="1" s="1"/>
  <c r="AQ118" i="1"/>
  <c r="AR118" i="1" s="1"/>
  <c r="AQ119" i="1"/>
  <c r="AR119" i="1" s="1"/>
  <c r="AQ120" i="1"/>
  <c r="AR120" i="1" s="1"/>
  <c r="AT113" i="1"/>
  <c r="AT114" i="1"/>
  <c r="AT115" i="1"/>
  <c r="AT116" i="1"/>
  <c r="AT117" i="1"/>
  <c r="AT118" i="1"/>
  <c r="AT119" i="1"/>
  <c r="AT120" i="1"/>
  <c r="AU113" i="1"/>
  <c r="AU114" i="1"/>
  <c r="AU115" i="1"/>
  <c r="AU116" i="1"/>
  <c r="AU117" i="1"/>
  <c r="AU118" i="1"/>
  <c r="AU119" i="1"/>
  <c r="AU120" i="1"/>
  <c r="AV113" i="1"/>
  <c r="AV114" i="1"/>
  <c r="AV115" i="1"/>
  <c r="AV116" i="1"/>
  <c r="AV117" i="1"/>
  <c r="AV118" i="1"/>
  <c r="AV119" i="1"/>
  <c r="AV120" i="1"/>
  <c r="AQ6" i="1"/>
  <c r="AR6" i="1" s="1"/>
  <c r="D104" i="1"/>
  <c r="D105" i="1"/>
  <c r="D106" i="1"/>
  <c r="D107" i="1"/>
  <c r="D108" i="1"/>
  <c r="D109" i="1"/>
  <c r="D110" i="1"/>
  <c r="D111" i="1"/>
  <c r="D112" i="1"/>
  <c r="G104" i="1"/>
  <c r="F104" i="1" s="1"/>
  <c r="G105" i="1"/>
  <c r="F105" i="1" s="1"/>
  <c r="G106" i="1"/>
  <c r="F106" i="1" s="1"/>
  <c r="G107" i="1"/>
  <c r="F107" i="1" s="1"/>
  <c r="G108" i="1"/>
  <c r="AW108" i="1" s="1"/>
  <c r="G109" i="1"/>
  <c r="AW109" i="1" s="1"/>
  <c r="G110" i="1"/>
  <c r="AW110" i="1" s="1"/>
  <c r="G111" i="1"/>
  <c r="AW111" i="1" s="1"/>
  <c r="G112" i="1"/>
  <c r="AW112" i="1" s="1"/>
  <c r="X104" i="1"/>
  <c r="AJ104" i="1" s="1"/>
  <c r="X105" i="1"/>
  <c r="AJ105" i="1" s="1"/>
  <c r="X106" i="1"/>
  <c r="AJ106" i="1" s="1"/>
  <c r="X107" i="1"/>
  <c r="AJ107" i="1" s="1"/>
  <c r="X108" i="1"/>
  <c r="AJ108" i="1" s="1"/>
  <c r="X109" i="1"/>
  <c r="AE109" i="1" s="1"/>
  <c r="AS109" i="1" s="1"/>
  <c r="X110" i="1"/>
  <c r="AE110" i="1" s="1"/>
  <c r="AS110" i="1" s="1"/>
  <c r="X111" i="1"/>
  <c r="AE111" i="1" s="1"/>
  <c r="AS111" i="1" s="1"/>
  <c r="X112" i="1"/>
  <c r="AE112" i="1" s="1"/>
  <c r="AS112" i="1" s="1"/>
  <c r="Y104" i="1"/>
  <c r="Y105" i="1"/>
  <c r="Y106" i="1"/>
  <c r="Y107" i="1"/>
  <c r="Y108" i="1"/>
  <c r="Y109" i="1"/>
  <c r="Y110" i="1"/>
  <c r="Y111" i="1"/>
  <c r="Y112" i="1"/>
  <c r="Z104" i="1"/>
  <c r="Z105" i="1"/>
  <c r="Z106" i="1"/>
  <c r="Z107" i="1"/>
  <c r="Z108" i="1"/>
  <c r="Z109" i="1"/>
  <c r="Z110" i="1"/>
  <c r="Z111" i="1"/>
  <c r="Z112" i="1"/>
  <c r="AA104" i="1"/>
  <c r="AA105" i="1"/>
  <c r="AA106" i="1"/>
  <c r="AA107" i="1"/>
  <c r="AA108" i="1"/>
  <c r="AA109" i="1"/>
  <c r="AA110" i="1"/>
  <c r="AA111" i="1"/>
  <c r="AA112" i="1"/>
  <c r="AC104" i="1"/>
  <c r="AC105" i="1"/>
  <c r="AC106" i="1"/>
  <c r="AC107" i="1"/>
  <c r="AC108" i="1"/>
  <c r="AC109" i="1"/>
  <c r="AC110" i="1"/>
  <c r="AC111" i="1"/>
  <c r="AC112" i="1"/>
  <c r="AD104" i="1"/>
  <c r="AD105" i="1"/>
  <c r="AD106" i="1"/>
  <c r="AD107" i="1"/>
  <c r="AD108" i="1"/>
  <c r="AD109" i="1"/>
  <c r="AD110" i="1"/>
  <c r="AD111" i="1"/>
  <c r="AD112" i="1"/>
  <c r="AF104" i="1"/>
  <c r="AF105" i="1"/>
  <c r="AF106" i="1"/>
  <c r="AF107" i="1"/>
  <c r="AF108" i="1"/>
  <c r="AF109" i="1"/>
  <c r="AF110" i="1"/>
  <c r="AF111" i="1"/>
  <c r="AF112" i="1"/>
  <c r="AG104" i="1"/>
  <c r="AG105" i="1"/>
  <c r="AG106" i="1"/>
  <c r="AG107" i="1"/>
  <c r="AG108" i="1"/>
  <c r="AG109" i="1"/>
  <c r="AG110" i="1"/>
  <c r="AG111" i="1"/>
  <c r="AG112" i="1"/>
  <c r="AI104" i="1"/>
  <c r="AI105" i="1"/>
  <c r="AI106" i="1"/>
  <c r="AI107" i="1"/>
  <c r="AI108" i="1"/>
  <c r="AI109" i="1"/>
  <c r="AI110" i="1"/>
  <c r="AI111" i="1"/>
  <c r="AI112" i="1"/>
  <c r="AK104" i="1"/>
  <c r="AK105" i="1"/>
  <c r="AK106" i="1"/>
  <c r="AK107" i="1"/>
  <c r="AK108" i="1"/>
  <c r="AK109" i="1"/>
  <c r="AK110" i="1"/>
  <c r="AK111" i="1"/>
  <c r="AK112" i="1"/>
  <c r="AL104" i="1"/>
  <c r="AL105" i="1"/>
  <c r="AL106" i="1"/>
  <c r="AL107" i="1"/>
  <c r="AL108" i="1"/>
  <c r="AL109" i="1"/>
  <c r="AL110" i="1"/>
  <c r="AL111" i="1"/>
  <c r="AL112" i="1"/>
  <c r="AM104" i="1"/>
  <c r="AM105" i="1"/>
  <c r="AM106" i="1"/>
  <c r="AM107" i="1"/>
  <c r="AM108" i="1"/>
  <c r="AM109" i="1"/>
  <c r="AM110" i="1"/>
  <c r="AM111" i="1"/>
  <c r="AM112" i="1"/>
  <c r="AO104" i="1"/>
  <c r="AO105" i="1"/>
  <c r="AO106" i="1"/>
  <c r="AO107" i="1"/>
  <c r="AO108" i="1"/>
  <c r="AO109" i="1"/>
  <c r="AO110" i="1"/>
  <c r="AO111" i="1"/>
  <c r="AO112" i="1"/>
  <c r="AP104" i="1"/>
  <c r="AP105" i="1"/>
  <c r="AP106" i="1"/>
  <c r="AP107" i="1"/>
  <c r="AP108" i="1"/>
  <c r="AP109" i="1"/>
  <c r="AP110" i="1"/>
  <c r="AP111" i="1"/>
  <c r="AP112" i="1"/>
  <c r="AQ104" i="1"/>
  <c r="AR104" i="1" s="1"/>
  <c r="AQ105" i="1"/>
  <c r="AR105" i="1" s="1"/>
  <c r="AQ106" i="1"/>
  <c r="AR106" i="1" s="1"/>
  <c r="AQ107" i="1"/>
  <c r="AR107" i="1" s="1"/>
  <c r="AQ108" i="1"/>
  <c r="AR108" i="1" s="1"/>
  <c r="AQ109" i="1"/>
  <c r="AR109" i="1" s="1"/>
  <c r="AQ110" i="1"/>
  <c r="AR110" i="1" s="1"/>
  <c r="AQ111" i="1"/>
  <c r="AR111" i="1" s="1"/>
  <c r="AQ112" i="1"/>
  <c r="AR112" i="1" s="1"/>
  <c r="AT104" i="1"/>
  <c r="AT105" i="1"/>
  <c r="AT106" i="1"/>
  <c r="AT107" i="1"/>
  <c r="AT108" i="1"/>
  <c r="AT109" i="1"/>
  <c r="AT110" i="1"/>
  <c r="AT111" i="1"/>
  <c r="AT112" i="1"/>
  <c r="AU104" i="1"/>
  <c r="AU105" i="1"/>
  <c r="AU106" i="1"/>
  <c r="AU107" i="1"/>
  <c r="AU108" i="1"/>
  <c r="AU109" i="1"/>
  <c r="AU110" i="1"/>
  <c r="AU111" i="1"/>
  <c r="AU112" i="1"/>
  <c r="AV104" i="1"/>
  <c r="AV105" i="1"/>
  <c r="AV106" i="1"/>
  <c r="AV107" i="1"/>
  <c r="AV108" i="1"/>
  <c r="AV109" i="1"/>
  <c r="AV110" i="1"/>
  <c r="AV111" i="1"/>
  <c r="AV112" i="1"/>
  <c r="T15" i="21"/>
  <c r="M15" i="21"/>
  <c r="F15" i="21"/>
  <c r="T12" i="21"/>
  <c r="M12" i="21"/>
  <c r="F12" i="21"/>
  <c r="T9" i="21"/>
  <c r="M9" i="21"/>
  <c r="F9" i="21"/>
  <c r="R5" i="21"/>
  <c r="K5" i="21"/>
  <c r="D5" i="21"/>
  <c r="D22" i="3"/>
  <c r="AZ22" i="3"/>
  <c r="BA22" i="3"/>
  <c r="BB22" i="3"/>
  <c r="BC22" i="3"/>
  <c r="D21" i="3"/>
  <c r="AZ21" i="3"/>
  <c r="BA21" i="3"/>
  <c r="BB21" i="3"/>
  <c r="BC21" i="3"/>
  <c r="D20" i="3"/>
  <c r="AZ20" i="3"/>
  <c r="BA20" i="3"/>
  <c r="BB20" i="3"/>
  <c r="BC20" i="3"/>
  <c r="D19" i="3"/>
  <c r="AZ19" i="3"/>
  <c r="BA19" i="3"/>
  <c r="BB19" i="3"/>
  <c r="BC19" i="3"/>
  <c r="D18" i="3"/>
  <c r="AZ18" i="3"/>
  <c r="BA18" i="3"/>
  <c r="BB18" i="3"/>
  <c r="BC18" i="3"/>
  <c r="D17" i="3"/>
  <c r="AZ17" i="3"/>
  <c r="BA17" i="3"/>
  <c r="BB17" i="3"/>
  <c r="BC17" i="3"/>
  <c r="AX5" i="5"/>
  <c r="AX6" i="5"/>
  <c r="AX7" i="5"/>
  <c r="AX8" i="5"/>
  <c r="AX9" i="5"/>
  <c r="AX10" i="5"/>
  <c r="AW5" i="5"/>
  <c r="AW6" i="5"/>
  <c r="AW7" i="5"/>
  <c r="AW8" i="5"/>
  <c r="AW9" i="5"/>
  <c r="AW10" i="5"/>
  <c r="AV5" i="5"/>
  <c r="AV6" i="5"/>
  <c r="AV7" i="5"/>
  <c r="AV8" i="5"/>
  <c r="AV9" i="5"/>
  <c r="AV10" i="5"/>
  <c r="AU5" i="5"/>
  <c r="AU6" i="5"/>
  <c r="AU7" i="5"/>
  <c r="AU8" i="5"/>
  <c r="AU9" i="5"/>
  <c r="AU10" i="5"/>
  <c r="BC5" i="3"/>
  <c r="BC6" i="3"/>
  <c r="BC7" i="3"/>
  <c r="BC8" i="3"/>
  <c r="BC9" i="3"/>
  <c r="BC10" i="3"/>
  <c r="BC11" i="3"/>
  <c r="BC12" i="3"/>
  <c r="BC13" i="3"/>
  <c r="BC14" i="3"/>
  <c r="BC15" i="3"/>
  <c r="BC16" i="3"/>
  <c r="BB5" i="3"/>
  <c r="BB6" i="3"/>
  <c r="BB7" i="3"/>
  <c r="BB8" i="3"/>
  <c r="BB9" i="3"/>
  <c r="BB10" i="3"/>
  <c r="BB11" i="3"/>
  <c r="BB12" i="3"/>
  <c r="BB13" i="3"/>
  <c r="BB14" i="3"/>
  <c r="BB15" i="3"/>
  <c r="BB16" i="3"/>
  <c r="BA5" i="3"/>
  <c r="BA6" i="3"/>
  <c r="BA7" i="3"/>
  <c r="BA8" i="3"/>
  <c r="BA9" i="3"/>
  <c r="BA10" i="3"/>
  <c r="BA11" i="3"/>
  <c r="BA12" i="3"/>
  <c r="BA13" i="3"/>
  <c r="BA14" i="3"/>
  <c r="BA15" i="3"/>
  <c r="BA16" i="3"/>
  <c r="AZ5" i="3"/>
  <c r="AZ6" i="3"/>
  <c r="AZ7" i="3"/>
  <c r="AZ8" i="3"/>
  <c r="AZ9" i="3"/>
  <c r="AZ10" i="3"/>
  <c r="AZ11" i="3"/>
  <c r="AZ12" i="3"/>
  <c r="AZ13" i="3"/>
  <c r="AZ14" i="3"/>
  <c r="AZ15" i="3"/>
  <c r="AZ16" i="3"/>
  <c r="D95" i="1"/>
  <c r="AH172" i="1" s="1"/>
  <c r="D96" i="1"/>
  <c r="D97" i="1"/>
  <c r="D98" i="1"/>
  <c r="D99" i="1"/>
  <c r="D100" i="1"/>
  <c r="D101" i="1"/>
  <c r="D102" i="1"/>
  <c r="D103" i="1"/>
  <c r="G95" i="1"/>
  <c r="F95" i="1" s="1"/>
  <c r="G96" i="1"/>
  <c r="F96" i="1" s="1"/>
  <c r="G97" i="1"/>
  <c r="F97" i="1" s="1"/>
  <c r="G98" i="1"/>
  <c r="F98" i="1" s="1"/>
  <c r="G99" i="1"/>
  <c r="AW99" i="1" s="1"/>
  <c r="G100" i="1"/>
  <c r="AW100" i="1" s="1"/>
  <c r="G101" i="1"/>
  <c r="AW101" i="1" s="1"/>
  <c r="G102" i="1"/>
  <c r="AW102" i="1" s="1"/>
  <c r="G103" i="1"/>
  <c r="AW103" i="1" s="1"/>
  <c r="X95" i="1"/>
  <c r="AJ95" i="1" s="1"/>
  <c r="X96" i="1"/>
  <c r="AJ96" i="1" s="1"/>
  <c r="X97" i="1"/>
  <c r="AJ97" i="1" s="1"/>
  <c r="X98" i="1"/>
  <c r="AJ98" i="1" s="1"/>
  <c r="X99" i="1"/>
  <c r="AJ99" i="1" s="1"/>
  <c r="X100" i="1"/>
  <c r="AJ100" i="1" s="1"/>
  <c r="X101" i="1"/>
  <c r="AJ101" i="1" s="1"/>
  <c r="X102" i="1"/>
  <c r="AJ102" i="1" s="1"/>
  <c r="X103" i="1"/>
  <c r="AJ103" i="1" s="1"/>
  <c r="Y95" i="1"/>
  <c r="Y96" i="1"/>
  <c r="Y97" i="1"/>
  <c r="Y98" i="1"/>
  <c r="Y99" i="1"/>
  <c r="Y100" i="1"/>
  <c r="Y101" i="1"/>
  <c r="Y102" i="1"/>
  <c r="Y103" i="1"/>
  <c r="Z95" i="1"/>
  <c r="Z96" i="1"/>
  <c r="Z97" i="1"/>
  <c r="Z98" i="1"/>
  <c r="Z99" i="1"/>
  <c r="Z100" i="1"/>
  <c r="Z101" i="1"/>
  <c r="Z102" i="1"/>
  <c r="Z103" i="1"/>
  <c r="AA95" i="1"/>
  <c r="AA96" i="1"/>
  <c r="AA97" i="1"/>
  <c r="AA98" i="1"/>
  <c r="AA99" i="1"/>
  <c r="AA100" i="1"/>
  <c r="AA101" i="1"/>
  <c r="AA102" i="1"/>
  <c r="AA103" i="1"/>
  <c r="AC95" i="1"/>
  <c r="AC96" i="1"/>
  <c r="AC97" i="1"/>
  <c r="AC98" i="1"/>
  <c r="AC99" i="1"/>
  <c r="AC100" i="1"/>
  <c r="AC101" i="1"/>
  <c r="AC102" i="1"/>
  <c r="AC103" i="1"/>
  <c r="AD95" i="1"/>
  <c r="AD96" i="1"/>
  <c r="AD97" i="1"/>
  <c r="AD98" i="1"/>
  <c r="AD99" i="1"/>
  <c r="AD100" i="1"/>
  <c r="AD101" i="1"/>
  <c r="AD102" i="1"/>
  <c r="AD103" i="1"/>
  <c r="AF95" i="1"/>
  <c r="AF96" i="1"/>
  <c r="AF97" i="1"/>
  <c r="AF98" i="1"/>
  <c r="AF99" i="1"/>
  <c r="AF100" i="1"/>
  <c r="AF101" i="1"/>
  <c r="AF102" i="1"/>
  <c r="AF103" i="1"/>
  <c r="AG95" i="1"/>
  <c r="AG96" i="1"/>
  <c r="AG97" i="1"/>
  <c r="AG98" i="1"/>
  <c r="AG99" i="1"/>
  <c r="AG100" i="1"/>
  <c r="AG101" i="1"/>
  <c r="AG102" i="1"/>
  <c r="AG103" i="1"/>
  <c r="AI95" i="1"/>
  <c r="AI96" i="1"/>
  <c r="AI97" i="1"/>
  <c r="AI98" i="1"/>
  <c r="AI99" i="1"/>
  <c r="AI100" i="1"/>
  <c r="AI101" i="1"/>
  <c r="AI102" i="1"/>
  <c r="AI103" i="1"/>
  <c r="AK95" i="1"/>
  <c r="AK96" i="1"/>
  <c r="AK97" i="1"/>
  <c r="AK98" i="1"/>
  <c r="AK99" i="1"/>
  <c r="AK100" i="1"/>
  <c r="AK101" i="1"/>
  <c r="AK102" i="1"/>
  <c r="AK103" i="1"/>
  <c r="AL95" i="1"/>
  <c r="AL96" i="1"/>
  <c r="AL97" i="1"/>
  <c r="AL98" i="1"/>
  <c r="AL99" i="1"/>
  <c r="AL100" i="1"/>
  <c r="AL101" i="1"/>
  <c r="AL102" i="1"/>
  <c r="AL103" i="1"/>
  <c r="AM95" i="1"/>
  <c r="AM96" i="1"/>
  <c r="AM97" i="1"/>
  <c r="AM98" i="1"/>
  <c r="AM99" i="1"/>
  <c r="AM100" i="1"/>
  <c r="AM101" i="1"/>
  <c r="AM102" i="1"/>
  <c r="AM103" i="1"/>
  <c r="AO95" i="1"/>
  <c r="AO96" i="1"/>
  <c r="AO97" i="1"/>
  <c r="AO98" i="1"/>
  <c r="AO99" i="1"/>
  <c r="AO100" i="1"/>
  <c r="AO101" i="1"/>
  <c r="AO102" i="1"/>
  <c r="AO103" i="1"/>
  <c r="AP95" i="1"/>
  <c r="AP96" i="1"/>
  <c r="AP97" i="1"/>
  <c r="AP98" i="1"/>
  <c r="AP99" i="1"/>
  <c r="AP100" i="1"/>
  <c r="AP101" i="1"/>
  <c r="AP102" i="1"/>
  <c r="AP103" i="1"/>
  <c r="AQ95" i="1"/>
  <c r="AR95" i="1" s="1"/>
  <c r="AQ96" i="1"/>
  <c r="AR96" i="1" s="1"/>
  <c r="AQ97" i="1"/>
  <c r="AR97" i="1" s="1"/>
  <c r="AQ98" i="1"/>
  <c r="AR98" i="1" s="1"/>
  <c r="AQ99" i="1"/>
  <c r="AR99" i="1" s="1"/>
  <c r="AQ100" i="1"/>
  <c r="AR100" i="1" s="1"/>
  <c r="AQ101" i="1"/>
  <c r="AR101" i="1" s="1"/>
  <c r="AQ102" i="1"/>
  <c r="AR102" i="1" s="1"/>
  <c r="AQ103" i="1"/>
  <c r="AR103" i="1" s="1"/>
  <c r="AT95" i="1"/>
  <c r="AT96" i="1"/>
  <c r="AT97" i="1"/>
  <c r="AT98" i="1"/>
  <c r="AT99" i="1"/>
  <c r="AT100" i="1"/>
  <c r="AT101" i="1"/>
  <c r="AT102" i="1"/>
  <c r="AT103" i="1"/>
  <c r="AU95" i="1"/>
  <c r="AU96" i="1"/>
  <c r="AU97" i="1"/>
  <c r="AU98" i="1"/>
  <c r="AU99" i="1"/>
  <c r="AU100" i="1"/>
  <c r="AU101" i="1"/>
  <c r="AU102" i="1"/>
  <c r="AU103" i="1"/>
  <c r="AV95" i="1"/>
  <c r="AV96" i="1"/>
  <c r="AV97" i="1"/>
  <c r="AV98" i="1"/>
  <c r="AV99" i="1"/>
  <c r="AV100" i="1"/>
  <c r="AV101" i="1"/>
  <c r="AV102" i="1"/>
  <c r="AV103" i="1"/>
  <c r="D85" i="1"/>
  <c r="D86" i="1"/>
  <c r="D87" i="1"/>
  <c r="D88" i="1"/>
  <c r="D89" i="1"/>
  <c r="D90" i="1"/>
  <c r="D91" i="1"/>
  <c r="D92" i="1"/>
  <c r="D93" i="1"/>
  <c r="D94" i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X85" i="1"/>
  <c r="AE85" i="1" s="1"/>
  <c r="AS85" i="1" s="1"/>
  <c r="X86" i="1"/>
  <c r="AE86" i="1" s="1"/>
  <c r="AS86" i="1" s="1"/>
  <c r="X87" i="1"/>
  <c r="AE87" i="1" s="1"/>
  <c r="AS87" i="1" s="1"/>
  <c r="X88" i="1"/>
  <c r="AE88" i="1" s="1"/>
  <c r="AS88" i="1" s="1"/>
  <c r="X89" i="1"/>
  <c r="AE89" i="1" s="1"/>
  <c r="AS89" i="1" s="1"/>
  <c r="X90" i="1"/>
  <c r="AE90" i="1" s="1"/>
  <c r="AS90" i="1" s="1"/>
  <c r="X91" i="1"/>
  <c r="AJ91" i="1" s="1"/>
  <c r="X92" i="1"/>
  <c r="AE92" i="1" s="1"/>
  <c r="AS92" i="1" s="1"/>
  <c r="X93" i="1"/>
  <c r="AE93" i="1" s="1"/>
  <c r="AS93" i="1" s="1"/>
  <c r="X94" i="1"/>
  <c r="AE94" i="1" s="1"/>
  <c r="AS94" i="1" s="1"/>
  <c r="Y85" i="1"/>
  <c r="Y86" i="1"/>
  <c r="Y87" i="1"/>
  <c r="Y88" i="1"/>
  <c r="Y89" i="1"/>
  <c r="Y90" i="1"/>
  <c r="Y91" i="1"/>
  <c r="Y92" i="1"/>
  <c r="Y93" i="1"/>
  <c r="Y94" i="1"/>
  <c r="Z85" i="1"/>
  <c r="Z86" i="1"/>
  <c r="Z87" i="1"/>
  <c r="Z88" i="1"/>
  <c r="Z89" i="1"/>
  <c r="Z90" i="1"/>
  <c r="Z91" i="1"/>
  <c r="Z92" i="1"/>
  <c r="Z93" i="1"/>
  <c r="Z94" i="1"/>
  <c r="AA85" i="1"/>
  <c r="AA86" i="1"/>
  <c r="AA87" i="1"/>
  <c r="AA88" i="1"/>
  <c r="AA89" i="1"/>
  <c r="AA90" i="1"/>
  <c r="AA91" i="1"/>
  <c r="AA92" i="1"/>
  <c r="AA93" i="1"/>
  <c r="AA94" i="1"/>
  <c r="AC85" i="1"/>
  <c r="AC86" i="1"/>
  <c r="AC87" i="1"/>
  <c r="AC88" i="1"/>
  <c r="AC89" i="1"/>
  <c r="AC90" i="1"/>
  <c r="AC91" i="1"/>
  <c r="AC92" i="1"/>
  <c r="AC93" i="1"/>
  <c r="AC94" i="1"/>
  <c r="AD85" i="1"/>
  <c r="AD86" i="1"/>
  <c r="AD87" i="1"/>
  <c r="AD88" i="1"/>
  <c r="AD89" i="1"/>
  <c r="AD90" i="1"/>
  <c r="AD91" i="1"/>
  <c r="AD92" i="1"/>
  <c r="AD93" i="1"/>
  <c r="AD94" i="1"/>
  <c r="AE91" i="1"/>
  <c r="AS91" i="1" s="1"/>
  <c r="AF85" i="1"/>
  <c r="AF86" i="1"/>
  <c r="AF87" i="1"/>
  <c r="AF88" i="1"/>
  <c r="AF89" i="1"/>
  <c r="AF90" i="1"/>
  <c r="AF91" i="1"/>
  <c r="AF92" i="1"/>
  <c r="AF93" i="1"/>
  <c r="AF94" i="1"/>
  <c r="AG85" i="1"/>
  <c r="AG86" i="1"/>
  <c r="AG87" i="1"/>
  <c r="AG88" i="1"/>
  <c r="AG89" i="1"/>
  <c r="AG90" i="1"/>
  <c r="AG91" i="1"/>
  <c r="AG92" i="1"/>
  <c r="AG93" i="1"/>
  <c r="AG94" i="1"/>
  <c r="AI85" i="1"/>
  <c r="AI86" i="1"/>
  <c r="AI87" i="1"/>
  <c r="AI88" i="1"/>
  <c r="AI89" i="1"/>
  <c r="AI90" i="1"/>
  <c r="AI91" i="1"/>
  <c r="AI92" i="1"/>
  <c r="AI93" i="1"/>
  <c r="AI94" i="1"/>
  <c r="AK85" i="1"/>
  <c r="AK86" i="1"/>
  <c r="AK87" i="1"/>
  <c r="AK88" i="1"/>
  <c r="AK89" i="1"/>
  <c r="AK90" i="1"/>
  <c r="AK91" i="1"/>
  <c r="AK92" i="1"/>
  <c r="AK93" i="1"/>
  <c r="AK94" i="1"/>
  <c r="AL85" i="1"/>
  <c r="AL86" i="1"/>
  <c r="AL87" i="1"/>
  <c r="AL88" i="1"/>
  <c r="AL89" i="1"/>
  <c r="AL90" i="1"/>
  <c r="AL91" i="1"/>
  <c r="AL92" i="1"/>
  <c r="AL93" i="1"/>
  <c r="AL94" i="1"/>
  <c r="AM85" i="1"/>
  <c r="AM86" i="1"/>
  <c r="AM87" i="1"/>
  <c r="AM88" i="1"/>
  <c r="AM89" i="1"/>
  <c r="AM90" i="1"/>
  <c r="AM91" i="1"/>
  <c r="AM92" i="1"/>
  <c r="AM93" i="1"/>
  <c r="AM94" i="1"/>
  <c r="AO85" i="1"/>
  <c r="AO86" i="1"/>
  <c r="AO87" i="1"/>
  <c r="AO88" i="1"/>
  <c r="AO89" i="1"/>
  <c r="AO90" i="1"/>
  <c r="AO91" i="1"/>
  <c r="AO92" i="1"/>
  <c r="AO93" i="1"/>
  <c r="AO94" i="1"/>
  <c r="AP85" i="1"/>
  <c r="AP86" i="1"/>
  <c r="AP87" i="1"/>
  <c r="AP88" i="1"/>
  <c r="AP89" i="1"/>
  <c r="AP90" i="1"/>
  <c r="AP91" i="1"/>
  <c r="AP92" i="1"/>
  <c r="AP93" i="1"/>
  <c r="AP94" i="1"/>
  <c r="AQ85" i="1"/>
  <c r="AR85" i="1" s="1"/>
  <c r="AQ86" i="1"/>
  <c r="AR86" i="1" s="1"/>
  <c r="AQ87" i="1"/>
  <c r="AR87" i="1" s="1"/>
  <c r="AQ88" i="1"/>
  <c r="AR88" i="1" s="1"/>
  <c r="AQ89" i="1"/>
  <c r="AR89" i="1" s="1"/>
  <c r="AQ90" i="1"/>
  <c r="AR90" i="1" s="1"/>
  <c r="AQ91" i="1"/>
  <c r="AR91" i="1" s="1"/>
  <c r="AQ92" i="1"/>
  <c r="AR92" i="1" s="1"/>
  <c r="AQ93" i="1"/>
  <c r="AR93" i="1" s="1"/>
  <c r="AQ94" i="1"/>
  <c r="AR94" i="1" s="1"/>
  <c r="AT85" i="1"/>
  <c r="AT86" i="1"/>
  <c r="AT87" i="1"/>
  <c r="AT88" i="1"/>
  <c r="AT89" i="1"/>
  <c r="AT90" i="1"/>
  <c r="AT91" i="1"/>
  <c r="AT92" i="1"/>
  <c r="AT93" i="1"/>
  <c r="AT94" i="1"/>
  <c r="AU85" i="1"/>
  <c r="AU86" i="1"/>
  <c r="AU87" i="1"/>
  <c r="AU88" i="1"/>
  <c r="AU89" i="1"/>
  <c r="AU90" i="1"/>
  <c r="AU91" i="1"/>
  <c r="AU92" i="1"/>
  <c r="AU93" i="1"/>
  <c r="AU94" i="1"/>
  <c r="AV85" i="1"/>
  <c r="AV86" i="1"/>
  <c r="AV87" i="1"/>
  <c r="AV88" i="1"/>
  <c r="AV89" i="1"/>
  <c r="AV90" i="1"/>
  <c r="AV91" i="1"/>
  <c r="AV92" i="1"/>
  <c r="AV93" i="1"/>
  <c r="AV94" i="1"/>
  <c r="D77" i="1"/>
  <c r="D78" i="1"/>
  <c r="D79" i="1"/>
  <c r="D80" i="1"/>
  <c r="D81" i="1"/>
  <c r="D82" i="1"/>
  <c r="D83" i="1"/>
  <c r="D84" i="1"/>
  <c r="G77" i="1"/>
  <c r="AW77" i="1" s="1"/>
  <c r="G78" i="1"/>
  <c r="AW78" i="1" s="1"/>
  <c r="G79" i="1"/>
  <c r="AW79" i="1" s="1"/>
  <c r="G80" i="1"/>
  <c r="AW80" i="1" s="1"/>
  <c r="G81" i="1"/>
  <c r="AW81" i="1" s="1"/>
  <c r="G82" i="1"/>
  <c r="AW82" i="1" s="1"/>
  <c r="G83" i="1"/>
  <c r="AW83" i="1" s="1"/>
  <c r="G84" i="1"/>
  <c r="AW84" i="1" s="1"/>
  <c r="X77" i="1"/>
  <c r="AE77" i="1" s="1"/>
  <c r="AS77" i="1" s="1"/>
  <c r="X78" i="1"/>
  <c r="AE78" i="1" s="1"/>
  <c r="AS78" i="1" s="1"/>
  <c r="X79" i="1"/>
  <c r="AE79" i="1" s="1"/>
  <c r="AS79" i="1" s="1"/>
  <c r="X80" i="1"/>
  <c r="AE80" i="1" s="1"/>
  <c r="AS80" i="1" s="1"/>
  <c r="X81" i="1"/>
  <c r="AJ81" i="1" s="1"/>
  <c r="X82" i="1"/>
  <c r="AE82" i="1" s="1"/>
  <c r="AS82" i="1" s="1"/>
  <c r="X83" i="1"/>
  <c r="AE83" i="1" s="1"/>
  <c r="AS83" i="1" s="1"/>
  <c r="X84" i="1"/>
  <c r="AE84" i="1" s="1"/>
  <c r="AS84" i="1" s="1"/>
  <c r="Y77" i="1"/>
  <c r="Y78" i="1"/>
  <c r="Y79" i="1"/>
  <c r="Y80" i="1"/>
  <c r="Y81" i="1"/>
  <c r="Y82" i="1"/>
  <c r="Y83" i="1"/>
  <c r="Y84" i="1"/>
  <c r="Z77" i="1"/>
  <c r="Z78" i="1"/>
  <c r="Z79" i="1"/>
  <c r="Z80" i="1"/>
  <c r="Z81" i="1"/>
  <c r="Z82" i="1"/>
  <c r="Z83" i="1"/>
  <c r="Z84" i="1"/>
  <c r="AA77" i="1"/>
  <c r="AA78" i="1"/>
  <c r="AA79" i="1"/>
  <c r="AA80" i="1"/>
  <c r="AA81" i="1"/>
  <c r="AA82" i="1"/>
  <c r="AA83" i="1"/>
  <c r="AA84" i="1"/>
  <c r="AC77" i="1"/>
  <c r="AC78" i="1"/>
  <c r="AC79" i="1"/>
  <c r="AC80" i="1"/>
  <c r="AC81" i="1"/>
  <c r="AC82" i="1"/>
  <c r="AC83" i="1"/>
  <c r="AC84" i="1"/>
  <c r="AD77" i="1"/>
  <c r="AD78" i="1"/>
  <c r="AD79" i="1"/>
  <c r="AD80" i="1"/>
  <c r="AD81" i="1"/>
  <c r="AD82" i="1"/>
  <c r="AD83" i="1"/>
  <c r="AD84" i="1"/>
  <c r="AF77" i="1"/>
  <c r="AF78" i="1"/>
  <c r="AF79" i="1"/>
  <c r="AF80" i="1"/>
  <c r="AF81" i="1"/>
  <c r="AF82" i="1"/>
  <c r="AF83" i="1"/>
  <c r="AF84" i="1"/>
  <c r="AG77" i="1"/>
  <c r="AG78" i="1"/>
  <c r="AG79" i="1"/>
  <c r="AG80" i="1"/>
  <c r="AG81" i="1"/>
  <c r="AG82" i="1"/>
  <c r="AG83" i="1"/>
  <c r="AG84" i="1"/>
  <c r="AI77" i="1"/>
  <c r="AI78" i="1"/>
  <c r="AI79" i="1"/>
  <c r="AI80" i="1"/>
  <c r="AI81" i="1"/>
  <c r="AI82" i="1"/>
  <c r="AI83" i="1"/>
  <c r="AI84" i="1"/>
  <c r="AK77" i="1"/>
  <c r="AK78" i="1"/>
  <c r="AK79" i="1"/>
  <c r="AK80" i="1"/>
  <c r="AK81" i="1"/>
  <c r="AK82" i="1"/>
  <c r="AK83" i="1"/>
  <c r="AK84" i="1"/>
  <c r="AL77" i="1"/>
  <c r="AL78" i="1"/>
  <c r="AL79" i="1"/>
  <c r="AL80" i="1"/>
  <c r="AL81" i="1"/>
  <c r="AL82" i="1"/>
  <c r="AL83" i="1"/>
  <c r="AL84" i="1"/>
  <c r="AM77" i="1"/>
  <c r="AM78" i="1"/>
  <c r="AM79" i="1"/>
  <c r="AM80" i="1"/>
  <c r="AM81" i="1"/>
  <c r="AM82" i="1"/>
  <c r="AM83" i="1"/>
  <c r="AM84" i="1"/>
  <c r="AO77" i="1"/>
  <c r="AO78" i="1"/>
  <c r="AO79" i="1"/>
  <c r="AO80" i="1"/>
  <c r="AO81" i="1"/>
  <c r="AO82" i="1"/>
  <c r="AO83" i="1"/>
  <c r="AO84" i="1"/>
  <c r="AP77" i="1"/>
  <c r="AP78" i="1"/>
  <c r="AP79" i="1"/>
  <c r="AP80" i="1"/>
  <c r="AP81" i="1"/>
  <c r="AP82" i="1"/>
  <c r="AP83" i="1"/>
  <c r="AP84" i="1"/>
  <c r="AQ77" i="1"/>
  <c r="AR77" i="1" s="1"/>
  <c r="AQ78" i="1"/>
  <c r="AR78" i="1" s="1"/>
  <c r="AQ79" i="1"/>
  <c r="AR79" i="1" s="1"/>
  <c r="AQ80" i="1"/>
  <c r="AR80" i="1" s="1"/>
  <c r="AQ81" i="1"/>
  <c r="AR81" i="1" s="1"/>
  <c r="AQ82" i="1"/>
  <c r="AR82" i="1" s="1"/>
  <c r="AQ83" i="1"/>
  <c r="AR83" i="1" s="1"/>
  <c r="AQ84" i="1"/>
  <c r="AR84" i="1" s="1"/>
  <c r="AT77" i="1"/>
  <c r="AT78" i="1"/>
  <c r="AT79" i="1"/>
  <c r="AT80" i="1"/>
  <c r="AT81" i="1"/>
  <c r="AT82" i="1"/>
  <c r="AT83" i="1"/>
  <c r="AT84" i="1"/>
  <c r="AU77" i="1"/>
  <c r="AU78" i="1"/>
  <c r="AU79" i="1"/>
  <c r="AU80" i="1"/>
  <c r="AU81" i="1"/>
  <c r="AU82" i="1"/>
  <c r="AU83" i="1"/>
  <c r="AU84" i="1"/>
  <c r="AV77" i="1"/>
  <c r="AV78" i="1"/>
  <c r="AV79" i="1"/>
  <c r="AV80" i="1"/>
  <c r="AV81" i="1"/>
  <c r="AV82" i="1"/>
  <c r="AV83" i="1"/>
  <c r="AV84" i="1"/>
  <c r="AR68" i="7"/>
  <c r="AR69" i="7"/>
  <c r="AR70" i="7"/>
  <c r="AR71" i="7"/>
  <c r="AQ76" i="4"/>
  <c r="AQ77" i="4"/>
  <c r="AQ78" i="4"/>
  <c r="AQ79" i="4"/>
  <c r="D70" i="1"/>
  <c r="D71" i="1"/>
  <c r="D72" i="1"/>
  <c r="D73" i="1"/>
  <c r="D74" i="1"/>
  <c r="D75" i="1"/>
  <c r="D76" i="1"/>
  <c r="G70" i="1"/>
  <c r="AW70" i="1" s="1"/>
  <c r="G71" i="1"/>
  <c r="AW71" i="1" s="1"/>
  <c r="G72" i="1"/>
  <c r="AW72" i="1" s="1"/>
  <c r="G73" i="1"/>
  <c r="AW73" i="1" s="1"/>
  <c r="G74" i="1"/>
  <c r="F74" i="1" s="1"/>
  <c r="G75" i="1"/>
  <c r="AW75" i="1" s="1"/>
  <c r="G76" i="1"/>
  <c r="F76" i="1" s="1"/>
  <c r="X70" i="1"/>
  <c r="AJ70" i="1" s="1"/>
  <c r="X71" i="1"/>
  <c r="AJ71" i="1" s="1"/>
  <c r="X72" i="1"/>
  <c r="AE72" i="1" s="1"/>
  <c r="AS72" i="1" s="1"/>
  <c r="X73" i="1"/>
  <c r="AJ73" i="1" s="1"/>
  <c r="X74" i="1"/>
  <c r="AE74" i="1" s="1"/>
  <c r="AS74" i="1" s="1"/>
  <c r="X75" i="1"/>
  <c r="AE75" i="1" s="1"/>
  <c r="AS75" i="1" s="1"/>
  <c r="X76" i="1"/>
  <c r="AE76" i="1" s="1"/>
  <c r="AS76" i="1" s="1"/>
  <c r="Y70" i="1"/>
  <c r="Y71" i="1"/>
  <c r="Y72" i="1"/>
  <c r="Y73" i="1"/>
  <c r="Y74" i="1"/>
  <c r="Y75" i="1"/>
  <c r="Y76" i="1"/>
  <c r="Z70" i="1"/>
  <c r="Z71" i="1"/>
  <c r="Z72" i="1"/>
  <c r="Z73" i="1"/>
  <c r="Z74" i="1"/>
  <c r="Z75" i="1"/>
  <c r="Z76" i="1"/>
  <c r="AA70" i="1"/>
  <c r="AA71" i="1"/>
  <c r="AA72" i="1"/>
  <c r="AA73" i="1"/>
  <c r="AA74" i="1"/>
  <c r="AA75" i="1"/>
  <c r="AA76" i="1"/>
  <c r="AC70" i="1"/>
  <c r="AC71" i="1"/>
  <c r="AC72" i="1"/>
  <c r="AC73" i="1"/>
  <c r="AC74" i="1"/>
  <c r="AC75" i="1"/>
  <c r="AC76" i="1"/>
  <c r="AD70" i="1"/>
  <c r="AD71" i="1"/>
  <c r="AD72" i="1"/>
  <c r="AD73" i="1"/>
  <c r="AD74" i="1"/>
  <c r="AD75" i="1"/>
  <c r="AD76" i="1"/>
  <c r="AF70" i="1"/>
  <c r="AF71" i="1"/>
  <c r="AF72" i="1"/>
  <c r="AF73" i="1"/>
  <c r="AF74" i="1"/>
  <c r="AF75" i="1"/>
  <c r="AF76" i="1"/>
  <c r="AG70" i="1"/>
  <c r="AG71" i="1"/>
  <c r="AG72" i="1"/>
  <c r="AG73" i="1"/>
  <c r="AG74" i="1"/>
  <c r="AG75" i="1"/>
  <c r="AG76" i="1"/>
  <c r="AI70" i="1"/>
  <c r="AI71" i="1"/>
  <c r="AI72" i="1"/>
  <c r="AI73" i="1"/>
  <c r="AI74" i="1"/>
  <c r="AI75" i="1"/>
  <c r="AI76" i="1"/>
  <c r="AK70" i="1"/>
  <c r="AK71" i="1"/>
  <c r="AK72" i="1"/>
  <c r="AK73" i="1"/>
  <c r="AK74" i="1"/>
  <c r="AK75" i="1"/>
  <c r="AK76" i="1"/>
  <c r="AL70" i="1"/>
  <c r="AL71" i="1"/>
  <c r="AL72" i="1"/>
  <c r="AL73" i="1"/>
  <c r="AL74" i="1"/>
  <c r="AL75" i="1"/>
  <c r="AL76" i="1"/>
  <c r="AM70" i="1"/>
  <c r="AM71" i="1"/>
  <c r="AM72" i="1"/>
  <c r="AM73" i="1"/>
  <c r="AM74" i="1"/>
  <c r="AM75" i="1"/>
  <c r="AM76" i="1"/>
  <c r="AO70" i="1"/>
  <c r="AO71" i="1"/>
  <c r="AO72" i="1"/>
  <c r="AO73" i="1"/>
  <c r="AO74" i="1"/>
  <c r="AO75" i="1"/>
  <c r="AO76" i="1"/>
  <c r="AP70" i="1"/>
  <c r="AP71" i="1"/>
  <c r="AP72" i="1"/>
  <c r="AP73" i="1"/>
  <c r="AP74" i="1"/>
  <c r="AP75" i="1"/>
  <c r="AP76" i="1"/>
  <c r="AQ70" i="1"/>
  <c r="AR70" i="1" s="1"/>
  <c r="AQ71" i="1"/>
  <c r="AR71" i="1" s="1"/>
  <c r="AQ72" i="1"/>
  <c r="AR72" i="1" s="1"/>
  <c r="AQ73" i="1"/>
  <c r="AR73" i="1" s="1"/>
  <c r="AQ74" i="1"/>
  <c r="AR74" i="1" s="1"/>
  <c r="AQ75" i="1"/>
  <c r="AR75" i="1" s="1"/>
  <c r="AQ76" i="1"/>
  <c r="AR76" i="1" s="1"/>
  <c r="AT70" i="1"/>
  <c r="AT71" i="1"/>
  <c r="AT72" i="1"/>
  <c r="AT73" i="1"/>
  <c r="AT74" i="1"/>
  <c r="AT75" i="1"/>
  <c r="AT76" i="1"/>
  <c r="AU70" i="1"/>
  <c r="AU71" i="1"/>
  <c r="AU72" i="1"/>
  <c r="AU73" i="1"/>
  <c r="AU74" i="1"/>
  <c r="AU75" i="1"/>
  <c r="AU76" i="1"/>
  <c r="AV70" i="1"/>
  <c r="AV71" i="1"/>
  <c r="AV72" i="1"/>
  <c r="AV73" i="1"/>
  <c r="AV74" i="1"/>
  <c r="AV75" i="1"/>
  <c r="AV76" i="1"/>
  <c r="D63" i="1"/>
  <c r="D64" i="1"/>
  <c r="D65" i="1"/>
  <c r="D66" i="1"/>
  <c r="D67" i="1"/>
  <c r="D68" i="1"/>
  <c r="D69" i="1"/>
  <c r="G63" i="1"/>
  <c r="F63" i="1" s="1"/>
  <c r="G64" i="1"/>
  <c r="F64" i="1" s="1"/>
  <c r="G65" i="1"/>
  <c r="F65" i="1" s="1"/>
  <c r="G66" i="1"/>
  <c r="F66" i="1" s="1"/>
  <c r="G67" i="1"/>
  <c r="F67" i="1" s="1"/>
  <c r="G68" i="1"/>
  <c r="AW68" i="1" s="1"/>
  <c r="G69" i="1"/>
  <c r="AW69" i="1" s="1"/>
  <c r="X63" i="1"/>
  <c r="AE63" i="1" s="1"/>
  <c r="AS63" i="1" s="1"/>
  <c r="X64" i="1"/>
  <c r="AE64" i="1" s="1"/>
  <c r="AS64" i="1" s="1"/>
  <c r="X65" i="1"/>
  <c r="AE65" i="1" s="1"/>
  <c r="AS65" i="1" s="1"/>
  <c r="X66" i="1"/>
  <c r="AE66" i="1" s="1"/>
  <c r="AS66" i="1" s="1"/>
  <c r="X67" i="1"/>
  <c r="AE67" i="1" s="1"/>
  <c r="AS67" i="1" s="1"/>
  <c r="X68" i="1"/>
  <c r="AE68" i="1" s="1"/>
  <c r="AS68" i="1" s="1"/>
  <c r="X69" i="1"/>
  <c r="AE69" i="1" s="1"/>
  <c r="AS69" i="1" s="1"/>
  <c r="Y63" i="1"/>
  <c r="Y64" i="1"/>
  <c r="Y65" i="1"/>
  <c r="Y66" i="1"/>
  <c r="Y67" i="1"/>
  <c r="Y68" i="1"/>
  <c r="Y69" i="1"/>
  <c r="Z63" i="1"/>
  <c r="Z64" i="1"/>
  <c r="Z65" i="1"/>
  <c r="Z66" i="1"/>
  <c r="Z67" i="1"/>
  <c r="Z68" i="1"/>
  <c r="Z69" i="1"/>
  <c r="AA63" i="1"/>
  <c r="AA64" i="1"/>
  <c r="AA65" i="1"/>
  <c r="AA66" i="1"/>
  <c r="AA67" i="1"/>
  <c r="AA68" i="1"/>
  <c r="AA69" i="1"/>
  <c r="AC63" i="1"/>
  <c r="AC64" i="1"/>
  <c r="AC65" i="1"/>
  <c r="AC66" i="1"/>
  <c r="AC67" i="1"/>
  <c r="AC68" i="1"/>
  <c r="AC69" i="1"/>
  <c r="AD63" i="1"/>
  <c r="AD64" i="1"/>
  <c r="AD65" i="1"/>
  <c r="AD66" i="1"/>
  <c r="AD67" i="1"/>
  <c r="AD68" i="1"/>
  <c r="AD69" i="1"/>
  <c r="AF63" i="1"/>
  <c r="AF64" i="1"/>
  <c r="AF65" i="1"/>
  <c r="AF66" i="1"/>
  <c r="AF67" i="1"/>
  <c r="AF68" i="1"/>
  <c r="AF69" i="1"/>
  <c r="AG63" i="1"/>
  <c r="AG64" i="1"/>
  <c r="AG65" i="1"/>
  <c r="AG66" i="1"/>
  <c r="AG67" i="1"/>
  <c r="AG68" i="1"/>
  <c r="AG69" i="1"/>
  <c r="AI63" i="1"/>
  <c r="AI64" i="1"/>
  <c r="AI65" i="1"/>
  <c r="AI66" i="1"/>
  <c r="AI67" i="1"/>
  <c r="AI68" i="1"/>
  <c r="AI69" i="1"/>
  <c r="AK63" i="1"/>
  <c r="AK64" i="1"/>
  <c r="AK65" i="1"/>
  <c r="AK66" i="1"/>
  <c r="AK67" i="1"/>
  <c r="AK68" i="1"/>
  <c r="AK69" i="1"/>
  <c r="AL63" i="1"/>
  <c r="AL64" i="1"/>
  <c r="AL65" i="1"/>
  <c r="AL66" i="1"/>
  <c r="AL67" i="1"/>
  <c r="AL68" i="1"/>
  <c r="AL69" i="1"/>
  <c r="AM63" i="1"/>
  <c r="AM64" i="1"/>
  <c r="AM65" i="1"/>
  <c r="AM66" i="1"/>
  <c r="AM67" i="1"/>
  <c r="AM68" i="1"/>
  <c r="AM69" i="1"/>
  <c r="AO63" i="1"/>
  <c r="AO64" i="1"/>
  <c r="AO65" i="1"/>
  <c r="AO66" i="1"/>
  <c r="AO67" i="1"/>
  <c r="AO68" i="1"/>
  <c r="AO69" i="1"/>
  <c r="AP63" i="1"/>
  <c r="AP64" i="1"/>
  <c r="AP65" i="1"/>
  <c r="AP66" i="1"/>
  <c r="AP67" i="1"/>
  <c r="AP68" i="1"/>
  <c r="AP69" i="1"/>
  <c r="AQ63" i="1"/>
  <c r="AR63" i="1" s="1"/>
  <c r="AQ64" i="1"/>
  <c r="AR64" i="1" s="1"/>
  <c r="AQ65" i="1"/>
  <c r="AR65" i="1" s="1"/>
  <c r="AQ66" i="1"/>
  <c r="AR66" i="1" s="1"/>
  <c r="AQ67" i="1"/>
  <c r="AR67" i="1" s="1"/>
  <c r="AQ68" i="1"/>
  <c r="AR68" i="1" s="1"/>
  <c r="AQ69" i="1"/>
  <c r="AR69" i="1" s="1"/>
  <c r="AT63" i="1"/>
  <c r="AT64" i="1"/>
  <c r="AT65" i="1"/>
  <c r="AT66" i="1"/>
  <c r="AT67" i="1"/>
  <c r="AT68" i="1"/>
  <c r="AT69" i="1"/>
  <c r="AU63" i="1"/>
  <c r="AU64" i="1"/>
  <c r="AU65" i="1"/>
  <c r="AU66" i="1"/>
  <c r="AU67" i="1"/>
  <c r="AU68" i="1"/>
  <c r="AU69" i="1"/>
  <c r="AV63" i="1"/>
  <c r="AV64" i="1"/>
  <c r="AV65" i="1"/>
  <c r="AV66" i="1"/>
  <c r="AV67" i="1"/>
  <c r="AV68" i="1"/>
  <c r="AV69" i="1"/>
  <c r="D62" i="1"/>
  <c r="AH181" i="1" s="1"/>
  <c r="G62" i="1"/>
  <c r="F62" i="1" s="1"/>
  <c r="X62" i="1"/>
  <c r="AE62" i="1" s="1"/>
  <c r="AS62" i="1" s="1"/>
  <c r="Y62" i="1"/>
  <c r="Z62" i="1"/>
  <c r="AA62" i="1"/>
  <c r="AC62" i="1"/>
  <c r="AD62" i="1"/>
  <c r="AF62" i="1"/>
  <c r="AG62" i="1"/>
  <c r="AI62" i="1"/>
  <c r="AK62" i="1"/>
  <c r="AL62" i="1"/>
  <c r="AM62" i="1"/>
  <c r="AO62" i="1"/>
  <c r="AP62" i="1"/>
  <c r="AQ62" i="1"/>
  <c r="AR62" i="1" s="1"/>
  <c r="AT62" i="1"/>
  <c r="AU62" i="1"/>
  <c r="AV62" i="1"/>
  <c r="X52" i="1"/>
  <c r="AJ52" i="1" s="1"/>
  <c r="X53" i="1"/>
  <c r="AE53" i="1" s="1"/>
  <c r="AS53" i="1" s="1"/>
  <c r="X54" i="1"/>
  <c r="AJ54" i="1" s="1"/>
  <c r="X55" i="1"/>
  <c r="X56" i="1"/>
  <c r="AJ56" i="1" s="1"/>
  <c r="X57" i="1"/>
  <c r="X58" i="1"/>
  <c r="AE58" i="1" s="1"/>
  <c r="AS58" i="1" s="1"/>
  <c r="X59" i="1"/>
  <c r="AJ59" i="1" s="1"/>
  <c r="X60" i="1"/>
  <c r="AE60" i="1" s="1"/>
  <c r="AS60" i="1" s="1"/>
  <c r="X61" i="1"/>
  <c r="AJ61" i="1" s="1"/>
  <c r="T15" i="19"/>
  <c r="M15" i="19"/>
  <c r="F15" i="19"/>
  <c r="T12" i="19"/>
  <c r="M12" i="19"/>
  <c r="F12" i="19"/>
  <c r="T9" i="19"/>
  <c r="M9" i="19"/>
  <c r="F9" i="19"/>
  <c r="R5" i="19"/>
  <c r="K5" i="19"/>
  <c r="D5" i="19"/>
  <c r="T15" i="18"/>
  <c r="M15" i="18"/>
  <c r="F15" i="18"/>
  <c r="T12" i="18"/>
  <c r="M12" i="18"/>
  <c r="F12" i="18"/>
  <c r="T9" i="18"/>
  <c r="M9" i="18"/>
  <c r="F9" i="18"/>
  <c r="R5" i="18"/>
  <c r="K5" i="18"/>
  <c r="D5" i="18"/>
  <c r="T15" i="16"/>
  <c r="T12" i="16"/>
  <c r="T9" i="16"/>
  <c r="R5" i="16"/>
  <c r="M15" i="16"/>
  <c r="M12" i="16"/>
  <c r="M9" i="16"/>
  <c r="K5" i="16"/>
  <c r="D5" i="16"/>
  <c r="F9" i="16"/>
  <c r="F12" i="16"/>
  <c r="F15" i="16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R67" i="7"/>
  <c r="AR66" i="7"/>
  <c r="AR65" i="7"/>
  <c r="AR64" i="7"/>
  <c r="AR63" i="7"/>
  <c r="AR62" i="7"/>
  <c r="AR61" i="7"/>
  <c r="AR60" i="7"/>
  <c r="AR59" i="7"/>
  <c r="AR58" i="7"/>
  <c r="AR57" i="7"/>
  <c r="AR56" i="7"/>
  <c r="AR55" i="7"/>
  <c r="AR54" i="7"/>
  <c r="AR53" i="7"/>
  <c r="AR52" i="7"/>
  <c r="AR51" i="7"/>
  <c r="AR50" i="7"/>
  <c r="AR49" i="7"/>
  <c r="AR48" i="7"/>
  <c r="AR47" i="7"/>
  <c r="AR46" i="7"/>
  <c r="AR45" i="7"/>
  <c r="AR44" i="7"/>
  <c r="AR43" i="7"/>
  <c r="AR42" i="7"/>
  <c r="AR41" i="7"/>
  <c r="AR40" i="7"/>
  <c r="AR39" i="7"/>
  <c r="AR38" i="7"/>
  <c r="AR37" i="7"/>
  <c r="AR36" i="7"/>
  <c r="AR35" i="7"/>
  <c r="AR34" i="7"/>
  <c r="AR33" i="7"/>
  <c r="AR32" i="7"/>
  <c r="AR31" i="7"/>
  <c r="AR30" i="7"/>
  <c r="AR29" i="7"/>
  <c r="AR28" i="7"/>
  <c r="AR27" i="7"/>
  <c r="AR26" i="7"/>
  <c r="AR25" i="7"/>
  <c r="AR24" i="7"/>
  <c r="AR23" i="7"/>
  <c r="AR22" i="7"/>
  <c r="AR21" i="7"/>
  <c r="AR20" i="7"/>
  <c r="AR19" i="7"/>
  <c r="AR18" i="7"/>
  <c r="AR17" i="7"/>
  <c r="AR16" i="7"/>
  <c r="AR15" i="7"/>
  <c r="AR14" i="7"/>
  <c r="AR13" i="7"/>
  <c r="AR12" i="7"/>
  <c r="AR11" i="7"/>
  <c r="AQ75" i="4"/>
  <c r="AQ74" i="4"/>
  <c r="AQ73" i="4"/>
  <c r="AQ72" i="4"/>
  <c r="AQ71" i="4"/>
  <c r="AQ70" i="4"/>
  <c r="AQ69" i="4"/>
  <c r="AQ68" i="4"/>
  <c r="AQ67" i="4"/>
  <c r="AQ66" i="4"/>
  <c r="AQ65" i="4"/>
  <c r="AQ64" i="4"/>
  <c r="AQ63" i="4"/>
  <c r="AQ62" i="4"/>
  <c r="AQ61" i="4"/>
  <c r="AQ60" i="4"/>
  <c r="AQ59" i="4"/>
  <c r="AQ58" i="4"/>
  <c r="AQ57" i="4"/>
  <c r="AQ56" i="4"/>
  <c r="AQ55" i="4"/>
  <c r="AQ54" i="4"/>
  <c r="AQ53" i="4"/>
  <c r="AQ52" i="4"/>
  <c r="AQ51" i="4"/>
  <c r="AQ50" i="4"/>
  <c r="AQ49" i="4"/>
  <c r="AQ48" i="4"/>
  <c r="AQ47" i="4"/>
  <c r="AQ46" i="4"/>
  <c r="AQ45" i="4"/>
  <c r="AQ44" i="4"/>
  <c r="AQ43" i="4"/>
  <c r="AQ42" i="4"/>
  <c r="AQ41" i="4"/>
  <c r="AQ40" i="4"/>
  <c r="AQ39" i="4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Q11" i="4"/>
  <c r="D16" i="3"/>
  <c r="D15" i="3"/>
  <c r="D14" i="3"/>
  <c r="D13" i="3"/>
  <c r="D12" i="3"/>
  <c r="D11" i="3"/>
  <c r="D10" i="3"/>
  <c r="D9" i="3"/>
  <c r="D8" i="3"/>
  <c r="D7" i="3"/>
  <c r="D6" i="3"/>
  <c r="D5" i="3"/>
  <c r="AV61" i="1"/>
  <c r="AQ61" i="1"/>
  <c r="AR61" i="1" s="1"/>
  <c r="AP61" i="1"/>
  <c r="AO61" i="1"/>
  <c r="AM61" i="1"/>
  <c r="AL61" i="1"/>
  <c r="AK61" i="1"/>
  <c r="AI61" i="1"/>
  <c r="AG61" i="1"/>
  <c r="AF61" i="1"/>
  <c r="AD61" i="1"/>
  <c r="AC61" i="1"/>
  <c r="Y61" i="1"/>
  <c r="G61" i="1"/>
  <c r="F61" i="1" s="1"/>
  <c r="D61" i="1"/>
  <c r="AV60" i="1"/>
  <c r="AQ60" i="1"/>
  <c r="AR60" i="1" s="1"/>
  <c r="AP60" i="1"/>
  <c r="AO60" i="1"/>
  <c r="AM60" i="1"/>
  <c r="AL60" i="1"/>
  <c r="AK60" i="1"/>
  <c r="AI60" i="1"/>
  <c r="AG60" i="1"/>
  <c r="AF60" i="1"/>
  <c r="AD60" i="1"/>
  <c r="AC60" i="1"/>
  <c r="Y60" i="1"/>
  <c r="G60" i="1"/>
  <c r="F60" i="1" s="1"/>
  <c r="D60" i="1"/>
  <c r="AV59" i="1"/>
  <c r="AQ59" i="1"/>
  <c r="AR59" i="1" s="1"/>
  <c r="AP59" i="1"/>
  <c r="AO59" i="1"/>
  <c r="AM59" i="1"/>
  <c r="AL59" i="1"/>
  <c r="AK59" i="1"/>
  <c r="AI59" i="1"/>
  <c r="AG59" i="1"/>
  <c r="AF59" i="1"/>
  <c r="AD59" i="1"/>
  <c r="AC59" i="1"/>
  <c r="Y59" i="1"/>
  <c r="G59" i="1"/>
  <c r="F59" i="1" s="1"/>
  <c r="D59" i="1"/>
  <c r="AV58" i="1"/>
  <c r="AQ58" i="1"/>
  <c r="AR58" i="1" s="1"/>
  <c r="AP58" i="1"/>
  <c r="AO58" i="1"/>
  <c r="AM58" i="1"/>
  <c r="AL58" i="1"/>
  <c r="AK58" i="1"/>
  <c r="AI58" i="1"/>
  <c r="AG58" i="1"/>
  <c r="AF58" i="1"/>
  <c r="AD58" i="1"/>
  <c r="AC58" i="1"/>
  <c r="Y58" i="1"/>
  <c r="G58" i="1"/>
  <c r="F58" i="1" s="1"/>
  <c r="D58" i="1"/>
  <c r="AV57" i="1"/>
  <c r="AQ57" i="1"/>
  <c r="AR57" i="1" s="1"/>
  <c r="AP57" i="1"/>
  <c r="AO57" i="1"/>
  <c r="AM57" i="1"/>
  <c r="AL57" i="1"/>
  <c r="AK57" i="1"/>
  <c r="AI57" i="1"/>
  <c r="AG57" i="1"/>
  <c r="AF57" i="1"/>
  <c r="AD57" i="1"/>
  <c r="AC57" i="1"/>
  <c r="Y57" i="1"/>
  <c r="AJ57" i="1"/>
  <c r="G57" i="1"/>
  <c r="F57" i="1" s="1"/>
  <c r="D57" i="1"/>
  <c r="AV56" i="1"/>
  <c r="AQ56" i="1"/>
  <c r="AR56" i="1" s="1"/>
  <c r="AP56" i="1"/>
  <c r="AO56" i="1"/>
  <c r="AM56" i="1"/>
  <c r="AL56" i="1"/>
  <c r="AK56" i="1"/>
  <c r="AI56" i="1"/>
  <c r="AG56" i="1"/>
  <c r="AF56" i="1"/>
  <c r="AD56" i="1"/>
  <c r="AC56" i="1"/>
  <c r="Y56" i="1"/>
  <c r="G56" i="1"/>
  <c r="F56" i="1" s="1"/>
  <c r="D56" i="1"/>
  <c r="AV55" i="1"/>
  <c r="AQ55" i="1"/>
  <c r="AR55" i="1" s="1"/>
  <c r="AP55" i="1"/>
  <c r="AO55" i="1"/>
  <c r="AM55" i="1"/>
  <c r="AL55" i="1"/>
  <c r="AK55" i="1"/>
  <c r="AI55" i="1"/>
  <c r="AG55" i="1"/>
  <c r="AF55" i="1"/>
  <c r="AD55" i="1"/>
  <c r="AC55" i="1"/>
  <c r="Y55" i="1"/>
  <c r="AJ55" i="1"/>
  <c r="G55" i="1"/>
  <c r="F55" i="1" s="1"/>
  <c r="D55" i="1"/>
  <c r="AV54" i="1"/>
  <c r="AQ54" i="1"/>
  <c r="AR54" i="1" s="1"/>
  <c r="AP54" i="1"/>
  <c r="AO54" i="1"/>
  <c r="AM54" i="1"/>
  <c r="AL54" i="1"/>
  <c r="AK54" i="1"/>
  <c r="AI54" i="1"/>
  <c r="AG54" i="1"/>
  <c r="AF54" i="1"/>
  <c r="AD54" i="1"/>
  <c r="AC54" i="1"/>
  <c r="Y54" i="1"/>
  <c r="G54" i="1"/>
  <c r="F54" i="1" s="1"/>
  <c r="D54" i="1"/>
  <c r="AV53" i="1"/>
  <c r="AQ53" i="1"/>
  <c r="AR53" i="1" s="1"/>
  <c r="AP53" i="1"/>
  <c r="AO53" i="1"/>
  <c r="AM53" i="1"/>
  <c r="AL53" i="1"/>
  <c r="AK53" i="1"/>
  <c r="AI53" i="1"/>
  <c r="AG53" i="1"/>
  <c r="AF53" i="1"/>
  <c r="AD53" i="1"/>
  <c r="AC53" i="1"/>
  <c r="Y53" i="1"/>
  <c r="G53" i="1"/>
  <c r="F53" i="1" s="1"/>
  <c r="D53" i="1"/>
  <c r="AV52" i="1"/>
  <c r="AQ52" i="1"/>
  <c r="AR52" i="1" s="1"/>
  <c r="AP52" i="1"/>
  <c r="AO52" i="1"/>
  <c r="AM52" i="1"/>
  <c r="AL52" i="1"/>
  <c r="AK52" i="1"/>
  <c r="AI52" i="1"/>
  <c r="AG52" i="1"/>
  <c r="AF52" i="1"/>
  <c r="AD52" i="1"/>
  <c r="AC52" i="1"/>
  <c r="Y52" i="1"/>
  <c r="G52" i="1"/>
  <c r="F52" i="1" s="1"/>
  <c r="D52" i="1"/>
  <c r="AV51" i="1"/>
  <c r="AQ51" i="1"/>
  <c r="AR51" i="1" s="1"/>
  <c r="AP51" i="1"/>
  <c r="AO51" i="1"/>
  <c r="AM51" i="1"/>
  <c r="AL51" i="1"/>
  <c r="AK51" i="1"/>
  <c r="AI51" i="1"/>
  <c r="AG51" i="1"/>
  <c r="AF51" i="1"/>
  <c r="AD51" i="1"/>
  <c r="AC51" i="1"/>
  <c r="Y51" i="1"/>
  <c r="X51" i="1"/>
  <c r="AJ51" i="1" s="1"/>
  <c r="G51" i="1"/>
  <c r="F51" i="1" s="1"/>
  <c r="D51" i="1"/>
  <c r="AV50" i="1"/>
  <c r="AQ50" i="1"/>
  <c r="AR50" i="1" s="1"/>
  <c r="AP50" i="1"/>
  <c r="AO50" i="1"/>
  <c r="AM50" i="1"/>
  <c r="AL50" i="1"/>
  <c r="AK50" i="1"/>
  <c r="AI50" i="1"/>
  <c r="AG50" i="1"/>
  <c r="AF50" i="1"/>
  <c r="AD50" i="1"/>
  <c r="AC50" i="1"/>
  <c r="Y50" i="1"/>
  <c r="X50" i="1"/>
  <c r="G50" i="1"/>
  <c r="F50" i="1" s="1"/>
  <c r="D50" i="1"/>
  <c r="AV49" i="1"/>
  <c r="AQ49" i="1"/>
  <c r="AR49" i="1" s="1"/>
  <c r="AP49" i="1"/>
  <c r="AO49" i="1"/>
  <c r="AM49" i="1"/>
  <c r="AL49" i="1"/>
  <c r="AK49" i="1"/>
  <c r="AI49" i="1"/>
  <c r="AG49" i="1"/>
  <c r="AF49" i="1"/>
  <c r="AD49" i="1"/>
  <c r="AC49" i="1"/>
  <c r="Y49" i="1"/>
  <c r="X49" i="1"/>
  <c r="AE49" i="1" s="1"/>
  <c r="AS49" i="1" s="1"/>
  <c r="G49" i="1"/>
  <c r="F49" i="1" s="1"/>
  <c r="D49" i="1"/>
  <c r="AV48" i="1"/>
  <c r="AQ48" i="1"/>
  <c r="AR48" i="1" s="1"/>
  <c r="AP48" i="1"/>
  <c r="AO48" i="1"/>
  <c r="AM48" i="1"/>
  <c r="AL48" i="1"/>
  <c r="AK48" i="1"/>
  <c r="AI48" i="1"/>
  <c r="AG48" i="1"/>
  <c r="AF48" i="1"/>
  <c r="AD48" i="1"/>
  <c r="AC48" i="1"/>
  <c r="Y48" i="1"/>
  <c r="X48" i="1"/>
  <c r="AE48" i="1" s="1"/>
  <c r="AS48" i="1" s="1"/>
  <c r="G48" i="1"/>
  <c r="F48" i="1" s="1"/>
  <c r="D48" i="1"/>
  <c r="AV47" i="1"/>
  <c r="AQ47" i="1"/>
  <c r="AR47" i="1" s="1"/>
  <c r="AP47" i="1"/>
  <c r="AO47" i="1"/>
  <c r="AM47" i="1"/>
  <c r="AL47" i="1"/>
  <c r="AK47" i="1"/>
  <c r="AI47" i="1"/>
  <c r="AG47" i="1"/>
  <c r="AF47" i="1"/>
  <c r="AD47" i="1"/>
  <c r="AC47" i="1"/>
  <c r="Y47" i="1"/>
  <c r="X47" i="1"/>
  <c r="AE47" i="1" s="1"/>
  <c r="AS47" i="1" s="1"/>
  <c r="G47" i="1"/>
  <c r="F47" i="1" s="1"/>
  <c r="D47" i="1"/>
  <c r="AV46" i="1"/>
  <c r="AQ46" i="1"/>
  <c r="AR46" i="1" s="1"/>
  <c r="AP46" i="1"/>
  <c r="AO46" i="1"/>
  <c r="AM46" i="1"/>
  <c r="AL46" i="1"/>
  <c r="AK46" i="1"/>
  <c r="AI46" i="1"/>
  <c r="AG46" i="1"/>
  <c r="AF46" i="1"/>
  <c r="AD46" i="1"/>
  <c r="AC46" i="1"/>
  <c r="Y46" i="1"/>
  <c r="X46" i="1"/>
  <c r="AE46" i="1" s="1"/>
  <c r="AS46" i="1" s="1"/>
  <c r="G46" i="1"/>
  <c r="F46" i="1" s="1"/>
  <c r="D46" i="1"/>
  <c r="AV45" i="1"/>
  <c r="AQ45" i="1"/>
  <c r="AR45" i="1" s="1"/>
  <c r="AP45" i="1"/>
  <c r="AO45" i="1"/>
  <c r="AM45" i="1"/>
  <c r="AL45" i="1"/>
  <c r="AK45" i="1"/>
  <c r="AI45" i="1"/>
  <c r="AG45" i="1"/>
  <c r="AF45" i="1"/>
  <c r="AD45" i="1"/>
  <c r="AC45" i="1"/>
  <c r="Y45" i="1"/>
  <c r="X45" i="1"/>
  <c r="AE45" i="1" s="1"/>
  <c r="AS45" i="1" s="1"/>
  <c r="G45" i="1"/>
  <c r="F45" i="1" s="1"/>
  <c r="D45" i="1"/>
  <c r="AV44" i="1"/>
  <c r="AQ44" i="1"/>
  <c r="AR44" i="1" s="1"/>
  <c r="AP44" i="1"/>
  <c r="AO44" i="1"/>
  <c r="AM44" i="1"/>
  <c r="AL44" i="1"/>
  <c r="AK44" i="1"/>
  <c r="AI44" i="1"/>
  <c r="AG44" i="1"/>
  <c r="AF44" i="1"/>
  <c r="AD44" i="1"/>
  <c r="AC44" i="1"/>
  <c r="Y44" i="1"/>
  <c r="X44" i="1"/>
  <c r="AE44" i="1" s="1"/>
  <c r="AS44" i="1" s="1"/>
  <c r="G44" i="1"/>
  <c r="F44" i="1" s="1"/>
  <c r="D44" i="1"/>
  <c r="AV43" i="1"/>
  <c r="AQ43" i="1"/>
  <c r="AR43" i="1" s="1"/>
  <c r="AP43" i="1"/>
  <c r="AO43" i="1"/>
  <c r="AM43" i="1"/>
  <c r="AL43" i="1"/>
  <c r="AK43" i="1"/>
  <c r="AI43" i="1"/>
  <c r="AG43" i="1"/>
  <c r="AF43" i="1"/>
  <c r="AD43" i="1"/>
  <c r="AC43" i="1"/>
  <c r="Y43" i="1"/>
  <c r="X43" i="1"/>
  <c r="AJ43" i="1" s="1"/>
  <c r="G43" i="1"/>
  <c r="F43" i="1" s="1"/>
  <c r="D43" i="1"/>
  <c r="AV42" i="1"/>
  <c r="AQ42" i="1"/>
  <c r="AR42" i="1" s="1"/>
  <c r="AP42" i="1"/>
  <c r="AO42" i="1"/>
  <c r="AM42" i="1"/>
  <c r="AL42" i="1"/>
  <c r="AK42" i="1"/>
  <c r="AI42" i="1"/>
  <c r="AG42" i="1"/>
  <c r="AF42" i="1"/>
  <c r="AD42" i="1"/>
  <c r="AC42" i="1"/>
  <c r="Y42" i="1"/>
  <c r="X42" i="1"/>
  <c r="AJ42" i="1" s="1"/>
  <c r="G42" i="1"/>
  <c r="F42" i="1" s="1"/>
  <c r="D42" i="1"/>
  <c r="AV41" i="1"/>
  <c r="AQ41" i="1"/>
  <c r="AR41" i="1" s="1"/>
  <c r="AP41" i="1"/>
  <c r="AO41" i="1"/>
  <c r="AM41" i="1"/>
  <c r="AL41" i="1"/>
  <c r="AK41" i="1"/>
  <c r="AI41" i="1"/>
  <c r="AG41" i="1"/>
  <c r="AF41" i="1"/>
  <c r="AD41" i="1"/>
  <c r="AC41" i="1"/>
  <c r="Y41" i="1"/>
  <c r="X41" i="1"/>
  <c r="AE41" i="1" s="1"/>
  <c r="AS41" i="1" s="1"/>
  <c r="G41" i="1"/>
  <c r="F41" i="1" s="1"/>
  <c r="D41" i="1"/>
  <c r="AV40" i="1"/>
  <c r="AQ40" i="1"/>
  <c r="AR40" i="1" s="1"/>
  <c r="AP40" i="1"/>
  <c r="AO40" i="1"/>
  <c r="AM40" i="1"/>
  <c r="AL40" i="1"/>
  <c r="AK40" i="1"/>
  <c r="AI40" i="1"/>
  <c r="AG40" i="1"/>
  <c r="AF40" i="1"/>
  <c r="AD40" i="1"/>
  <c r="AC40" i="1"/>
  <c r="Y40" i="1"/>
  <c r="X40" i="1"/>
  <c r="AE40" i="1" s="1"/>
  <c r="AS40" i="1" s="1"/>
  <c r="G40" i="1"/>
  <c r="F40" i="1" s="1"/>
  <c r="D40" i="1"/>
  <c r="AV39" i="1"/>
  <c r="AQ39" i="1"/>
  <c r="AR39" i="1" s="1"/>
  <c r="AP39" i="1"/>
  <c r="AO39" i="1"/>
  <c r="AM39" i="1"/>
  <c r="AL39" i="1"/>
  <c r="AK39" i="1"/>
  <c r="AI39" i="1"/>
  <c r="AG39" i="1"/>
  <c r="AF39" i="1"/>
  <c r="AD39" i="1"/>
  <c r="AC39" i="1"/>
  <c r="Y39" i="1"/>
  <c r="X39" i="1"/>
  <c r="AJ39" i="1" s="1"/>
  <c r="G39" i="1"/>
  <c r="F39" i="1" s="1"/>
  <c r="D39" i="1"/>
  <c r="AV38" i="1"/>
  <c r="AQ38" i="1"/>
  <c r="AR38" i="1" s="1"/>
  <c r="AP38" i="1"/>
  <c r="AO38" i="1"/>
  <c r="AM38" i="1"/>
  <c r="AL38" i="1"/>
  <c r="AK38" i="1"/>
  <c r="AI38" i="1"/>
  <c r="AG38" i="1"/>
  <c r="AF38" i="1"/>
  <c r="AD38" i="1"/>
  <c r="AC38" i="1"/>
  <c r="Y38" i="1"/>
  <c r="X38" i="1"/>
  <c r="G38" i="1"/>
  <c r="F38" i="1" s="1"/>
  <c r="D38" i="1"/>
  <c r="AV37" i="1"/>
  <c r="AQ37" i="1"/>
  <c r="AR37" i="1" s="1"/>
  <c r="AP37" i="1"/>
  <c r="AO37" i="1"/>
  <c r="AM37" i="1"/>
  <c r="AL37" i="1"/>
  <c r="AK37" i="1"/>
  <c r="AI37" i="1"/>
  <c r="AG37" i="1"/>
  <c r="AF37" i="1"/>
  <c r="AD37" i="1"/>
  <c r="AC37" i="1"/>
  <c r="Y37" i="1"/>
  <c r="X37" i="1"/>
  <c r="AE37" i="1" s="1"/>
  <c r="AS37" i="1" s="1"/>
  <c r="G37" i="1"/>
  <c r="F37" i="1" s="1"/>
  <c r="D37" i="1"/>
  <c r="AV36" i="1"/>
  <c r="AQ36" i="1"/>
  <c r="AR36" i="1" s="1"/>
  <c r="AP36" i="1"/>
  <c r="AO36" i="1"/>
  <c r="AM36" i="1"/>
  <c r="AL36" i="1"/>
  <c r="AK36" i="1"/>
  <c r="AI36" i="1"/>
  <c r="AG36" i="1"/>
  <c r="AF36" i="1"/>
  <c r="AD36" i="1"/>
  <c r="AC36" i="1"/>
  <c r="Y36" i="1"/>
  <c r="X36" i="1"/>
  <c r="AE36" i="1" s="1"/>
  <c r="AS36" i="1" s="1"/>
  <c r="G36" i="1"/>
  <c r="F36" i="1" s="1"/>
  <c r="D36" i="1"/>
  <c r="AV35" i="1"/>
  <c r="AQ35" i="1"/>
  <c r="AR35" i="1" s="1"/>
  <c r="AP35" i="1"/>
  <c r="AO35" i="1"/>
  <c r="AM35" i="1"/>
  <c r="AL35" i="1"/>
  <c r="AK35" i="1"/>
  <c r="AI35" i="1"/>
  <c r="AG35" i="1"/>
  <c r="AF35" i="1"/>
  <c r="AD35" i="1"/>
  <c r="AC35" i="1"/>
  <c r="Y35" i="1"/>
  <c r="X35" i="1"/>
  <c r="AE35" i="1" s="1"/>
  <c r="G35" i="1"/>
  <c r="F35" i="1" s="1"/>
  <c r="D35" i="1"/>
  <c r="AV34" i="1"/>
  <c r="AQ34" i="1"/>
  <c r="AR34" i="1" s="1"/>
  <c r="AP34" i="1"/>
  <c r="AO34" i="1"/>
  <c r="AM34" i="1"/>
  <c r="AL34" i="1"/>
  <c r="AK34" i="1"/>
  <c r="AI34" i="1"/>
  <c r="AG34" i="1"/>
  <c r="AF34" i="1"/>
  <c r="AD34" i="1"/>
  <c r="AC34" i="1"/>
  <c r="Y34" i="1"/>
  <c r="X34" i="1"/>
  <c r="AE34" i="1" s="1"/>
  <c r="AS34" i="1" s="1"/>
  <c r="G34" i="1"/>
  <c r="F34" i="1" s="1"/>
  <c r="D34" i="1"/>
  <c r="AV33" i="1"/>
  <c r="AQ33" i="1"/>
  <c r="AR33" i="1" s="1"/>
  <c r="AP33" i="1"/>
  <c r="AO33" i="1"/>
  <c r="AM33" i="1"/>
  <c r="AL33" i="1"/>
  <c r="AK33" i="1"/>
  <c r="AI33" i="1"/>
  <c r="AG33" i="1"/>
  <c r="AF33" i="1"/>
  <c r="AD33" i="1"/>
  <c r="AC33" i="1"/>
  <c r="Y33" i="1"/>
  <c r="X33" i="1"/>
  <c r="AE33" i="1" s="1"/>
  <c r="AS33" i="1" s="1"/>
  <c r="G33" i="1"/>
  <c r="F33" i="1" s="1"/>
  <c r="D33" i="1"/>
  <c r="AV32" i="1"/>
  <c r="AQ32" i="1"/>
  <c r="AR32" i="1" s="1"/>
  <c r="AP32" i="1"/>
  <c r="AO32" i="1"/>
  <c r="AM32" i="1"/>
  <c r="AL32" i="1"/>
  <c r="AK32" i="1"/>
  <c r="AI32" i="1"/>
  <c r="AG32" i="1"/>
  <c r="AF32" i="1"/>
  <c r="AD32" i="1"/>
  <c r="AC32" i="1"/>
  <c r="Y32" i="1"/>
  <c r="X32" i="1"/>
  <c r="AE32" i="1" s="1"/>
  <c r="AS32" i="1" s="1"/>
  <c r="G32" i="1"/>
  <c r="F32" i="1" s="1"/>
  <c r="D32" i="1"/>
  <c r="AV31" i="1"/>
  <c r="AQ31" i="1"/>
  <c r="AR31" i="1" s="1"/>
  <c r="AP31" i="1"/>
  <c r="AO31" i="1"/>
  <c r="AM31" i="1"/>
  <c r="AL31" i="1"/>
  <c r="AK31" i="1"/>
  <c r="AI31" i="1"/>
  <c r="AG31" i="1"/>
  <c r="AF31" i="1"/>
  <c r="AD31" i="1"/>
  <c r="AC31" i="1"/>
  <c r="Y31" i="1"/>
  <c r="X31" i="1"/>
  <c r="AE31" i="1" s="1"/>
  <c r="AS31" i="1" s="1"/>
  <c r="G31" i="1"/>
  <c r="F31" i="1" s="1"/>
  <c r="D31" i="1"/>
  <c r="AV30" i="1"/>
  <c r="AQ30" i="1"/>
  <c r="AR30" i="1" s="1"/>
  <c r="AP30" i="1"/>
  <c r="AO30" i="1"/>
  <c r="AM30" i="1"/>
  <c r="AL30" i="1"/>
  <c r="AK30" i="1"/>
  <c r="AI30" i="1"/>
  <c r="AG30" i="1"/>
  <c r="AF30" i="1"/>
  <c r="AD30" i="1"/>
  <c r="AC30" i="1"/>
  <c r="Y30" i="1"/>
  <c r="X30" i="1"/>
  <c r="AE30" i="1" s="1"/>
  <c r="AS30" i="1" s="1"/>
  <c r="G30" i="1"/>
  <c r="F30" i="1" s="1"/>
  <c r="D30" i="1"/>
  <c r="AV29" i="1"/>
  <c r="AQ29" i="1"/>
  <c r="AR29" i="1" s="1"/>
  <c r="AP29" i="1"/>
  <c r="AO29" i="1"/>
  <c r="AM29" i="1"/>
  <c r="AL29" i="1"/>
  <c r="AK29" i="1"/>
  <c r="AI29" i="1"/>
  <c r="AG29" i="1"/>
  <c r="AF29" i="1"/>
  <c r="AD29" i="1"/>
  <c r="AC29" i="1"/>
  <c r="Y29" i="1"/>
  <c r="X29" i="1"/>
  <c r="AJ29" i="1" s="1"/>
  <c r="G29" i="1"/>
  <c r="F29" i="1" s="1"/>
  <c r="D29" i="1"/>
  <c r="AV28" i="1"/>
  <c r="AQ28" i="1"/>
  <c r="AR28" i="1" s="1"/>
  <c r="AP28" i="1"/>
  <c r="AO28" i="1"/>
  <c r="AM28" i="1"/>
  <c r="AL28" i="1"/>
  <c r="AK28" i="1"/>
  <c r="AI28" i="1"/>
  <c r="AG28" i="1"/>
  <c r="AF28" i="1"/>
  <c r="AD28" i="1"/>
  <c r="AC28" i="1"/>
  <c r="Y28" i="1"/>
  <c r="X28" i="1"/>
  <c r="AJ28" i="1" s="1"/>
  <c r="G28" i="1"/>
  <c r="F28" i="1" s="1"/>
  <c r="D28" i="1"/>
  <c r="AV27" i="1"/>
  <c r="AQ27" i="1"/>
  <c r="AR27" i="1" s="1"/>
  <c r="AP27" i="1"/>
  <c r="AO27" i="1"/>
  <c r="AM27" i="1"/>
  <c r="AL27" i="1"/>
  <c r="AK27" i="1"/>
  <c r="AI27" i="1"/>
  <c r="AG27" i="1"/>
  <c r="AF27" i="1"/>
  <c r="AD27" i="1"/>
  <c r="AC27" i="1"/>
  <c r="Y27" i="1"/>
  <c r="X27" i="1"/>
  <c r="AJ27" i="1" s="1"/>
  <c r="G27" i="1"/>
  <c r="F27" i="1" s="1"/>
  <c r="D27" i="1"/>
  <c r="AV26" i="1"/>
  <c r="AQ26" i="1"/>
  <c r="AR26" i="1" s="1"/>
  <c r="AP26" i="1"/>
  <c r="AO26" i="1"/>
  <c r="AM26" i="1"/>
  <c r="AL26" i="1"/>
  <c r="AK26" i="1"/>
  <c r="AI26" i="1"/>
  <c r="AG26" i="1"/>
  <c r="AF26" i="1"/>
  <c r="AD26" i="1"/>
  <c r="AC26" i="1"/>
  <c r="Y26" i="1"/>
  <c r="X26" i="1"/>
  <c r="AJ26" i="1" s="1"/>
  <c r="G26" i="1"/>
  <c r="F26" i="1" s="1"/>
  <c r="D26" i="1"/>
  <c r="AV25" i="1"/>
  <c r="AQ25" i="1"/>
  <c r="AR25" i="1" s="1"/>
  <c r="AP25" i="1"/>
  <c r="AO25" i="1"/>
  <c r="AM25" i="1"/>
  <c r="AL25" i="1"/>
  <c r="AK25" i="1"/>
  <c r="AI25" i="1"/>
  <c r="AG25" i="1"/>
  <c r="AF25" i="1"/>
  <c r="AD25" i="1"/>
  <c r="AC25" i="1"/>
  <c r="Y25" i="1"/>
  <c r="X25" i="1"/>
  <c r="AE25" i="1" s="1"/>
  <c r="AS25" i="1" s="1"/>
  <c r="G25" i="1"/>
  <c r="F25" i="1" s="1"/>
  <c r="D25" i="1"/>
  <c r="AV24" i="1"/>
  <c r="AQ24" i="1"/>
  <c r="AR24" i="1" s="1"/>
  <c r="AP24" i="1"/>
  <c r="AO24" i="1"/>
  <c r="AM24" i="1"/>
  <c r="AL24" i="1"/>
  <c r="AK24" i="1"/>
  <c r="AI24" i="1"/>
  <c r="AG24" i="1"/>
  <c r="AF24" i="1"/>
  <c r="AD24" i="1"/>
  <c r="AC24" i="1"/>
  <c r="Y24" i="1"/>
  <c r="X24" i="1"/>
  <c r="AJ24" i="1" s="1"/>
  <c r="G24" i="1"/>
  <c r="F24" i="1" s="1"/>
  <c r="D24" i="1"/>
  <c r="AV23" i="1"/>
  <c r="AQ23" i="1"/>
  <c r="AR23" i="1" s="1"/>
  <c r="AP23" i="1"/>
  <c r="AO23" i="1"/>
  <c r="AM23" i="1"/>
  <c r="AL23" i="1"/>
  <c r="AK23" i="1"/>
  <c r="AI23" i="1"/>
  <c r="AG23" i="1"/>
  <c r="AF23" i="1"/>
  <c r="AD23" i="1"/>
  <c r="AC23" i="1"/>
  <c r="Y23" i="1"/>
  <c r="X23" i="1"/>
  <c r="AJ23" i="1" s="1"/>
  <c r="G23" i="1"/>
  <c r="F23" i="1" s="1"/>
  <c r="D23" i="1"/>
  <c r="AV22" i="1"/>
  <c r="AQ22" i="1"/>
  <c r="AR22" i="1" s="1"/>
  <c r="AP22" i="1"/>
  <c r="AO22" i="1"/>
  <c r="AM22" i="1"/>
  <c r="AL22" i="1"/>
  <c r="AK22" i="1"/>
  <c r="AI22" i="1"/>
  <c r="AG22" i="1"/>
  <c r="AF22" i="1"/>
  <c r="AD22" i="1"/>
  <c r="AC22" i="1"/>
  <c r="Y22" i="1"/>
  <c r="X22" i="1"/>
  <c r="AJ22" i="1" s="1"/>
  <c r="G22" i="1"/>
  <c r="F22" i="1" s="1"/>
  <c r="D22" i="1"/>
  <c r="AV21" i="1"/>
  <c r="AQ21" i="1"/>
  <c r="AR21" i="1" s="1"/>
  <c r="AP21" i="1"/>
  <c r="AO21" i="1"/>
  <c r="AM21" i="1"/>
  <c r="AL21" i="1"/>
  <c r="AK21" i="1"/>
  <c r="AI21" i="1"/>
  <c r="AG21" i="1"/>
  <c r="AF21" i="1"/>
  <c r="AD21" i="1"/>
  <c r="AC21" i="1"/>
  <c r="Y21" i="1"/>
  <c r="X21" i="1"/>
  <c r="AJ21" i="1" s="1"/>
  <c r="G21" i="1"/>
  <c r="F21" i="1" s="1"/>
  <c r="D21" i="1"/>
  <c r="AV20" i="1"/>
  <c r="AQ20" i="1"/>
  <c r="AR20" i="1" s="1"/>
  <c r="AP20" i="1"/>
  <c r="AO20" i="1"/>
  <c r="AM20" i="1"/>
  <c r="AL20" i="1"/>
  <c r="AK20" i="1"/>
  <c r="AI20" i="1"/>
  <c r="AG20" i="1"/>
  <c r="AF20" i="1"/>
  <c r="AD20" i="1"/>
  <c r="AC20" i="1"/>
  <c r="Y20" i="1"/>
  <c r="X20" i="1"/>
  <c r="AJ20" i="1" s="1"/>
  <c r="G20" i="1"/>
  <c r="F20" i="1" s="1"/>
  <c r="D20" i="1"/>
  <c r="AV19" i="1"/>
  <c r="AQ19" i="1"/>
  <c r="AR19" i="1" s="1"/>
  <c r="AP19" i="1"/>
  <c r="AO19" i="1"/>
  <c r="AM19" i="1"/>
  <c r="AL19" i="1"/>
  <c r="AK19" i="1"/>
  <c r="AI19" i="1"/>
  <c r="AG19" i="1"/>
  <c r="AF19" i="1"/>
  <c r="AD19" i="1"/>
  <c r="AC19" i="1"/>
  <c r="Y19" i="1"/>
  <c r="X19" i="1"/>
  <c r="AE19" i="1" s="1"/>
  <c r="AS19" i="1" s="1"/>
  <c r="G19" i="1"/>
  <c r="F19" i="1" s="1"/>
  <c r="D19" i="1"/>
  <c r="AV18" i="1"/>
  <c r="AQ18" i="1"/>
  <c r="AR18" i="1" s="1"/>
  <c r="AP18" i="1"/>
  <c r="AO18" i="1"/>
  <c r="AM18" i="1"/>
  <c r="AL18" i="1"/>
  <c r="AK18" i="1"/>
  <c r="AI18" i="1"/>
  <c r="AG18" i="1"/>
  <c r="AF18" i="1"/>
  <c r="AD18" i="1"/>
  <c r="AC18" i="1"/>
  <c r="Y18" i="1"/>
  <c r="X18" i="1"/>
  <c r="AJ18" i="1" s="1"/>
  <c r="G18" i="1"/>
  <c r="F18" i="1" s="1"/>
  <c r="D18" i="1"/>
  <c r="AV17" i="1"/>
  <c r="AQ17" i="1"/>
  <c r="AR17" i="1" s="1"/>
  <c r="AP17" i="1"/>
  <c r="AO17" i="1"/>
  <c r="AM17" i="1"/>
  <c r="AL17" i="1"/>
  <c r="AK17" i="1"/>
  <c r="AI17" i="1"/>
  <c r="AG17" i="1"/>
  <c r="AF17" i="1"/>
  <c r="AD17" i="1"/>
  <c r="AC17" i="1"/>
  <c r="Y17" i="1"/>
  <c r="X17" i="1"/>
  <c r="AE17" i="1" s="1"/>
  <c r="AS17" i="1" s="1"/>
  <c r="G17" i="1"/>
  <c r="F17" i="1" s="1"/>
  <c r="D17" i="1"/>
  <c r="AV16" i="1"/>
  <c r="AQ16" i="1"/>
  <c r="AR16" i="1" s="1"/>
  <c r="AP16" i="1"/>
  <c r="AO16" i="1"/>
  <c r="AM16" i="1"/>
  <c r="AL16" i="1"/>
  <c r="AK16" i="1"/>
  <c r="AI16" i="1"/>
  <c r="AG16" i="1"/>
  <c r="AF16" i="1"/>
  <c r="AD16" i="1"/>
  <c r="AC16" i="1"/>
  <c r="Y16" i="1"/>
  <c r="X16" i="1"/>
  <c r="AJ16" i="1" s="1"/>
  <c r="G16" i="1"/>
  <c r="F16" i="1" s="1"/>
  <c r="D16" i="1"/>
  <c r="AV15" i="1"/>
  <c r="AQ15" i="1"/>
  <c r="AR15" i="1" s="1"/>
  <c r="AP15" i="1"/>
  <c r="AO15" i="1"/>
  <c r="AM15" i="1"/>
  <c r="AL15" i="1"/>
  <c r="AK15" i="1"/>
  <c r="AI15" i="1"/>
  <c r="AG15" i="1"/>
  <c r="AF15" i="1"/>
  <c r="AD15" i="1"/>
  <c r="AC15" i="1"/>
  <c r="Y15" i="1"/>
  <c r="X15" i="1"/>
  <c r="G15" i="1"/>
  <c r="F15" i="1" s="1"/>
  <c r="D15" i="1"/>
  <c r="AV14" i="1"/>
  <c r="AQ14" i="1"/>
  <c r="AR14" i="1" s="1"/>
  <c r="AP14" i="1"/>
  <c r="AO14" i="1"/>
  <c r="AM14" i="1"/>
  <c r="AL14" i="1"/>
  <c r="AK14" i="1"/>
  <c r="AI14" i="1"/>
  <c r="AG14" i="1"/>
  <c r="AF14" i="1"/>
  <c r="AD14" i="1"/>
  <c r="AC14" i="1"/>
  <c r="Y14" i="1"/>
  <c r="X14" i="1"/>
  <c r="AE14" i="1" s="1"/>
  <c r="AS14" i="1" s="1"/>
  <c r="G14" i="1"/>
  <c r="F14" i="1" s="1"/>
  <c r="D14" i="1"/>
  <c r="AV13" i="1"/>
  <c r="AQ13" i="1"/>
  <c r="AR13" i="1" s="1"/>
  <c r="AP13" i="1"/>
  <c r="AO13" i="1"/>
  <c r="AM13" i="1"/>
  <c r="AL13" i="1"/>
  <c r="AK13" i="1"/>
  <c r="AI13" i="1"/>
  <c r="AG13" i="1"/>
  <c r="AF13" i="1"/>
  <c r="AD13" i="1"/>
  <c r="AC13" i="1"/>
  <c r="Y13" i="1"/>
  <c r="X13" i="1"/>
  <c r="AE13" i="1" s="1"/>
  <c r="AS13" i="1" s="1"/>
  <c r="G13" i="1"/>
  <c r="F13" i="1" s="1"/>
  <c r="D13" i="1"/>
  <c r="AV12" i="1"/>
  <c r="AQ12" i="1"/>
  <c r="AR12" i="1" s="1"/>
  <c r="AP12" i="1"/>
  <c r="AO12" i="1"/>
  <c r="AM12" i="1"/>
  <c r="AL12" i="1"/>
  <c r="AK12" i="1"/>
  <c r="AI12" i="1"/>
  <c r="AG12" i="1"/>
  <c r="AF12" i="1"/>
  <c r="AD12" i="1"/>
  <c r="AC12" i="1"/>
  <c r="Y12" i="1"/>
  <c r="X12" i="1"/>
  <c r="AJ12" i="1" s="1"/>
  <c r="G12" i="1"/>
  <c r="F12" i="1" s="1"/>
  <c r="D12" i="1"/>
  <c r="AV11" i="1"/>
  <c r="AQ11" i="1"/>
  <c r="AR11" i="1" s="1"/>
  <c r="AP11" i="1"/>
  <c r="AO11" i="1"/>
  <c r="AM11" i="1"/>
  <c r="AL11" i="1"/>
  <c r="AK11" i="1"/>
  <c r="AI11" i="1"/>
  <c r="AG11" i="1"/>
  <c r="AF11" i="1"/>
  <c r="AD11" i="1"/>
  <c r="AC11" i="1"/>
  <c r="Y11" i="1"/>
  <c r="X11" i="1"/>
  <c r="AJ11" i="1" s="1"/>
  <c r="G11" i="1"/>
  <c r="F11" i="1" s="1"/>
  <c r="D11" i="1"/>
  <c r="AV10" i="1"/>
  <c r="AQ10" i="1"/>
  <c r="AR10" i="1" s="1"/>
  <c r="AP10" i="1"/>
  <c r="AO10" i="1"/>
  <c r="AM10" i="1"/>
  <c r="AL10" i="1"/>
  <c r="AK10" i="1"/>
  <c r="AI10" i="1"/>
  <c r="AG10" i="1"/>
  <c r="AF10" i="1"/>
  <c r="AD10" i="1"/>
  <c r="AC10" i="1"/>
  <c r="Y10" i="1"/>
  <c r="X10" i="1"/>
  <c r="AE10" i="1" s="1"/>
  <c r="AS10" i="1" s="1"/>
  <c r="G10" i="1"/>
  <c r="F10" i="1" s="1"/>
  <c r="D10" i="1"/>
  <c r="AV9" i="1"/>
  <c r="AQ9" i="1"/>
  <c r="AR9" i="1" s="1"/>
  <c r="AP9" i="1"/>
  <c r="AO9" i="1"/>
  <c r="AM9" i="1"/>
  <c r="AL9" i="1"/>
  <c r="AK9" i="1"/>
  <c r="AI9" i="1"/>
  <c r="AG9" i="1"/>
  <c r="AF9" i="1"/>
  <c r="AD9" i="1"/>
  <c r="AC9" i="1"/>
  <c r="Y9" i="1"/>
  <c r="X9" i="1"/>
  <c r="AE9" i="1" s="1"/>
  <c r="AS9" i="1" s="1"/>
  <c r="G9" i="1"/>
  <c r="F9" i="1" s="1"/>
  <c r="D9" i="1"/>
  <c r="AV8" i="1"/>
  <c r="AQ8" i="1"/>
  <c r="AR8" i="1" s="1"/>
  <c r="AP8" i="1"/>
  <c r="AO8" i="1"/>
  <c r="AM8" i="1"/>
  <c r="AL8" i="1"/>
  <c r="AK8" i="1"/>
  <c r="AI8" i="1"/>
  <c r="AG8" i="1"/>
  <c r="AF8" i="1"/>
  <c r="AD8" i="1"/>
  <c r="AC8" i="1"/>
  <c r="Y8" i="1"/>
  <c r="X8" i="1"/>
  <c r="AE8" i="1" s="1"/>
  <c r="AS8" i="1" s="1"/>
  <c r="G8" i="1"/>
  <c r="F8" i="1" s="1"/>
  <c r="D8" i="1"/>
  <c r="AV7" i="1"/>
  <c r="AQ7" i="1"/>
  <c r="AR7" i="1" s="1"/>
  <c r="AP7" i="1"/>
  <c r="AO7" i="1"/>
  <c r="AM7" i="1"/>
  <c r="AL7" i="1"/>
  <c r="AK7" i="1"/>
  <c r="AI7" i="1"/>
  <c r="AG7" i="1"/>
  <c r="AF7" i="1"/>
  <c r="AD7" i="1"/>
  <c r="AC7" i="1"/>
  <c r="Y7" i="1"/>
  <c r="X7" i="1"/>
  <c r="G7" i="1"/>
  <c r="F7" i="1" s="1"/>
  <c r="D7" i="1"/>
  <c r="AV6" i="1"/>
  <c r="AP6" i="1"/>
  <c r="AO6" i="1"/>
  <c r="AM6" i="1"/>
  <c r="AL6" i="1"/>
  <c r="AK6" i="1"/>
  <c r="AI6" i="1"/>
  <c r="AG6" i="1"/>
  <c r="AF6" i="1"/>
  <c r="AD6" i="1"/>
  <c r="AC6" i="1"/>
  <c r="Y6" i="1"/>
  <c r="X6" i="1"/>
  <c r="AJ6" i="1" s="1"/>
  <c r="G6" i="1"/>
  <c r="F6" i="1" s="1"/>
  <c r="D6" i="1"/>
  <c r="F23" i="3" l="1"/>
  <c r="C10" i="21" s="1"/>
  <c r="B10" i="21" s="1"/>
  <c r="AH184" i="1"/>
  <c r="AB193" i="1"/>
  <c r="AH161" i="1"/>
  <c r="AB192" i="1"/>
  <c r="AH185" i="1"/>
  <c r="AN186" i="1"/>
  <c r="AH153" i="1"/>
  <c r="AH183" i="1"/>
  <c r="AN180" i="1"/>
  <c r="AH159" i="1"/>
  <c r="AH177" i="1"/>
  <c r="AN162" i="1"/>
  <c r="AH158" i="1"/>
  <c r="AH176" i="1"/>
  <c r="AJ167" i="1"/>
  <c r="AH186" i="1"/>
  <c r="AH174" i="1"/>
  <c r="AJ165" i="1"/>
  <c r="AN173" i="1"/>
  <c r="AN154" i="1"/>
  <c r="AJ164" i="1"/>
  <c r="AN153" i="1"/>
  <c r="AE191" i="1"/>
  <c r="AS191" i="1" s="1"/>
  <c r="AN193" i="1"/>
  <c r="AN181" i="1"/>
  <c r="AN168" i="1"/>
  <c r="AH180" i="1"/>
  <c r="AN191" i="1"/>
  <c r="AH168" i="1"/>
  <c r="AH179" i="1"/>
  <c r="AH154" i="1"/>
  <c r="AN172" i="1"/>
  <c r="AH178" i="1"/>
  <c r="AH162" i="1"/>
  <c r="AN161" i="1"/>
  <c r="AJ168" i="1"/>
  <c r="AN179" i="1"/>
  <c r="AN178" i="1"/>
  <c r="AN190" i="1"/>
  <c r="AW194" i="1"/>
  <c r="F26" i="3"/>
  <c r="L10" i="21" s="1"/>
  <c r="M10" i="21" s="1"/>
  <c r="AN189" i="1"/>
  <c r="AN188" i="1"/>
  <c r="AN185" i="1"/>
  <c r="AN187" i="1"/>
  <c r="AN160" i="1"/>
  <c r="AN184" i="1"/>
  <c r="AJ183" i="1"/>
  <c r="AH194" i="1"/>
  <c r="AN159" i="1"/>
  <c r="AE182" i="1"/>
  <c r="AS182" i="1" s="1"/>
  <c r="AH193" i="1"/>
  <c r="F27" i="3"/>
  <c r="Q10" i="21" s="1"/>
  <c r="P10" i="21" s="1"/>
  <c r="AN158" i="1"/>
  <c r="AH192" i="1"/>
  <c r="AN157" i="1"/>
  <c r="AJ159" i="1"/>
  <c r="AE170" i="1"/>
  <c r="AS170" i="1" s="1"/>
  <c r="AN183" i="1"/>
  <c r="AJ158" i="1"/>
  <c r="AE169" i="1"/>
  <c r="AS169" i="1" s="1"/>
  <c r="AE179" i="1"/>
  <c r="AS179" i="1" s="1"/>
  <c r="AJ157" i="1"/>
  <c r="R86" i="4"/>
  <c r="AN152" i="1"/>
  <c r="Q86" i="4"/>
  <c r="F28" i="3"/>
  <c r="S10" i="21" s="1"/>
  <c r="T10" i="21" s="1"/>
  <c r="P86" i="4"/>
  <c r="O86" i="4"/>
  <c r="AE156" i="1"/>
  <c r="AS156" i="1" s="1"/>
  <c r="AB174" i="1"/>
  <c r="AN176" i="1"/>
  <c r="AH182" i="1"/>
  <c r="AH190" i="1"/>
  <c r="N86" i="4"/>
  <c r="AJ145" i="1"/>
  <c r="AE154" i="1"/>
  <c r="AS154" i="1" s="1"/>
  <c r="AN174" i="1"/>
  <c r="AH189" i="1"/>
  <c r="M86" i="4"/>
  <c r="AE149" i="1"/>
  <c r="AS149" i="1" s="1"/>
  <c r="AE153" i="1"/>
  <c r="AS153" i="1" s="1"/>
  <c r="AH167" i="1"/>
  <c r="AH175" i="1"/>
  <c r="AH188" i="1"/>
  <c r="L86" i="4"/>
  <c r="AE146" i="1"/>
  <c r="AS146" i="1" s="1"/>
  <c r="AE152" i="1"/>
  <c r="AS152" i="1" s="1"/>
  <c r="AH160" i="1"/>
  <c r="AH166" i="1"/>
  <c r="AH187" i="1"/>
  <c r="K86" i="4"/>
  <c r="AN171" i="1"/>
  <c r="AN177" i="1"/>
  <c r="J86" i="4"/>
  <c r="I86" i="4"/>
  <c r="AA86" i="4" s="1"/>
  <c r="AH157" i="1"/>
  <c r="AN175" i="1"/>
  <c r="H86" i="4"/>
  <c r="AH156" i="1"/>
  <c r="AH191" i="1"/>
  <c r="G86" i="4"/>
  <c r="AH155" i="1"/>
  <c r="AN155" i="1"/>
  <c r="AN170" i="1"/>
  <c r="AH173" i="1"/>
  <c r="F86" i="4"/>
  <c r="U86" i="4" s="1"/>
  <c r="S24" i="3"/>
  <c r="AN169" i="1"/>
  <c r="AH169" i="1"/>
  <c r="AN194" i="1"/>
  <c r="E86" i="4"/>
  <c r="D86" i="4"/>
  <c r="AH152" i="1"/>
  <c r="AN167" i="1"/>
  <c r="AN192" i="1"/>
  <c r="C86" i="4"/>
  <c r="F24" i="3"/>
  <c r="E10" i="21" s="1"/>
  <c r="F10" i="21" s="1"/>
  <c r="AH171" i="1"/>
  <c r="AW161" i="1"/>
  <c r="AN166" i="1"/>
  <c r="AW181" i="1"/>
  <c r="AN164" i="1"/>
  <c r="AN165" i="1"/>
  <c r="AN163" i="1"/>
  <c r="AH164" i="1"/>
  <c r="AW178" i="1"/>
  <c r="AN182" i="1"/>
  <c r="F25" i="3"/>
  <c r="J10" i="21" s="1"/>
  <c r="I10" i="21" s="1"/>
  <c r="C78" i="7"/>
  <c r="D78" i="7" s="1"/>
  <c r="AB194" i="1"/>
  <c r="AW191" i="1"/>
  <c r="AB179" i="1"/>
  <c r="AW155" i="1"/>
  <c r="AB191" i="1"/>
  <c r="AB180" i="1"/>
  <c r="AW154" i="1"/>
  <c r="AB190" i="1"/>
  <c r="AB189" i="1"/>
  <c r="AB188" i="1"/>
  <c r="AB187" i="1"/>
  <c r="AB186" i="1"/>
  <c r="AB185" i="1"/>
  <c r="AB184" i="1"/>
  <c r="AB183" i="1"/>
  <c r="F190" i="1"/>
  <c r="F189" i="1"/>
  <c r="F188" i="1"/>
  <c r="F187" i="1"/>
  <c r="F186" i="1"/>
  <c r="F185" i="1"/>
  <c r="F184" i="1"/>
  <c r="F183" i="1"/>
  <c r="AW165" i="1"/>
  <c r="AW164" i="1"/>
  <c r="AW163" i="1"/>
  <c r="AW162" i="1"/>
  <c r="AW180" i="1"/>
  <c r="AB182" i="1"/>
  <c r="AB181" i="1"/>
  <c r="AB178" i="1"/>
  <c r="AB177" i="1"/>
  <c r="AW177" i="1"/>
  <c r="AW176" i="1"/>
  <c r="AW175" i="1"/>
  <c r="AW174" i="1"/>
  <c r="AW173" i="1"/>
  <c r="AW172" i="1"/>
  <c r="AW171" i="1"/>
  <c r="AB176" i="1"/>
  <c r="AB175" i="1"/>
  <c r="AB173" i="1"/>
  <c r="AB172" i="1"/>
  <c r="AB171" i="1"/>
  <c r="AW153" i="1"/>
  <c r="AJ177" i="1"/>
  <c r="AJ176" i="1"/>
  <c r="AJ175" i="1"/>
  <c r="AJ174" i="1"/>
  <c r="AJ173" i="1"/>
  <c r="AJ172" i="1"/>
  <c r="AJ171" i="1"/>
  <c r="AW169" i="1"/>
  <c r="AW168" i="1"/>
  <c r="AW167" i="1"/>
  <c r="AW166" i="1"/>
  <c r="AB170" i="1"/>
  <c r="AB169" i="1"/>
  <c r="AB168" i="1"/>
  <c r="AB167" i="1"/>
  <c r="AB166" i="1"/>
  <c r="AB165" i="1"/>
  <c r="AB164" i="1"/>
  <c r="AB163" i="1"/>
  <c r="AB162" i="1"/>
  <c r="AB161" i="1"/>
  <c r="AH170" i="1"/>
  <c r="AH165" i="1"/>
  <c r="AH163" i="1"/>
  <c r="AJ162" i="1"/>
  <c r="AJ161" i="1"/>
  <c r="F170" i="1"/>
  <c r="AW152" i="1"/>
  <c r="AA27" i="3"/>
  <c r="AA25" i="3"/>
  <c r="AA28" i="3"/>
  <c r="T28" i="3"/>
  <c r="S28" i="3"/>
  <c r="R28" i="3"/>
  <c r="Q28" i="3"/>
  <c r="S29" i="21" s="1"/>
  <c r="T29" i="21" s="1"/>
  <c r="P28" i="3"/>
  <c r="T27" i="3"/>
  <c r="T26" i="3"/>
  <c r="S26" i="3"/>
  <c r="R26" i="3"/>
  <c r="P26" i="3"/>
  <c r="M26" i="3"/>
  <c r="L25" i="21" s="1"/>
  <c r="M25" i="21" s="1"/>
  <c r="T25" i="3"/>
  <c r="S25" i="3"/>
  <c r="R25" i="3"/>
  <c r="Q25" i="3"/>
  <c r="J29" i="21" s="1"/>
  <c r="I29" i="21" s="1"/>
  <c r="P25" i="3"/>
  <c r="O25" i="3"/>
  <c r="J28" i="21" s="1"/>
  <c r="I28" i="21" s="1"/>
  <c r="N25" i="3"/>
  <c r="T24" i="3"/>
  <c r="BD28" i="3"/>
  <c r="T23" i="3"/>
  <c r="S23" i="3"/>
  <c r="BD27" i="3"/>
  <c r="AB160" i="1"/>
  <c r="AB159" i="1"/>
  <c r="AB158" i="1"/>
  <c r="AB157" i="1"/>
  <c r="AB156" i="1"/>
  <c r="AB155" i="1"/>
  <c r="AB154" i="1"/>
  <c r="AB153" i="1"/>
  <c r="AB152" i="1"/>
  <c r="AN156" i="1"/>
  <c r="AE155" i="1"/>
  <c r="AS155" i="1" s="1"/>
  <c r="AW133" i="1"/>
  <c r="F160" i="1"/>
  <c r="F159" i="1"/>
  <c r="F158" i="1"/>
  <c r="F157" i="1"/>
  <c r="F156" i="1"/>
  <c r="O28" i="3"/>
  <c r="S28" i="21" s="1"/>
  <c r="T28" i="21" s="1"/>
  <c r="N28" i="3"/>
  <c r="M28" i="3"/>
  <c r="S25" i="21" s="1"/>
  <c r="T25" i="21" s="1"/>
  <c r="L28" i="3"/>
  <c r="S24" i="21" s="1"/>
  <c r="T24" i="21" s="1"/>
  <c r="K28" i="3"/>
  <c r="S17" i="21" s="1"/>
  <c r="T17" i="21" s="1"/>
  <c r="J28" i="3"/>
  <c r="S16" i="21" s="1"/>
  <c r="T16" i="21" s="1"/>
  <c r="I28" i="3"/>
  <c r="S14" i="21" s="1"/>
  <c r="T14" i="21" s="1"/>
  <c r="H28" i="3"/>
  <c r="S13" i="21" s="1"/>
  <c r="T13" i="21" s="1"/>
  <c r="G28" i="3"/>
  <c r="S11" i="21" s="1"/>
  <c r="T11" i="21" s="1"/>
  <c r="BD26" i="3"/>
  <c r="S27" i="3"/>
  <c r="R27" i="3"/>
  <c r="Q27" i="21" s="1"/>
  <c r="P27" i="21" s="1"/>
  <c r="Q27" i="3"/>
  <c r="Q29" i="21" s="1"/>
  <c r="P29" i="21" s="1"/>
  <c r="P27" i="3"/>
  <c r="O27" i="3"/>
  <c r="Q28" i="21" s="1"/>
  <c r="P28" i="21" s="1"/>
  <c r="N27" i="3"/>
  <c r="M27" i="3"/>
  <c r="Q25" i="21" s="1"/>
  <c r="P25" i="21" s="1"/>
  <c r="L27" i="3"/>
  <c r="Q24" i="21" s="1"/>
  <c r="P24" i="21" s="1"/>
  <c r="K27" i="3"/>
  <c r="Q17" i="21" s="1"/>
  <c r="P17" i="21" s="1"/>
  <c r="J27" i="3"/>
  <c r="Q16" i="21" s="1"/>
  <c r="P16" i="21" s="1"/>
  <c r="I27" i="3"/>
  <c r="Q14" i="21" s="1"/>
  <c r="P14" i="21" s="1"/>
  <c r="H27" i="3"/>
  <c r="Q13" i="21" s="1"/>
  <c r="P13" i="21" s="1"/>
  <c r="G27" i="3"/>
  <c r="Q11" i="21" s="1"/>
  <c r="P11" i="21" s="1"/>
  <c r="BD25" i="3"/>
  <c r="Q26" i="3"/>
  <c r="L29" i="21" s="1"/>
  <c r="M29" i="21" s="1"/>
  <c r="O26" i="3"/>
  <c r="L28" i="21" s="1"/>
  <c r="M28" i="21" s="1"/>
  <c r="N26" i="3"/>
  <c r="L26" i="3"/>
  <c r="L24" i="21" s="1"/>
  <c r="M24" i="21" s="1"/>
  <c r="K26" i="3"/>
  <c r="L17" i="21" s="1"/>
  <c r="M17" i="21" s="1"/>
  <c r="J26" i="3"/>
  <c r="L16" i="21" s="1"/>
  <c r="M16" i="21" s="1"/>
  <c r="I26" i="3"/>
  <c r="L14" i="21" s="1"/>
  <c r="M14" i="21" s="1"/>
  <c r="H26" i="3"/>
  <c r="L13" i="21" s="1"/>
  <c r="M13" i="21" s="1"/>
  <c r="G26" i="3"/>
  <c r="L11" i="21" s="1"/>
  <c r="M11" i="21" s="1"/>
  <c r="BD24" i="3"/>
  <c r="M25" i="3"/>
  <c r="J25" i="21" s="1"/>
  <c r="I25" i="21" s="1"/>
  <c r="L25" i="3"/>
  <c r="J24" i="21" s="1"/>
  <c r="I24" i="21" s="1"/>
  <c r="K25" i="3"/>
  <c r="J17" i="21" s="1"/>
  <c r="I17" i="21" s="1"/>
  <c r="J25" i="3"/>
  <c r="J16" i="21" s="1"/>
  <c r="I16" i="21" s="1"/>
  <c r="I25" i="3"/>
  <c r="J14" i="21" s="1"/>
  <c r="I14" i="21" s="1"/>
  <c r="H25" i="3"/>
  <c r="J13" i="21" s="1"/>
  <c r="I13" i="21" s="1"/>
  <c r="G25" i="3"/>
  <c r="J11" i="21" s="1"/>
  <c r="I11" i="21" s="1"/>
  <c r="BD23" i="3"/>
  <c r="R24" i="3"/>
  <c r="E27" i="21" s="1"/>
  <c r="F27" i="21" s="1"/>
  <c r="Q24" i="3"/>
  <c r="E29" i="21" s="1"/>
  <c r="F29" i="21" s="1"/>
  <c r="P24" i="3"/>
  <c r="O24" i="3"/>
  <c r="E28" i="21" s="1"/>
  <c r="F28" i="21" s="1"/>
  <c r="N24" i="3"/>
  <c r="M24" i="3"/>
  <c r="E25" i="21" s="1"/>
  <c r="F25" i="21" s="1"/>
  <c r="L24" i="3"/>
  <c r="E24" i="21" s="1"/>
  <c r="F24" i="21" s="1"/>
  <c r="K24" i="3"/>
  <c r="E17" i="21" s="1"/>
  <c r="F17" i="21" s="1"/>
  <c r="J24" i="3"/>
  <c r="E16" i="21" s="1"/>
  <c r="F16" i="21" s="1"/>
  <c r="I24" i="3"/>
  <c r="E14" i="21" s="1"/>
  <c r="F14" i="21" s="1"/>
  <c r="H24" i="3"/>
  <c r="E13" i="21" s="1"/>
  <c r="F13" i="21" s="1"/>
  <c r="G24" i="3"/>
  <c r="E11" i="21" s="1"/>
  <c r="F11" i="21" s="1"/>
  <c r="R23" i="3"/>
  <c r="C27" i="21" s="1"/>
  <c r="B27" i="21" s="1"/>
  <c r="Q23" i="3"/>
  <c r="C29" i="21" s="1"/>
  <c r="B29" i="21" s="1"/>
  <c r="P23" i="3"/>
  <c r="O23" i="3"/>
  <c r="C28" i="21" s="1"/>
  <c r="B28" i="21" s="1"/>
  <c r="N23" i="3"/>
  <c r="M23" i="3"/>
  <c r="C25" i="21" s="1"/>
  <c r="B25" i="21" s="1"/>
  <c r="L23" i="3"/>
  <c r="C24" i="21" s="1"/>
  <c r="B24" i="21" s="1"/>
  <c r="K23" i="3"/>
  <c r="C17" i="21" s="1"/>
  <c r="B17" i="21" s="1"/>
  <c r="J23" i="3"/>
  <c r="C16" i="21" s="1"/>
  <c r="B16" i="21" s="1"/>
  <c r="I23" i="3"/>
  <c r="C14" i="21" s="1"/>
  <c r="B14" i="21" s="1"/>
  <c r="H23" i="3"/>
  <c r="C13" i="21" s="1"/>
  <c r="B13" i="21" s="1"/>
  <c r="G23" i="3"/>
  <c r="C11" i="21" s="1"/>
  <c r="B11" i="21" s="1"/>
  <c r="AJ76" i="1"/>
  <c r="AW135" i="1"/>
  <c r="AW134" i="1"/>
  <c r="AJ151" i="1"/>
  <c r="AN88" i="1"/>
  <c r="AW147" i="1"/>
  <c r="AW146" i="1"/>
  <c r="AN129" i="1"/>
  <c r="AJ93" i="1"/>
  <c r="AH97" i="1"/>
  <c r="AJ143" i="1"/>
  <c r="AE73" i="1"/>
  <c r="AS73" i="1" s="1"/>
  <c r="AJ142" i="1"/>
  <c r="AH105" i="1"/>
  <c r="AE71" i="1"/>
  <c r="AS71" i="1" s="1"/>
  <c r="AB116" i="1"/>
  <c r="AW129" i="1"/>
  <c r="AW131" i="1"/>
  <c r="AJ150" i="1"/>
  <c r="AJ94" i="1"/>
  <c r="AE102" i="1"/>
  <c r="AS102" i="1" s="1"/>
  <c r="AJ88" i="1"/>
  <c r="AE70" i="1"/>
  <c r="AS70" i="1" s="1"/>
  <c r="AJ87" i="1"/>
  <c r="AE81" i="1"/>
  <c r="AS81" i="1" s="1"/>
  <c r="AE148" i="1"/>
  <c r="AS148" i="1" s="1"/>
  <c r="AE147" i="1"/>
  <c r="AS147" i="1" s="1"/>
  <c r="AJ119" i="1"/>
  <c r="AW150" i="1"/>
  <c r="AJ115" i="1"/>
  <c r="AW151" i="1"/>
  <c r="AH63" i="1"/>
  <c r="AJ133" i="1"/>
  <c r="AE103" i="1"/>
  <c r="AS103" i="1" s="1"/>
  <c r="AJ131" i="1"/>
  <c r="AE132" i="1"/>
  <c r="AS132" i="1" s="1"/>
  <c r="AW130" i="1"/>
  <c r="AJ75" i="1"/>
  <c r="AE100" i="1"/>
  <c r="AS100" i="1" s="1"/>
  <c r="AW128" i="1"/>
  <c r="AE101" i="1"/>
  <c r="AS101" i="1" s="1"/>
  <c r="AJ74" i="1"/>
  <c r="AE99" i="1"/>
  <c r="AS99" i="1" s="1"/>
  <c r="AE130" i="1"/>
  <c r="AS130" i="1" s="1"/>
  <c r="AB111" i="1"/>
  <c r="AJ110" i="1"/>
  <c r="AB146" i="1"/>
  <c r="K80" i="4"/>
  <c r="N82" i="4"/>
  <c r="C83" i="4"/>
  <c r="L85" i="4"/>
  <c r="J80" i="4"/>
  <c r="AH145" i="1"/>
  <c r="I80" i="4"/>
  <c r="L82" i="4"/>
  <c r="J85" i="4"/>
  <c r="AN130" i="1"/>
  <c r="AH144" i="1"/>
  <c r="H80" i="4"/>
  <c r="K82" i="4"/>
  <c r="I85" i="4"/>
  <c r="AN143" i="1"/>
  <c r="G80" i="4"/>
  <c r="J82" i="4"/>
  <c r="R84" i="4"/>
  <c r="H85" i="4"/>
  <c r="M82" i="4"/>
  <c r="AN142" i="1"/>
  <c r="F80" i="4"/>
  <c r="I82" i="4"/>
  <c r="Q84" i="4"/>
  <c r="G85" i="4"/>
  <c r="K85" i="4"/>
  <c r="AH75" i="1"/>
  <c r="AN124" i="1"/>
  <c r="E80" i="4"/>
  <c r="H82" i="4"/>
  <c r="P84" i="4"/>
  <c r="F85" i="4"/>
  <c r="AH74" i="1"/>
  <c r="AN121" i="1"/>
  <c r="AN140" i="1"/>
  <c r="D80" i="4"/>
  <c r="G82" i="4"/>
  <c r="O84" i="4"/>
  <c r="E85" i="4"/>
  <c r="AH73" i="1"/>
  <c r="AH93" i="1"/>
  <c r="C80" i="4"/>
  <c r="F82" i="4"/>
  <c r="N84" i="4"/>
  <c r="D85" i="4"/>
  <c r="AJ67" i="1"/>
  <c r="AN92" i="1"/>
  <c r="E82" i="4"/>
  <c r="M84" i="4"/>
  <c r="C85" i="4"/>
  <c r="AJ65" i="1"/>
  <c r="AH71" i="1"/>
  <c r="AN91" i="1"/>
  <c r="D82" i="4"/>
  <c r="L84" i="4"/>
  <c r="AH101" i="1"/>
  <c r="R81" i="4"/>
  <c r="C82" i="4"/>
  <c r="K84" i="4"/>
  <c r="C72" i="7"/>
  <c r="D72" i="7" s="1"/>
  <c r="AN100" i="1"/>
  <c r="AJ136" i="1"/>
  <c r="Q81" i="4"/>
  <c r="J84" i="4"/>
  <c r="AB129" i="1"/>
  <c r="P81" i="4"/>
  <c r="I84" i="4"/>
  <c r="C73" i="7"/>
  <c r="D73" i="7" s="1"/>
  <c r="AN98" i="1"/>
  <c r="O81" i="4"/>
  <c r="H84" i="4"/>
  <c r="AH86" i="1"/>
  <c r="N81" i="4"/>
  <c r="G84" i="4"/>
  <c r="C74" i="7"/>
  <c r="D74" i="7" s="1"/>
  <c r="AH96" i="1"/>
  <c r="AE104" i="1"/>
  <c r="AS104" i="1" s="1"/>
  <c r="AE135" i="1"/>
  <c r="AS135" i="1" s="1"/>
  <c r="M81" i="4"/>
  <c r="F84" i="4"/>
  <c r="AE134" i="1"/>
  <c r="AS134" i="1" s="1"/>
  <c r="L81" i="4"/>
  <c r="R83" i="4"/>
  <c r="E84" i="4"/>
  <c r="K81" i="4"/>
  <c r="Q83" i="4"/>
  <c r="D84" i="4"/>
  <c r="C75" i="7"/>
  <c r="D75" i="7" s="1"/>
  <c r="AH109" i="1"/>
  <c r="J81" i="4"/>
  <c r="P83" i="4"/>
  <c r="C84" i="4"/>
  <c r="AH81" i="1"/>
  <c r="I81" i="4"/>
  <c r="O83" i="4"/>
  <c r="C76" i="7"/>
  <c r="D76" i="7" s="1"/>
  <c r="AH146" i="1"/>
  <c r="AH80" i="1"/>
  <c r="H81" i="4"/>
  <c r="N83" i="4"/>
  <c r="G81" i="4"/>
  <c r="M83" i="4"/>
  <c r="AH78" i="1"/>
  <c r="AN105" i="1"/>
  <c r="AI80" i="4" s="1"/>
  <c r="F81" i="4"/>
  <c r="L83" i="4"/>
  <c r="AH77" i="1"/>
  <c r="AN104" i="1"/>
  <c r="E81" i="4"/>
  <c r="K83" i="4"/>
  <c r="AW90" i="1"/>
  <c r="AJ92" i="1"/>
  <c r="R80" i="4"/>
  <c r="D81" i="4"/>
  <c r="J83" i="4"/>
  <c r="AW85" i="1"/>
  <c r="AH137" i="1"/>
  <c r="Q80" i="4"/>
  <c r="C81" i="4"/>
  <c r="I83" i="4"/>
  <c r="R85" i="4"/>
  <c r="AJ89" i="1"/>
  <c r="P80" i="4"/>
  <c r="H83" i="4"/>
  <c r="Q85" i="4"/>
  <c r="O80" i="4"/>
  <c r="R82" i="4"/>
  <c r="G83" i="4"/>
  <c r="P85" i="4"/>
  <c r="N80" i="4"/>
  <c r="Q82" i="4"/>
  <c r="F83" i="4"/>
  <c r="O85" i="4"/>
  <c r="AJ80" i="1"/>
  <c r="AN135" i="1"/>
  <c r="M80" i="4"/>
  <c r="P82" i="4"/>
  <c r="E83" i="4"/>
  <c r="N85" i="4"/>
  <c r="AH114" i="1"/>
  <c r="AJ79" i="1"/>
  <c r="L80" i="4"/>
  <c r="O82" i="4"/>
  <c r="D83" i="4"/>
  <c r="M85" i="4"/>
  <c r="C77" i="7"/>
  <c r="D77" i="7" s="1"/>
  <c r="AN89" i="1"/>
  <c r="AH95" i="1"/>
  <c r="F21" i="3"/>
  <c r="Q10" i="19" s="1"/>
  <c r="AH113" i="1"/>
  <c r="AN122" i="1"/>
  <c r="AN125" i="1"/>
  <c r="AH84" i="1"/>
  <c r="AN87" i="1"/>
  <c r="AH123" i="1"/>
  <c r="AH136" i="1"/>
  <c r="AH83" i="1"/>
  <c r="AN86" i="1"/>
  <c r="AN90" i="1"/>
  <c r="AH122" i="1"/>
  <c r="AH135" i="1"/>
  <c r="AH82" i="1"/>
  <c r="AH89" i="1"/>
  <c r="AH121" i="1"/>
  <c r="AH134" i="1"/>
  <c r="F22" i="3"/>
  <c r="S10" i="19" s="1"/>
  <c r="AH133" i="1"/>
  <c r="AJ90" i="1"/>
  <c r="AH132" i="1"/>
  <c r="AH79" i="1"/>
  <c r="AH131" i="1"/>
  <c r="AN85" i="1"/>
  <c r="AH130" i="1"/>
  <c r="AN75" i="1"/>
  <c r="AN103" i="1"/>
  <c r="AN112" i="1"/>
  <c r="AN137" i="1"/>
  <c r="AH129" i="1"/>
  <c r="AN145" i="1"/>
  <c r="AN74" i="1"/>
  <c r="AN102" i="1"/>
  <c r="AN111" i="1"/>
  <c r="AN120" i="1"/>
  <c r="AN136" i="1"/>
  <c r="AH128" i="1"/>
  <c r="AN144" i="1"/>
  <c r="AH141" i="1"/>
  <c r="AN71" i="1"/>
  <c r="AN101" i="1"/>
  <c r="AN110" i="1"/>
  <c r="AH119" i="1"/>
  <c r="AJ141" i="1"/>
  <c r="AN70" i="1"/>
  <c r="F17" i="3"/>
  <c r="C10" i="19" s="1"/>
  <c r="AN109" i="1"/>
  <c r="AN118" i="1"/>
  <c r="AN134" i="1"/>
  <c r="AJ140" i="1"/>
  <c r="AN99" i="1"/>
  <c r="AN108" i="1"/>
  <c r="AJ112" i="1"/>
  <c r="AN131" i="1"/>
  <c r="AN141" i="1"/>
  <c r="AJ139" i="1"/>
  <c r="AN107" i="1"/>
  <c r="AJ111" i="1"/>
  <c r="AJ120" i="1"/>
  <c r="AH116" i="1"/>
  <c r="AJ137" i="1"/>
  <c r="AJ138" i="1"/>
  <c r="AN97" i="1"/>
  <c r="AN106" i="1"/>
  <c r="AH115" i="1"/>
  <c r="AN139" i="1"/>
  <c r="AN96" i="1"/>
  <c r="AJ109" i="1"/>
  <c r="AJ117" i="1"/>
  <c r="AN95" i="1"/>
  <c r="F18" i="3"/>
  <c r="E10" i="19" s="1"/>
  <c r="AJ116" i="1"/>
  <c r="AN133" i="1"/>
  <c r="AN117" i="1"/>
  <c r="AN132" i="1"/>
  <c r="AJ84" i="1"/>
  <c r="AN116" i="1"/>
  <c r="AJ114" i="1"/>
  <c r="AW127" i="1"/>
  <c r="AJ83" i="1"/>
  <c r="AN83" i="1"/>
  <c r="AH94" i="1"/>
  <c r="AE108" i="1"/>
  <c r="AS108" i="1" s="1"/>
  <c r="AN114" i="1"/>
  <c r="AW124" i="1"/>
  <c r="AH76" i="1"/>
  <c r="AN84" i="1"/>
  <c r="AN82" i="1"/>
  <c r="AE106" i="1"/>
  <c r="AS106" i="1" s="1"/>
  <c r="AN113" i="1"/>
  <c r="AN81" i="1"/>
  <c r="AH92" i="1"/>
  <c r="F19" i="3"/>
  <c r="J10" i="19" s="1"/>
  <c r="AH112" i="1"/>
  <c r="AJ129" i="1"/>
  <c r="AN128" i="1"/>
  <c r="AN80" i="1"/>
  <c r="AH91" i="1"/>
  <c r="AH103" i="1"/>
  <c r="AH111" i="1"/>
  <c r="AN73" i="1"/>
  <c r="AN79" i="1"/>
  <c r="AJ78" i="1"/>
  <c r="AH90" i="1"/>
  <c r="AN72" i="1"/>
  <c r="AN78" i="1"/>
  <c r="AJ77" i="1"/>
  <c r="AH88" i="1"/>
  <c r="AH143" i="1"/>
  <c r="AH87" i="1"/>
  <c r="AH102" i="1"/>
  <c r="AH110" i="1"/>
  <c r="AH108" i="1"/>
  <c r="AH142" i="1"/>
  <c r="AN147" i="1"/>
  <c r="AH151" i="1"/>
  <c r="AN151" i="1"/>
  <c r="AN77" i="1"/>
  <c r="AH70" i="1"/>
  <c r="F20" i="3"/>
  <c r="L10" i="19" s="1"/>
  <c r="AH140" i="1"/>
  <c r="AN146" i="1"/>
  <c r="AH150" i="1"/>
  <c r="AN150" i="1"/>
  <c r="AN94" i="1"/>
  <c r="AH85" i="1"/>
  <c r="AH100" i="1"/>
  <c r="AH98" i="1"/>
  <c r="AH107" i="1"/>
  <c r="AH106" i="1"/>
  <c r="AH120" i="1"/>
  <c r="AH139" i="1"/>
  <c r="AH149" i="1"/>
  <c r="AN149" i="1"/>
  <c r="AN93" i="1"/>
  <c r="AH99" i="1"/>
  <c r="AH118" i="1"/>
  <c r="AH138" i="1"/>
  <c r="AH148" i="1"/>
  <c r="AN148" i="1"/>
  <c r="AH104" i="1"/>
  <c r="AH117" i="1"/>
  <c r="AS116" i="1"/>
  <c r="AH124" i="1"/>
  <c r="AH127" i="1"/>
  <c r="AH147" i="1"/>
  <c r="AH126" i="1"/>
  <c r="AB151" i="1"/>
  <c r="AB150" i="1"/>
  <c r="AB149" i="1"/>
  <c r="AB148" i="1"/>
  <c r="AB147" i="1"/>
  <c r="AB137" i="1"/>
  <c r="AW136" i="1"/>
  <c r="AW132" i="1"/>
  <c r="AW149" i="1"/>
  <c r="AW125" i="1"/>
  <c r="AW148" i="1"/>
  <c r="AW87" i="1"/>
  <c r="AB145" i="1"/>
  <c r="AB144" i="1"/>
  <c r="AB143" i="1"/>
  <c r="AB142" i="1"/>
  <c r="AB141" i="1"/>
  <c r="AB140" i="1"/>
  <c r="AB139" i="1"/>
  <c r="AB138" i="1"/>
  <c r="AN138" i="1"/>
  <c r="F118" i="1"/>
  <c r="AB123" i="1"/>
  <c r="AB122" i="1"/>
  <c r="AB115" i="1"/>
  <c r="AE144" i="1"/>
  <c r="AS144" i="1" s="1"/>
  <c r="AB118" i="1"/>
  <c r="AB92" i="1"/>
  <c r="AB91" i="1"/>
  <c r="F145" i="1"/>
  <c r="AW126" i="1"/>
  <c r="F144" i="1"/>
  <c r="F143" i="1"/>
  <c r="F142" i="1"/>
  <c r="AW94" i="1"/>
  <c r="F141" i="1"/>
  <c r="F140" i="1"/>
  <c r="AB104" i="1"/>
  <c r="F139" i="1"/>
  <c r="F138" i="1"/>
  <c r="AB136" i="1"/>
  <c r="AB135" i="1"/>
  <c r="AB134" i="1"/>
  <c r="AB133" i="1"/>
  <c r="AB132" i="1"/>
  <c r="AB131" i="1"/>
  <c r="AB130" i="1"/>
  <c r="AB128" i="1"/>
  <c r="AW93" i="1"/>
  <c r="AW92" i="1"/>
  <c r="AW91" i="1"/>
  <c r="AJ128" i="1"/>
  <c r="AW123" i="1"/>
  <c r="F137" i="1"/>
  <c r="AW122" i="1"/>
  <c r="AW119" i="1"/>
  <c r="AW115" i="1"/>
  <c r="F117" i="1"/>
  <c r="AB127" i="1"/>
  <c r="AB126" i="1"/>
  <c r="AB125" i="1"/>
  <c r="AB124" i="1"/>
  <c r="AB121" i="1"/>
  <c r="AN127" i="1"/>
  <c r="AN126" i="1"/>
  <c r="AN123" i="1"/>
  <c r="AH125" i="1"/>
  <c r="AJ127" i="1"/>
  <c r="AJ126" i="1"/>
  <c r="AJ125" i="1"/>
  <c r="AJ124" i="1"/>
  <c r="AJ123" i="1"/>
  <c r="AJ122" i="1"/>
  <c r="AJ121" i="1"/>
  <c r="F121" i="1"/>
  <c r="AB120" i="1"/>
  <c r="AB119" i="1"/>
  <c r="AB117" i="1"/>
  <c r="AB114" i="1"/>
  <c r="AB113" i="1"/>
  <c r="AN119" i="1"/>
  <c r="AN115" i="1"/>
  <c r="AJ113" i="1"/>
  <c r="AB90" i="1"/>
  <c r="AE118" i="1"/>
  <c r="AS118" i="1" s="1"/>
  <c r="AB89" i="1"/>
  <c r="AB88" i="1"/>
  <c r="AB87" i="1"/>
  <c r="AW88" i="1"/>
  <c r="F120" i="1"/>
  <c r="F116" i="1"/>
  <c r="F114" i="1"/>
  <c r="F113" i="1"/>
  <c r="AB96" i="1"/>
  <c r="AB107" i="1"/>
  <c r="AB95" i="1"/>
  <c r="AB106" i="1"/>
  <c r="AW98" i="1"/>
  <c r="AB112" i="1"/>
  <c r="AB110" i="1"/>
  <c r="AB109" i="1"/>
  <c r="AB108" i="1"/>
  <c r="AB105" i="1"/>
  <c r="F101" i="1"/>
  <c r="AW107" i="1"/>
  <c r="AW106" i="1"/>
  <c r="AW105" i="1"/>
  <c r="AE107" i="1"/>
  <c r="AS107" i="1" s="1"/>
  <c r="AW104" i="1"/>
  <c r="AE105" i="1"/>
  <c r="AS105" i="1" s="1"/>
  <c r="AW97" i="1"/>
  <c r="F112" i="1"/>
  <c r="AW96" i="1"/>
  <c r="F111" i="1"/>
  <c r="AW95" i="1"/>
  <c r="F110" i="1"/>
  <c r="F109" i="1"/>
  <c r="F108" i="1"/>
  <c r="AB94" i="1"/>
  <c r="AB93" i="1"/>
  <c r="AA22" i="3"/>
  <c r="R22" i="3"/>
  <c r="S27" i="19" s="1"/>
  <c r="Q22" i="3"/>
  <c r="S29" i="19" s="1"/>
  <c r="O22" i="3"/>
  <c r="S28" i="19" s="1"/>
  <c r="N22" i="3"/>
  <c r="AA19" i="3"/>
  <c r="T22" i="3"/>
  <c r="S22" i="3"/>
  <c r="P22" i="3"/>
  <c r="M22" i="3"/>
  <c r="S25" i="19" s="1"/>
  <c r="H22" i="3"/>
  <c r="S13" i="19" s="1"/>
  <c r="T21" i="3"/>
  <c r="S21" i="3"/>
  <c r="R21" i="3"/>
  <c r="Q27" i="19" s="1"/>
  <c r="Q21" i="3"/>
  <c r="Q29" i="19" s="1"/>
  <c r="P21" i="3"/>
  <c r="O21" i="3"/>
  <c r="Q28" i="19" s="1"/>
  <c r="N21" i="3"/>
  <c r="H21" i="3"/>
  <c r="Q13" i="19" s="1"/>
  <c r="T20" i="3"/>
  <c r="Q20" i="3"/>
  <c r="L29" i="19" s="1"/>
  <c r="BD22" i="3"/>
  <c r="S19" i="3"/>
  <c r="R19" i="3"/>
  <c r="BD21" i="3"/>
  <c r="L22" i="3"/>
  <c r="S24" i="19" s="1"/>
  <c r="K22" i="3"/>
  <c r="S17" i="19" s="1"/>
  <c r="J22" i="3"/>
  <c r="S16" i="19" s="1"/>
  <c r="I22" i="3"/>
  <c r="S14" i="19" s="1"/>
  <c r="G22" i="3"/>
  <c r="S11" i="19" s="1"/>
  <c r="M21" i="3"/>
  <c r="Q25" i="19" s="1"/>
  <c r="L21" i="3"/>
  <c r="Q24" i="19" s="1"/>
  <c r="K21" i="3"/>
  <c r="Q17" i="19" s="1"/>
  <c r="J21" i="3"/>
  <c r="I21" i="3"/>
  <c r="Q14" i="19" s="1"/>
  <c r="G21" i="3"/>
  <c r="Q11" i="19" s="1"/>
  <c r="BD20" i="3"/>
  <c r="S20" i="3"/>
  <c r="R20" i="3"/>
  <c r="P20" i="3"/>
  <c r="K20" i="3"/>
  <c r="L17" i="19" s="1"/>
  <c r="I20" i="3"/>
  <c r="L14" i="19" s="1"/>
  <c r="BD19" i="3"/>
  <c r="M19" i="3"/>
  <c r="J25" i="19" s="1"/>
  <c r="AZ6" i="5"/>
  <c r="AZ5" i="5"/>
  <c r="O20" i="3"/>
  <c r="L28" i="19" s="1"/>
  <c r="N20" i="3"/>
  <c r="M20" i="3"/>
  <c r="L25" i="19" s="1"/>
  <c r="L20" i="3"/>
  <c r="L24" i="19" s="1"/>
  <c r="J20" i="3"/>
  <c r="L16" i="19" s="1"/>
  <c r="H20" i="3"/>
  <c r="L13" i="19" s="1"/>
  <c r="BB9" i="5"/>
  <c r="G20" i="3"/>
  <c r="L11" i="19" s="1"/>
  <c r="BB7" i="5"/>
  <c r="T19" i="3"/>
  <c r="J8" i="19" s="1"/>
  <c r="Q19" i="3"/>
  <c r="J29" i="19" s="1"/>
  <c r="P19" i="3"/>
  <c r="O19" i="3"/>
  <c r="J28" i="19" s="1"/>
  <c r="N19" i="3"/>
  <c r="L19" i="3"/>
  <c r="J24" i="19" s="1"/>
  <c r="K19" i="3"/>
  <c r="J17" i="19" s="1"/>
  <c r="J19" i="3"/>
  <c r="J16" i="19" s="1"/>
  <c r="I19" i="3"/>
  <c r="J14" i="19" s="1"/>
  <c r="H19" i="3"/>
  <c r="J13" i="19" s="1"/>
  <c r="G19" i="3"/>
  <c r="J11" i="19" s="1"/>
  <c r="BA10" i="5"/>
  <c r="BA9" i="5"/>
  <c r="BA6" i="5"/>
  <c r="BA5" i="5"/>
  <c r="BD18" i="3"/>
  <c r="AZ9" i="5"/>
  <c r="BD17" i="3"/>
  <c r="BB8" i="5"/>
  <c r="T17" i="3"/>
  <c r="BB5" i="5"/>
  <c r="S17" i="3"/>
  <c r="R17" i="3"/>
  <c r="Q17" i="3"/>
  <c r="C29" i="19" s="1"/>
  <c r="AZ10" i="5"/>
  <c r="P17" i="3"/>
  <c r="O17" i="3"/>
  <c r="C28" i="19" s="1"/>
  <c r="AZ8" i="5"/>
  <c r="N17" i="3"/>
  <c r="AZ7" i="5"/>
  <c r="M17" i="3"/>
  <c r="C25" i="19" s="1"/>
  <c r="L17" i="3"/>
  <c r="K17" i="3"/>
  <c r="C17" i="19" s="1"/>
  <c r="J17" i="3"/>
  <c r="C16" i="19" s="1"/>
  <c r="I17" i="3"/>
  <c r="C14" i="19" s="1"/>
  <c r="BD16" i="3"/>
  <c r="BA8" i="5"/>
  <c r="T18" i="3"/>
  <c r="E8" i="19" s="1"/>
  <c r="S18" i="3"/>
  <c r="BD12" i="3"/>
  <c r="R18" i="3"/>
  <c r="E27" i="19" s="1"/>
  <c r="BD11" i="3"/>
  <c r="Q18" i="3"/>
  <c r="E29" i="19" s="1"/>
  <c r="BD10" i="3"/>
  <c r="P18" i="3"/>
  <c r="AY9" i="5"/>
  <c r="O18" i="3"/>
  <c r="E28" i="19" s="1"/>
  <c r="BD8" i="3"/>
  <c r="N18" i="3"/>
  <c r="BD7" i="3"/>
  <c r="M18" i="3"/>
  <c r="E25" i="19" s="1"/>
  <c r="BD6" i="3"/>
  <c r="BB10" i="5"/>
  <c r="L18" i="3"/>
  <c r="E24" i="19" s="1"/>
  <c r="BD5" i="3"/>
  <c r="K18" i="3"/>
  <c r="E17" i="19" s="1"/>
  <c r="J18" i="3"/>
  <c r="E16" i="19" s="1"/>
  <c r="BD15" i="3"/>
  <c r="I18" i="3"/>
  <c r="E14" i="19" s="1"/>
  <c r="BD14" i="3"/>
  <c r="BB6" i="5"/>
  <c r="H18" i="3"/>
  <c r="E13" i="19" s="1"/>
  <c r="BD13" i="3"/>
  <c r="BA7" i="5"/>
  <c r="G18" i="3"/>
  <c r="E11" i="19" s="1"/>
  <c r="AY8" i="5"/>
  <c r="AY7" i="5"/>
  <c r="BD9" i="3"/>
  <c r="AY10" i="5"/>
  <c r="AY6" i="5"/>
  <c r="H17" i="3"/>
  <c r="C13" i="19" s="1"/>
  <c r="AY5" i="5"/>
  <c r="G17" i="3"/>
  <c r="C11" i="19" s="1"/>
  <c r="AB103" i="1"/>
  <c r="AB102" i="1"/>
  <c r="AB101" i="1"/>
  <c r="AB100" i="1"/>
  <c r="AB99" i="1"/>
  <c r="AB98" i="1"/>
  <c r="AB97" i="1"/>
  <c r="AE97" i="1"/>
  <c r="AS97" i="1" s="1"/>
  <c r="AE96" i="1"/>
  <c r="AS96" i="1" s="1"/>
  <c r="AE95" i="1"/>
  <c r="AS95" i="1" s="1"/>
  <c r="AE98" i="1"/>
  <c r="AS98" i="1" s="1"/>
  <c r="AW89" i="1"/>
  <c r="AB86" i="1"/>
  <c r="AB85" i="1"/>
  <c r="F103" i="1"/>
  <c r="F102" i="1"/>
  <c r="F100" i="1"/>
  <c r="F99" i="1"/>
  <c r="AW86" i="1"/>
  <c r="K78" i="4"/>
  <c r="J79" i="4"/>
  <c r="J78" i="4"/>
  <c r="J77" i="4"/>
  <c r="O77" i="4"/>
  <c r="N78" i="4"/>
  <c r="J76" i="4"/>
  <c r="I79" i="4"/>
  <c r="C71" i="7"/>
  <c r="D71" i="7" s="1"/>
  <c r="I78" i="4"/>
  <c r="C70" i="7"/>
  <c r="D70" i="7" s="1"/>
  <c r="I76" i="4"/>
  <c r="C69" i="7"/>
  <c r="D69" i="7" s="1"/>
  <c r="AJ86" i="1"/>
  <c r="G79" i="4"/>
  <c r="AJ85" i="1"/>
  <c r="G78" i="4"/>
  <c r="G77" i="4"/>
  <c r="G76" i="4"/>
  <c r="F79" i="4"/>
  <c r="AW74" i="1"/>
  <c r="F78" i="4"/>
  <c r="F77" i="4"/>
  <c r="F76" i="4"/>
  <c r="R79" i="4"/>
  <c r="C78" i="4"/>
  <c r="R78" i="4"/>
  <c r="C77" i="4"/>
  <c r="AB83" i="1"/>
  <c r="K77" i="4"/>
  <c r="R77" i="4"/>
  <c r="C76" i="4"/>
  <c r="C68" i="7"/>
  <c r="Q68" i="7" s="1"/>
  <c r="R76" i="4"/>
  <c r="Q78" i="4"/>
  <c r="AB76" i="1"/>
  <c r="P77" i="4"/>
  <c r="AB75" i="1"/>
  <c r="P76" i="4"/>
  <c r="O79" i="4"/>
  <c r="R71" i="7"/>
  <c r="O78" i="4"/>
  <c r="O76" i="4"/>
  <c r="N79" i="4"/>
  <c r="L77" i="4"/>
  <c r="K79" i="4"/>
  <c r="AB84" i="1"/>
  <c r="AB82" i="1"/>
  <c r="AB81" i="1"/>
  <c r="AB80" i="1"/>
  <c r="AB79" i="1"/>
  <c r="AB78" i="1"/>
  <c r="AB77" i="1"/>
  <c r="AJ82" i="1"/>
  <c r="Q79" i="4"/>
  <c r="I77" i="4"/>
  <c r="Q77" i="4"/>
  <c r="H79" i="4"/>
  <c r="AB72" i="1"/>
  <c r="Q76" i="4"/>
  <c r="H78" i="4"/>
  <c r="P79" i="4"/>
  <c r="H77" i="4"/>
  <c r="P78" i="4"/>
  <c r="H76" i="4"/>
  <c r="F84" i="1"/>
  <c r="F83" i="1"/>
  <c r="F82" i="1"/>
  <c r="F81" i="1"/>
  <c r="F80" i="1"/>
  <c r="F79" i="1"/>
  <c r="F78" i="1"/>
  <c r="F77" i="1"/>
  <c r="N77" i="4"/>
  <c r="E79" i="4"/>
  <c r="AW76" i="1"/>
  <c r="N76" i="4"/>
  <c r="E78" i="4"/>
  <c r="M79" i="4"/>
  <c r="E77" i="4"/>
  <c r="M78" i="4"/>
  <c r="E76" i="4"/>
  <c r="M77" i="4"/>
  <c r="D79" i="4"/>
  <c r="M76" i="4"/>
  <c r="D78" i="4"/>
  <c r="L79" i="4"/>
  <c r="D77" i="4"/>
  <c r="L78" i="4"/>
  <c r="C79" i="4"/>
  <c r="L76" i="4"/>
  <c r="D76" i="4"/>
  <c r="K76" i="4"/>
  <c r="AB74" i="1"/>
  <c r="AB73" i="1"/>
  <c r="AB71" i="1"/>
  <c r="AB70" i="1"/>
  <c r="AH72" i="1"/>
  <c r="F75" i="1"/>
  <c r="AN76" i="1"/>
  <c r="AJ72" i="1"/>
  <c r="F73" i="1"/>
  <c r="F72" i="1"/>
  <c r="F71" i="1"/>
  <c r="F70" i="1"/>
  <c r="AJ25" i="1"/>
  <c r="AE28" i="1"/>
  <c r="AS28" i="1" s="1"/>
  <c r="AW67" i="1"/>
  <c r="AW66" i="1"/>
  <c r="AJ30" i="1"/>
  <c r="AW65" i="1"/>
  <c r="AW64" i="1"/>
  <c r="AW63" i="1"/>
  <c r="AW62" i="1"/>
  <c r="AW60" i="1"/>
  <c r="AW54" i="1"/>
  <c r="AW40" i="1"/>
  <c r="AW39" i="1"/>
  <c r="AW38" i="1"/>
  <c r="AW37" i="1"/>
  <c r="AW36" i="1"/>
  <c r="AW28" i="1"/>
  <c r="AW7" i="1"/>
  <c r="AW6" i="1"/>
  <c r="F69" i="1"/>
  <c r="F68" i="1"/>
  <c r="AW8" i="1"/>
  <c r="AW35" i="1"/>
  <c r="AW34" i="1"/>
  <c r="AW33" i="1"/>
  <c r="AW32" i="1"/>
  <c r="AW31" i="1"/>
  <c r="AW30" i="1"/>
  <c r="AW61" i="1"/>
  <c r="AW29" i="1"/>
  <c r="AW59" i="1"/>
  <c r="AW27" i="1"/>
  <c r="AW58" i="1"/>
  <c r="AW26" i="1"/>
  <c r="AW57" i="1"/>
  <c r="AW25" i="1"/>
  <c r="AW56" i="1"/>
  <c r="AW24" i="1"/>
  <c r="AW55" i="1"/>
  <c r="AW23" i="1"/>
  <c r="AW22" i="1"/>
  <c r="AW53" i="1"/>
  <c r="AW21" i="1"/>
  <c r="AW52" i="1"/>
  <c r="AW20" i="1"/>
  <c r="AW51" i="1"/>
  <c r="AW19" i="1"/>
  <c r="AW50" i="1"/>
  <c r="AW18" i="1"/>
  <c r="AW49" i="1"/>
  <c r="AW17" i="1"/>
  <c r="AW48" i="1"/>
  <c r="AW16" i="1"/>
  <c r="AW47" i="1"/>
  <c r="AW15" i="1"/>
  <c r="AW46" i="1"/>
  <c r="AW14" i="1"/>
  <c r="AW45" i="1"/>
  <c r="AW13" i="1"/>
  <c r="AW44" i="1"/>
  <c r="AW12" i="1"/>
  <c r="AW43" i="1"/>
  <c r="AW11" i="1"/>
  <c r="AW42" i="1"/>
  <c r="AW10" i="1"/>
  <c r="AW41" i="1"/>
  <c r="AW9" i="1"/>
  <c r="AB26" i="1"/>
  <c r="AB23" i="1"/>
  <c r="AB47" i="1"/>
  <c r="AB53" i="1"/>
  <c r="AB21" i="1"/>
  <c r="AB20" i="1"/>
  <c r="AJ31" i="1"/>
  <c r="AH62" i="1"/>
  <c r="AE26" i="1"/>
  <c r="AS26" i="1" s="1"/>
  <c r="AN32" i="1"/>
  <c r="AB34" i="1"/>
  <c r="AB32" i="1"/>
  <c r="AB31" i="1"/>
  <c r="AB51" i="1"/>
  <c r="AB19" i="1"/>
  <c r="AB48" i="1"/>
  <c r="AB16" i="1"/>
  <c r="AB38" i="1"/>
  <c r="AB6" i="1"/>
  <c r="AB36" i="1"/>
  <c r="AB69" i="1"/>
  <c r="AB35" i="1"/>
  <c r="AB68" i="1"/>
  <c r="AB67" i="1"/>
  <c r="AB66" i="1"/>
  <c r="AB65" i="1"/>
  <c r="AB64" i="1"/>
  <c r="AN19" i="1"/>
  <c r="AJ34" i="1"/>
  <c r="AE23" i="1"/>
  <c r="AS23" i="1" s="1"/>
  <c r="AJ36" i="1"/>
  <c r="AJ13" i="1"/>
  <c r="AJ17" i="1"/>
  <c r="AB30" i="1"/>
  <c r="AB29" i="1"/>
  <c r="AB28" i="1"/>
  <c r="AN69" i="1"/>
  <c r="AB27" i="1"/>
  <c r="AN68" i="1"/>
  <c r="AN61" i="1"/>
  <c r="AN66" i="1"/>
  <c r="AN65" i="1"/>
  <c r="AN62" i="1"/>
  <c r="AN64" i="1"/>
  <c r="AH69" i="1"/>
  <c r="AN63" i="1"/>
  <c r="AH68" i="1"/>
  <c r="AN26" i="1"/>
  <c r="AH67" i="1"/>
  <c r="AJ33" i="1"/>
  <c r="AH66" i="1"/>
  <c r="AJ62" i="1"/>
  <c r="AH65" i="1"/>
  <c r="AJ10" i="1"/>
  <c r="AB43" i="1"/>
  <c r="AB11" i="1"/>
  <c r="AH64" i="1"/>
  <c r="AJ45" i="1"/>
  <c r="AB49" i="1"/>
  <c r="AB17" i="1"/>
  <c r="AB41" i="1"/>
  <c r="AB9" i="1"/>
  <c r="AB40" i="1"/>
  <c r="AB8" i="1"/>
  <c r="AN67" i="1"/>
  <c r="AB15" i="1"/>
  <c r="AB39" i="1"/>
  <c r="AB7" i="1"/>
  <c r="AB46" i="1"/>
  <c r="AB14" i="1"/>
  <c r="AB45" i="1"/>
  <c r="AB13" i="1"/>
  <c r="AN11" i="1"/>
  <c r="AB44" i="1"/>
  <c r="AB12" i="1"/>
  <c r="AB63" i="1"/>
  <c r="AB37" i="1"/>
  <c r="AB42" i="1"/>
  <c r="AB10" i="1"/>
  <c r="AB33" i="1"/>
  <c r="AJ69" i="1"/>
  <c r="AJ68" i="1"/>
  <c r="AJ66" i="1"/>
  <c r="AJ64" i="1"/>
  <c r="AJ63" i="1"/>
  <c r="AB50" i="1"/>
  <c r="AB18" i="1"/>
  <c r="AB25" i="1"/>
  <c r="AB56" i="1"/>
  <c r="AB24" i="1"/>
  <c r="AB54" i="1"/>
  <c r="AB22" i="1"/>
  <c r="AB62" i="1"/>
  <c r="AB59" i="1"/>
  <c r="AB55" i="1"/>
  <c r="AB61" i="1"/>
  <c r="AB60" i="1"/>
  <c r="AB52" i="1"/>
  <c r="AB58" i="1"/>
  <c r="AB57" i="1"/>
  <c r="AN56" i="1"/>
  <c r="AJ35" i="1"/>
  <c r="AJ47" i="1"/>
  <c r="AN16" i="1"/>
  <c r="AN22" i="1"/>
  <c r="AJ32" i="1"/>
  <c r="AJ19" i="1"/>
  <c r="AJ49" i="1"/>
  <c r="AH41" i="1"/>
  <c r="AJ14" i="1"/>
  <c r="AJ44" i="1"/>
  <c r="AJ9" i="1"/>
  <c r="AH8" i="1"/>
  <c r="AH43" i="1"/>
  <c r="AN45" i="1"/>
  <c r="AE55" i="1"/>
  <c r="AS55" i="1" s="1"/>
  <c r="AH17" i="1"/>
  <c r="AN47" i="1"/>
  <c r="AE57" i="1"/>
  <c r="AS57" i="1" s="1"/>
  <c r="AJ8" i="1"/>
  <c r="AN21" i="1"/>
  <c r="AH22" i="1"/>
  <c r="AH26" i="1"/>
  <c r="AN38" i="1"/>
  <c r="AH33" i="1"/>
  <c r="R11" i="3"/>
  <c r="E27" i="18" s="1"/>
  <c r="AH58" i="1"/>
  <c r="AE27" i="1"/>
  <c r="AS27" i="1" s="1"/>
  <c r="AH13" i="1"/>
  <c r="AJ46" i="1"/>
  <c r="AH10" i="1"/>
  <c r="AE16" i="1"/>
  <c r="AS16" i="1" s="1"/>
  <c r="AE21" i="1"/>
  <c r="AS21" i="1" s="1"/>
  <c r="AH40" i="1"/>
  <c r="AJ41" i="1"/>
  <c r="AN50" i="1"/>
  <c r="AH55" i="1"/>
  <c r="AN36" i="1"/>
  <c r="AN60" i="1"/>
  <c r="AJ53" i="1"/>
  <c r="T14" i="3"/>
  <c r="AA13" i="3"/>
  <c r="AJ48" i="1"/>
  <c r="AH52" i="1"/>
  <c r="AN34" i="1"/>
  <c r="AH35" i="1"/>
  <c r="AN37" i="1"/>
  <c r="AN57" i="1"/>
  <c r="AJ58" i="1"/>
  <c r="AN12" i="1"/>
  <c r="J15" i="3"/>
  <c r="Q16" i="18" s="1"/>
  <c r="AN43" i="1"/>
  <c r="AH9" i="1"/>
  <c r="AN25" i="1"/>
  <c r="AJ40" i="1"/>
  <c r="AH54" i="1"/>
  <c r="AJ60" i="1"/>
  <c r="AN13" i="1"/>
  <c r="AN23" i="1"/>
  <c r="AH39" i="1"/>
  <c r="H12" i="3"/>
  <c r="C13" i="18" s="1"/>
  <c r="AN44" i="1"/>
  <c r="AN40" i="1"/>
  <c r="AH59" i="1"/>
  <c r="M72" i="4"/>
  <c r="AE12" i="1"/>
  <c r="AS12" i="1" s="1"/>
  <c r="AJ15" i="1"/>
  <c r="AN14" i="1"/>
  <c r="AH31" i="1"/>
  <c r="AH36" i="1"/>
  <c r="AJ37" i="1"/>
  <c r="AN51" i="1"/>
  <c r="AH11" i="1"/>
  <c r="AN46" i="1"/>
  <c r="AE54" i="1"/>
  <c r="AS54" i="1" s="1"/>
  <c r="AS35" i="1"/>
  <c r="AE39" i="1"/>
  <c r="AS39" i="1" s="1"/>
  <c r="AH44" i="1"/>
  <c r="AN54" i="1"/>
  <c r="O5" i="3"/>
  <c r="C28" i="16" s="1"/>
  <c r="Q8" i="3"/>
  <c r="L29" i="16" s="1"/>
  <c r="G9" i="3"/>
  <c r="Q11" i="16" s="1"/>
  <c r="S11" i="3"/>
  <c r="I12" i="3"/>
  <c r="C14" i="18" s="1"/>
  <c r="K15" i="3"/>
  <c r="Q17" i="18" s="1"/>
  <c r="N12" i="4"/>
  <c r="F13" i="4"/>
  <c r="Q16" i="4"/>
  <c r="J17" i="4"/>
  <c r="C18" i="4"/>
  <c r="O21" i="4"/>
  <c r="K22" i="4"/>
  <c r="I23" i="4"/>
  <c r="E24" i="4"/>
  <c r="C31" i="4"/>
  <c r="M32" i="4"/>
  <c r="O40" i="4"/>
  <c r="G44" i="4"/>
  <c r="I56" i="4"/>
  <c r="O63" i="4"/>
  <c r="AH53" i="1"/>
  <c r="P5" i="3"/>
  <c r="F6" i="3"/>
  <c r="E10" i="16" s="1"/>
  <c r="R8" i="3"/>
  <c r="L27" i="16" s="1"/>
  <c r="H9" i="3"/>
  <c r="Q13" i="16" s="1"/>
  <c r="T11" i="3"/>
  <c r="E8" i="18" s="1"/>
  <c r="J12" i="3"/>
  <c r="C16" i="18" s="1"/>
  <c r="L15" i="3"/>
  <c r="Q24" i="18" s="1"/>
  <c r="O12" i="4"/>
  <c r="G13" i="4"/>
  <c r="R16" i="4"/>
  <c r="K17" i="4"/>
  <c r="D18" i="4"/>
  <c r="P21" i="4"/>
  <c r="L22" i="4"/>
  <c r="K23" i="4"/>
  <c r="F24" i="4"/>
  <c r="D31" i="4"/>
  <c r="O32" i="4"/>
  <c r="C35" i="4"/>
  <c r="H44" i="4"/>
  <c r="P63" i="4"/>
  <c r="AH30" i="1"/>
  <c r="Q5" i="3"/>
  <c r="C29" i="16" s="1"/>
  <c r="G6" i="3"/>
  <c r="E11" i="16" s="1"/>
  <c r="S8" i="3"/>
  <c r="I9" i="3"/>
  <c r="Q14" i="16" s="1"/>
  <c r="K12" i="3"/>
  <c r="C17" i="18" s="1"/>
  <c r="M15" i="3"/>
  <c r="Q25" i="18" s="1"/>
  <c r="P12" i="4"/>
  <c r="H13" i="4"/>
  <c r="L17" i="4"/>
  <c r="E18" i="4"/>
  <c r="Q21" i="4"/>
  <c r="M22" i="4"/>
  <c r="L23" i="4"/>
  <c r="G24" i="4"/>
  <c r="C25" i="4"/>
  <c r="I31" i="4"/>
  <c r="Q32" i="4"/>
  <c r="D35" i="4"/>
  <c r="I44" i="4"/>
  <c r="Q63" i="4"/>
  <c r="AN49" i="1"/>
  <c r="R5" i="3"/>
  <c r="C27" i="16" s="1"/>
  <c r="H6" i="3"/>
  <c r="E13" i="16" s="1"/>
  <c r="T8" i="3"/>
  <c r="L8" i="16" s="1"/>
  <c r="J9" i="3"/>
  <c r="Q16" i="16" s="1"/>
  <c r="L12" i="3"/>
  <c r="C24" i="18" s="1"/>
  <c r="N15" i="3"/>
  <c r="Q12" i="4"/>
  <c r="I13" i="4"/>
  <c r="M17" i="4"/>
  <c r="F18" i="4"/>
  <c r="R21" i="4"/>
  <c r="O22" i="4"/>
  <c r="M23" i="4"/>
  <c r="H24" i="4"/>
  <c r="D25" i="4"/>
  <c r="M31" i="4"/>
  <c r="R32" i="4"/>
  <c r="I35" i="4"/>
  <c r="M44" i="4"/>
  <c r="AN31" i="1"/>
  <c r="AE11" i="1"/>
  <c r="AS11" i="1" s="1"/>
  <c r="AH16" i="1"/>
  <c r="AE43" i="1"/>
  <c r="AS43" i="1" s="1"/>
  <c r="AH48" i="1"/>
  <c r="AN58" i="1"/>
  <c r="S5" i="3"/>
  <c r="I6" i="3"/>
  <c r="E14" i="16" s="1"/>
  <c r="K9" i="3"/>
  <c r="Q17" i="16" s="1"/>
  <c r="M12" i="3"/>
  <c r="C25" i="18" s="1"/>
  <c r="O15" i="3"/>
  <c r="Q28" i="18" s="1"/>
  <c r="R12" i="4"/>
  <c r="J13" i="4"/>
  <c r="N17" i="4"/>
  <c r="G18" i="4"/>
  <c r="Q22" i="4"/>
  <c r="N23" i="4"/>
  <c r="I24" i="4"/>
  <c r="E25" i="4"/>
  <c r="N31" i="4"/>
  <c r="M35" i="4"/>
  <c r="G64" i="4"/>
  <c r="AN17" i="1"/>
  <c r="AJ7" i="1"/>
  <c r="AE20" i="1"/>
  <c r="AH25" i="1"/>
  <c r="AN35" i="1"/>
  <c r="AE52" i="1"/>
  <c r="AS52" i="1" s="1"/>
  <c r="AH57" i="1"/>
  <c r="T5" i="3"/>
  <c r="C8" i="16" s="1"/>
  <c r="J6" i="3"/>
  <c r="E16" i="16" s="1"/>
  <c r="L9" i="3"/>
  <c r="Q24" i="16" s="1"/>
  <c r="N12" i="3"/>
  <c r="P15" i="3"/>
  <c r="F16" i="3"/>
  <c r="S10" i="18" s="1"/>
  <c r="K13" i="4"/>
  <c r="C14" i="4"/>
  <c r="O17" i="4"/>
  <c r="H18" i="4"/>
  <c r="O23" i="4"/>
  <c r="J24" i="4"/>
  <c r="F25" i="4"/>
  <c r="C26" i="4"/>
  <c r="C30" i="4"/>
  <c r="O31" i="4"/>
  <c r="N35" i="4"/>
  <c r="H64" i="4"/>
  <c r="R71" i="4"/>
  <c r="AE29" i="1"/>
  <c r="AS29" i="1" s="1"/>
  <c r="AH34" i="1"/>
  <c r="AE61" i="1"/>
  <c r="AS61" i="1" s="1"/>
  <c r="K6" i="3"/>
  <c r="E17" i="16" s="1"/>
  <c r="M9" i="3"/>
  <c r="Q25" i="16" s="1"/>
  <c r="O12" i="3"/>
  <c r="C28" i="18" s="1"/>
  <c r="Q15" i="3"/>
  <c r="Q29" i="18" s="1"/>
  <c r="G16" i="3"/>
  <c r="S11" i="18" s="1"/>
  <c r="L13" i="4"/>
  <c r="D14" i="4"/>
  <c r="P17" i="4"/>
  <c r="I18" i="4"/>
  <c r="P23" i="4"/>
  <c r="K24" i="4"/>
  <c r="G25" i="4"/>
  <c r="D26" i="4"/>
  <c r="D30" i="4"/>
  <c r="P31" i="4"/>
  <c r="O35" i="4"/>
  <c r="I64" i="4"/>
  <c r="AE7" i="1"/>
  <c r="AS7" i="1" s="1"/>
  <c r="AE6" i="1"/>
  <c r="AE38" i="1"/>
  <c r="AS38" i="1" s="1"/>
  <c r="AN53" i="1"/>
  <c r="L6" i="3"/>
  <c r="E24" i="16" s="1"/>
  <c r="N9" i="3"/>
  <c r="P12" i="3"/>
  <c r="F13" i="3"/>
  <c r="J10" i="18" s="1"/>
  <c r="R15" i="3"/>
  <c r="Q27" i="18" s="1"/>
  <c r="H16" i="3"/>
  <c r="S13" i="18" s="1"/>
  <c r="M13" i="4"/>
  <c r="E14" i="4"/>
  <c r="Q17" i="4"/>
  <c r="J18" i="4"/>
  <c r="C19" i="4"/>
  <c r="Q23" i="4"/>
  <c r="L24" i="4"/>
  <c r="H25" i="4"/>
  <c r="E26" i="4"/>
  <c r="C27" i="4"/>
  <c r="D28" i="4"/>
  <c r="C29" i="4"/>
  <c r="F30" i="4"/>
  <c r="Q31" i="4"/>
  <c r="P35" i="4"/>
  <c r="O51" i="4"/>
  <c r="AN8" i="1"/>
  <c r="AE15" i="1"/>
  <c r="AH20" i="1"/>
  <c r="AN30" i="1"/>
  <c r="M6" i="3"/>
  <c r="E25" i="16" s="1"/>
  <c r="O9" i="3"/>
  <c r="Q28" i="16" s="1"/>
  <c r="AA11" i="3"/>
  <c r="Q12" i="3"/>
  <c r="C29" i="18" s="1"/>
  <c r="G13" i="3"/>
  <c r="J11" i="18" s="1"/>
  <c r="S15" i="3"/>
  <c r="I16" i="3"/>
  <c r="S14" i="18" s="1"/>
  <c r="N13" i="4"/>
  <c r="F14" i="4"/>
  <c r="R17" i="4"/>
  <c r="K18" i="4"/>
  <c r="D19" i="4"/>
  <c r="R23" i="4"/>
  <c r="M24" i="4"/>
  <c r="I25" i="4"/>
  <c r="F26" i="4"/>
  <c r="D27" i="4"/>
  <c r="E28" i="4"/>
  <c r="D29" i="4"/>
  <c r="I30" i="4"/>
  <c r="R31" i="4"/>
  <c r="Q35" i="4"/>
  <c r="E41" i="4"/>
  <c r="E45" i="4"/>
  <c r="P51" i="4"/>
  <c r="AH21" i="1"/>
  <c r="AH29" i="1"/>
  <c r="AN39" i="1"/>
  <c r="AE56" i="1"/>
  <c r="AS56" i="1" s="1"/>
  <c r="AH61" i="1"/>
  <c r="N6" i="3"/>
  <c r="P9" i="3"/>
  <c r="F10" i="3"/>
  <c r="S10" i="16" s="1"/>
  <c r="R12" i="3"/>
  <c r="C27" i="18" s="1"/>
  <c r="H13" i="3"/>
  <c r="J13" i="18" s="1"/>
  <c r="T15" i="3"/>
  <c r="Q8" i="18" s="1"/>
  <c r="J16" i="3"/>
  <c r="S16" i="18" s="1"/>
  <c r="O13" i="4"/>
  <c r="G14" i="4"/>
  <c r="L18" i="4"/>
  <c r="E19" i="4"/>
  <c r="N24" i="4"/>
  <c r="J25" i="4"/>
  <c r="G26" i="4"/>
  <c r="E27" i="4"/>
  <c r="F28" i="4"/>
  <c r="E29" i="4"/>
  <c r="J30" i="4"/>
  <c r="R35" i="4"/>
  <c r="L41" i="4"/>
  <c r="Q51" i="4"/>
  <c r="K72" i="4"/>
  <c r="AH12" i="1"/>
  <c r="AN7" i="1"/>
  <c r="AE24" i="1"/>
  <c r="AS24" i="1" s="1"/>
  <c r="AH6" i="1"/>
  <c r="AH38" i="1"/>
  <c r="AN48" i="1"/>
  <c r="O6" i="3"/>
  <c r="E28" i="16" s="1"/>
  <c r="Q9" i="3"/>
  <c r="Q29" i="16" s="1"/>
  <c r="G10" i="3"/>
  <c r="S11" i="16" s="1"/>
  <c r="S12" i="3"/>
  <c r="I13" i="3"/>
  <c r="J14" i="18" s="1"/>
  <c r="K16" i="3"/>
  <c r="S17" i="18" s="1"/>
  <c r="P13" i="4"/>
  <c r="H14" i="4"/>
  <c r="M18" i="4"/>
  <c r="F19" i="4"/>
  <c r="O24" i="4"/>
  <c r="K25" i="4"/>
  <c r="I26" i="4"/>
  <c r="G27" i="4"/>
  <c r="G28" i="4"/>
  <c r="G29" i="4"/>
  <c r="K30" i="4"/>
  <c r="D37" i="4"/>
  <c r="L72" i="4"/>
  <c r="AH7" i="1"/>
  <c r="AH15" i="1"/>
  <c r="AE42" i="1"/>
  <c r="AH47" i="1"/>
  <c r="P6" i="3"/>
  <c r="F7" i="3"/>
  <c r="J10" i="16" s="1"/>
  <c r="R9" i="3"/>
  <c r="Q27" i="16" s="1"/>
  <c r="H10" i="3"/>
  <c r="S13" i="16" s="1"/>
  <c r="T12" i="3"/>
  <c r="C8" i="18" s="1"/>
  <c r="J13" i="3"/>
  <c r="J16" i="18" s="1"/>
  <c r="L16" i="3"/>
  <c r="S24" i="18" s="1"/>
  <c r="Q13" i="4"/>
  <c r="I14" i="4"/>
  <c r="N18" i="4"/>
  <c r="G19" i="4"/>
  <c r="P24" i="4"/>
  <c r="L25" i="4"/>
  <c r="J26" i="4"/>
  <c r="I27" i="4"/>
  <c r="H28" i="4"/>
  <c r="I29" i="4"/>
  <c r="L30" i="4"/>
  <c r="E37" i="4"/>
  <c r="D39" i="4"/>
  <c r="G52" i="4"/>
  <c r="C53" i="7"/>
  <c r="M53" i="7" s="1"/>
  <c r="C37" i="7"/>
  <c r="P37" i="7" s="1"/>
  <c r="C61" i="7"/>
  <c r="C52" i="7"/>
  <c r="R52" i="7" s="1"/>
  <c r="C36" i="7"/>
  <c r="F36" i="7" s="1"/>
  <c r="C44" i="7"/>
  <c r="D44" i="7" s="1"/>
  <c r="C43" i="7"/>
  <c r="E43" i="7" s="1"/>
  <c r="C27" i="7"/>
  <c r="P27" i="7" s="1"/>
  <c r="C14" i="7"/>
  <c r="L14" i="7" s="1"/>
  <c r="C42" i="7"/>
  <c r="E42" i="7" s="1"/>
  <c r="C41" i="7"/>
  <c r="K41" i="7" s="1"/>
  <c r="C19" i="7"/>
  <c r="E19" i="7" s="1"/>
  <c r="C26" i="7"/>
  <c r="E26" i="7" s="1"/>
  <c r="J73" i="4"/>
  <c r="R72" i="4"/>
  <c r="J69" i="4"/>
  <c r="R68" i="4"/>
  <c r="C40" i="7"/>
  <c r="D40" i="7" s="1"/>
  <c r="C39" i="7"/>
  <c r="J39" i="7" s="1"/>
  <c r="C25" i="7"/>
  <c r="J25" i="7" s="1"/>
  <c r="C65" i="7"/>
  <c r="J65" i="7" s="1"/>
  <c r="C38" i="7"/>
  <c r="L38" i="7" s="1"/>
  <c r="C34" i="7"/>
  <c r="E34" i="7" s="1"/>
  <c r="C66" i="7"/>
  <c r="N66" i="7" s="1"/>
  <c r="C33" i="7"/>
  <c r="K33" i="7" s="1"/>
  <c r="C67" i="7"/>
  <c r="H67" i="7" s="1"/>
  <c r="C57" i="7"/>
  <c r="O57" i="7" s="1"/>
  <c r="C56" i="7"/>
  <c r="L56" i="7" s="1"/>
  <c r="C55" i="7"/>
  <c r="M55" i="7" s="1"/>
  <c r="C54" i="7"/>
  <c r="M54" i="7" s="1"/>
  <c r="C58" i="7"/>
  <c r="N58" i="7" s="1"/>
  <c r="C59" i="7"/>
  <c r="P59" i="7" s="1"/>
  <c r="C51" i="7"/>
  <c r="P51" i="7" s="1"/>
  <c r="C60" i="7"/>
  <c r="N60" i="7" s="1"/>
  <c r="C50" i="7"/>
  <c r="O50" i="7" s="1"/>
  <c r="C49" i="7"/>
  <c r="C62" i="7"/>
  <c r="L62" i="7" s="1"/>
  <c r="C48" i="7"/>
  <c r="C47" i="7"/>
  <c r="G47" i="7" s="1"/>
  <c r="C64" i="7"/>
  <c r="C45" i="7"/>
  <c r="P45" i="7" s="1"/>
  <c r="C31" i="7"/>
  <c r="E31" i="7" s="1"/>
  <c r="C21" i="7"/>
  <c r="Q21" i="7" s="1"/>
  <c r="C20" i="7"/>
  <c r="Q20" i="7" s="1"/>
  <c r="C17" i="7"/>
  <c r="Q17" i="7" s="1"/>
  <c r="I72" i="4"/>
  <c r="P71" i="4"/>
  <c r="E68" i="4"/>
  <c r="M67" i="4"/>
  <c r="E64" i="4"/>
  <c r="M63" i="4"/>
  <c r="E60" i="4"/>
  <c r="M59" i="4"/>
  <c r="E56" i="4"/>
  <c r="M55" i="4"/>
  <c r="E52" i="4"/>
  <c r="M51" i="4"/>
  <c r="E48" i="4"/>
  <c r="M47" i="4"/>
  <c r="E44" i="4"/>
  <c r="M43" i="4"/>
  <c r="H72" i="4"/>
  <c r="O71" i="4"/>
  <c r="D68" i="4"/>
  <c r="L67" i="4"/>
  <c r="D64" i="4"/>
  <c r="L63" i="4"/>
  <c r="D60" i="4"/>
  <c r="L59" i="4"/>
  <c r="D56" i="4"/>
  <c r="L55" i="4"/>
  <c r="D52" i="4"/>
  <c r="L51" i="4"/>
  <c r="D48" i="4"/>
  <c r="L47" i="4"/>
  <c r="D44" i="4"/>
  <c r="L43" i="4"/>
  <c r="D40" i="4"/>
  <c r="L39" i="4"/>
  <c r="D36" i="4"/>
  <c r="L35" i="4"/>
  <c r="D32" i="4"/>
  <c r="L31" i="4"/>
  <c r="C16" i="7"/>
  <c r="E16" i="7" s="1"/>
  <c r="R75" i="4"/>
  <c r="G72" i="4"/>
  <c r="N71" i="4"/>
  <c r="C68" i="4"/>
  <c r="AI68" i="4" s="1"/>
  <c r="K67" i="4"/>
  <c r="C64" i="4"/>
  <c r="K63" i="4"/>
  <c r="C60" i="4"/>
  <c r="K59" i="4"/>
  <c r="C56" i="4"/>
  <c r="K55" i="4"/>
  <c r="C52" i="4"/>
  <c r="K51" i="4"/>
  <c r="C48" i="4"/>
  <c r="K47" i="4"/>
  <c r="C44" i="4"/>
  <c r="K43" i="4"/>
  <c r="C40" i="4"/>
  <c r="K39" i="4"/>
  <c r="C36" i="4"/>
  <c r="K35" i="4"/>
  <c r="C32" i="4"/>
  <c r="K31" i="4"/>
  <c r="C28" i="4"/>
  <c r="K27" i="4"/>
  <c r="C22" i="7"/>
  <c r="D22" i="7" s="1"/>
  <c r="Q75" i="4"/>
  <c r="F72" i="4"/>
  <c r="M71" i="4"/>
  <c r="J67" i="4"/>
  <c r="R66" i="4"/>
  <c r="J63" i="4"/>
  <c r="R62" i="4"/>
  <c r="J59" i="4"/>
  <c r="R58" i="4"/>
  <c r="J55" i="4"/>
  <c r="R54" i="4"/>
  <c r="J51" i="4"/>
  <c r="R50" i="4"/>
  <c r="J47" i="4"/>
  <c r="R46" i="4"/>
  <c r="J43" i="4"/>
  <c r="R42" i="4"/>
  <c r="J39" i="4"/>
  <c r="R38" i="4"/>
  <c r="J35" i="4"/>
  <c r="R34" i="4"/>
  <c r="J31" i="4"/>
  <c r="R30" i="4"/>
  <c r="J27" i="4"/>
  <c r="R26" i="4"/>
  <c r="J23" i="4"/>
  <c r="R22" i="4"/>
  <c r="C29" i="7"/>
  <c r="O29" i="7" s="1"/>
  <c r="C15" i="7"/>
  <c r="G15" i="7" s="1"/>
  <c r="C13" i="7"/>
  <c r="I13" i="7" s="1"/>
  <c r="P75" i="4"/>
  <c r="E72" i="4"/>
  <c r="L71" i="4"/>
  <c r="I67" i="4"/>
  <c r="Q66" i="4"/>
  <c r="I63" i="4"/>
  <c r="Q62" i="4"/>
  <c r="I59" i="4"/>
  <c r="Q58" i="4"/>
  <c r="I55" i="4"/>
  <c r="Q54" i="4"/>
  <c r="I51" i="4"/>
  <c r="Q50" i="4"/>
  <c r="I47" i="4"/>
  <c r="Q46" i="4"/>
  <c r="I43" i="4"/>
  <c r="Q42" i="4"/>
  <c r="O75" i="4"/>
  <c r="D72" i="4"/>
  <c r="K71" i="4"/>
  <c r="R70" i="4"/>
  <c r="H67" i="4"/>
  <c r="P66" i="4"/>
  <c r="H63" i="4"/>
  <c r="P62" i="4"/>
  <c r="H59" i="4"/>
  <c r="P58" i="4"/>
  <c r="H55" i="4"/>
  <c r="P54" i="4"/>
  <c r="H51" i="4"/>
  <c r="P50" i="4"/>
  <c r="H47" i="4"/>
  <c r="P46" i="4"/>
  <c r="H43" i="4"/>
  <c r="P42" i="4"/>
  <c r="H39" i="4"/>
  <c r="P38" i="4"/>
  <c r="H35" i="4"/>
  <c r="P34" i="4"/>
  <c r="H31" i="4"/>
  <c r="P30" i="4"/>
  <c r="H27" i="4"/>
  <c r="P26" i="4"/>
  <c r="H23" i="4"/>
  <c r="P22" i="4"/>
  <c r="H19" i="4"/>
  <c r="P18" i="4"/>
  <c r="H15" i="4"/>
  <c r="P14" i="4"/>
  <c r="N75" i="4"/>
  <c r="C72" i="4"/>
  <c r="AI72" i="4" s="1"/>
  <c r="J71" i="4"/>
  <c r="Q70" i="4"/>
  <c r="G67" i="4"/>
  <c r="O66" i="4"/>
  <c r="G63" i="4"/>
  <c r="O62" i="4"/>
  <c r="G59" i="4"/>
  <c r="O58" i="4"/>
  <c r="G55" i="4"/>
  <c r="O54" i="4"/>
  <c r="G51" i="4"/>
  <c r="O50" i="4"/>
  <c r="G47" i="4"/>
  <c r="O46" i="4"/>
  <c r="G43" i="4"/>
  <c r="O42" i="4"/>
  <c r="G39" i="4"/>
  <c r="O38" i="4"/>
  <c r="G35" i="4"/>
  <c r="O34" i="4"/>
  <c r="G31" i="4"/>
  <c r="C12" i="7"/>
  <c r="P12" i="7" s="1"/>
  <c r="M75" i="4"/>
  <c r="I71" i="4"/>
  <c r="P70" i="4"/>
  <c r="F67" i="4"/>
  <c r="N66" i="4"/>
  <c r="F63" i="4"/>
  <c r="N62" i="4"/>
  <c r="F59" i="4"/>
  <c r="N58" i="4"/>
  <c r="F55" i="4"/>
  <c r="N54" i="4"/>
  <c r="F51" i="4"/>
  <c r="N50" i="4"/>
  <c r="F47" i="4"/>
  <c r="N46" i="4"/>
  <c r="F43" i="4"/>
  <c r="N42" i="4"/>
  <c r="F39" i="4"/>
  <c r="N38" i="4"/>
  <c r="F35" i="4"/>
  <c r="N34" i="4"/>
  <c r="F31" i="4"/>
  <c r="N30" i="4"/>
  <c r="F27" i="4"/>
  <c r="N26" i="4"/>
  <c r="F23" i="4"/>
  <c r="N22" i="4"/>
  <c r="L75" i="4"/>
  <c r="H71" i="4"/>
  <c r="O70" i="4"/>
  <c r="E67" i="4"/>
  <c r="M66" i="4"/>
  <c r="E63" i="4"/>
  <c r="M62" i="4"/>
  <c r="E59" i="4"/>
  <c r="M58" i="4"/>
  <c r="E55" i="4"/>
  <c r="M54" i="4"/>
  <c r="E51" i="4"/>
  <c r="M50" i="4"/>
  <c r="E47" i="4"/>
  <c r="M46" i="4"/>
  <c r="E43" i="4"/>
  <c r="M42" i="4"/>
  <c r="E39" i="4"/>
  <c r="M38" i="4"/>
  <c r="E35" i="4"/>
  <c r="M34" i="4"/>
  <c r="E31" i="4"/>
  <c r="C23" i="7"/>
  <c r="R23" i="7" s="1"/>
  <c r="K75" i="4"/>
  <c r="R74" i="4"/>
  <c r="G71" i="4"/>
  <c r="N70" i="4"/>
  <c r="D67" i="4"/>
  <c r="L66" i="4"/>
  <c r="D63" i="4"/>
  <c r="L62" i="4"/>
  <c r="D59" i="4"/>
  <c r="L58" i="4"/>
  <c r="D55" i="4"/>
  <c r="L54" i="4"/>
  <c r="D51" i="4"/>
  <c r="L50" i="4"/>
  <c r="D47" i="4"/>
  <c r="L46" i="4"/>
  <c r="D43" i="4"/>
  <c r="L42" i="4"/>
  <c r="C11" i="7"/>
  <c r="L11" i="7" s="1"/>
  <c r="J75" i="4"/>
  <c r="Q74" i="4"/>
  <c r="F71" i="4"/>
  <c r="M70" i="4"/>
  <c r="C67" i="4"/>
  <c r="AI67" i="4" s="1"/>
  <c r="K66" i="4"/>
  <c r="C63" i="4"/>
  <c r="AI63" i="4" s="1"/>
  <c r="K62" i="4"/>
  <c r="C59" i="4"/>
  <c r="AI59" i="4" s="1"/>
  <c r="K58" i="4"/>
  <c r="C55" i="4"/>
  <c r="K54" i="4"/>
  <c r="C51" i="4"/>
  <c r="K50" i="4"/>
  <c r="C47" i="4"/>
  <c r="K46" i="4"/>
  <c r="C43" i="4"/>
  <c r="K42" i="4"/>
  <c r="C39" i="4"/>
  <c r="K38" i="4"/>
  <c r="I75" i="4"/>
  <c r="P74" i="4"/>
  <c r="E71" i="4"/>
  <c r="L70" i="4"/>
  <c r="J66" i="4"/>
  <c r="R65" i="4"/>
  <c r="J62" i="4"/>
  <c r="R61" i="4"/>
  <c r="J58" i="4"/>
  <c r="R57" i="4"/>
  <c r="J54" i="4"/>
  <c r="R53" i="4"/>
  <c r="J50" i="4"/>
  <c r="R49" i="4"/>
  <c r="J46" i="4"/>
  <c r="R45" i="4"/>
  <c r="J42" i="4"/>
  <c r="R41" i="4"/>
  <c r="J38" i="4"/>
  <c r="R37" i="4"/>
  <c r="H75" i="4"/>
  <c r="O74" i="4"/>
  <c r="D71" i="4"/>
  <c r="K70" i="4"/>
  <c r="I66" i="4"/>
  <c r="Q65" i="4"/>
  <c r="I62" i="4"/>
  <c r="Q61" i="4"/>
  <c r="I58" i="4"/>
  <c r="Q57" i="4"/>
  <c r="I54" i="4"/>
  <c r="Q53" i="4"/>
  <c r="I50" i="4"/>
  <c r="Q49" i="4"/>
  <c r="I46" i="4"/>
  <c r="Q45" i="4"/>
  <c r="I42" i="4"/>
  <c r="Q41" i="4"/>
  <c r="I38" i="4"/>
  <c r="Q37" i="4"/>
  <c r="I34" i="4"/>
  <c r="C46" i="7"/>
  <c r="M46" i="7" s="1"/>
  <c r="G75" i="4"/>
  <c r="N74" i="4"/>
  <c r="C71" i="4"/>
  <c r="J70" i="4"/>
  <c r="R69" i="4"/>
  <c r="H66" i="4"/>
  <c r="P65" i="4"/>
  <c r="H62" i="4"/>
  <c r="P61" i="4"/>
  <c r="H58" i="4"/>
  <c r="P57" i="4"/>
  <c r="H54" i="4"/>
  <c r="P53" i="4"/>
  <c r="H50" i="4"/>
  <c r="P49" i="4"/>
  <c r="H46" i="4"/>
  <c r="P45" i="4"/>
  <c r="H42" i="4"/>
  <c r="P41" i="4"/>
  <c r="H38" i="4"/>
  <c r="P37" i="4"/>
  <c r="H34" i="4"/>
  <c r="P33" i="4"/>
  <c r="H30" i="4"/>
  <c r="P29" i="4"/>
  <c r="H26" i="4"/>
  <c r="P25" i="4"/>
  <c r="H22" i="4"/>
  <c r="C35" i="7"/>
  <c r="F35" i="7" s="1"/>
  <c r="F75" i="4"/>
  <c r="M74" i="4"/>
  <c r="I70" i="4"/>
  <c r="Q69" i="4"/>
  <c r="G66" i="4"/>
  <c r="O65" i="4"/>
  <c r="G62" i="4"/>
  <c r="O61" i="4"/>
  <c r="G58" i="4"/>
  <c r="O57" i="4"/>
  <c r="G54" i="4"/>
  <c r="O53" i="4"/>
  <c r="G50" i="4"/>
  <c r="O49" i="4"/>
  <c r="G46" i="4"/>
  <c r="O45" i="4"/>
  <c r="G42" i="4"/>
  <c r="O41" i="4"/>
  <c r="G38" i="4"/>
  <c r="O37" i="4"/>
  <c r="G34" i="4"/>
  <c r="O33" i="4"/>
  <c r="G30" i="4"/>
  <c r="E75" i="4"/>
  <c r="L74" i="4"/>
  <c r="H70" i="4"/>
  <c r="P69" i="4"/>
  <c r="F66" i="4"/>
  <c r="N65" i="4"/>
  <c r="F62" i="4"/>
  <c r="N61" i="4"/>
  <c r="F58" i="4"/>
  <c r="N57" i="4"/>
  <c r="F54" i="4"/>
  <c r="N53" i="4"/>
  <c r="F50" i="4"/>
  <c r="N49" i="4"/>
  <c r="F46" i="4"/>
  <c r="N45" i="4"/>
  <c r="F42" i="4"/>
  <c r="N41" i="4"/>
  <c r="F38" i="4"/>
  <c r="N37" i="4"/>
  <c r="F34" i="4"/>
  <c r="C30" i="7"/>
  <c r="Q30" i="7" s="1"/>
  <c r="C24" i="7"/>
  <c r="N24" i="7" s="1"/>
  <c r="D75" i="4"/>
  <c r="K74" i="4"/>
  <c r="G70" i="4"/>
  <c r="O69" i="4"/>
  <c r="E66" i="4"/>
  <c r="M65" i="4"/>
  <c r="E62" i="4"/>
  <c r="M61" i="4"/>
  <c r="E58" i="4"/>
  <c r="M57" i="4"/>
  <c r="E54" i="4"/>
  <c r="M53" i="4"/>
  <c r="E50" i="4"/>
  <c r="M49" i="4"/>
  <c r="E46" i="4"/>
  <c r="M45" i="4"/>
  <c r="E42" i="4"/>
  <c r="M41" i="4"/>
  <c r="E38" i="4"/>
  <c r="M37" i="4"/>
  <c r="E34" i="4"/>
  <c r="M33" i="4"/>
  <c r="E30" i="4"/>
  <c r="C75" i="4"/>
  <c r="J74" i="4"/>
  <c r="R73" i="4"/>
  <c r="F70" i="4"/>
  <c r="N69" i="4"/>
  <c r="D66" i="4"/>
  <c r="L65" i="4"/>
  <c r="D62" i="4"/>
  <c r="L61" i="4"/>
  <c r="D58" i="4"/>
  <c r="L57" i="4"/>
  <c r="D54" i="4"/>
  <c r="L53" i="4"/>
  <c r="D50" i="4"/>
  <c r="L49" i="4"/>
  <c r="D46" i="4"/>
  <c r="L45" i="4"/>
  <c r="C32" i="7"/>
  <c r="D32" i="7" s="1"/>
  <c r="I74" i="4"/>
  <c r="Q73" i="4"/>
  <c r="E70" i="4"/>
  <c r="M69" i="4"/>
  <c r="C66" i="4"/>
  <c r="K65" i="4"/>
  <c r="C62" i="4"/>
  <c r="AI62" i="4" s="1"/>
  <c r="K61" i="4"/>
  <c r="C58" i="4"/>
  <c r="AI58" i="4" s="1"/>
  <c r="K57" i="4"/>
  <c r="C54" i="4"/>
  <c r="K53" i="4"/>
  <c r="C50" i="4"/>
  <c r="K49" i="4"/>
  <c r="C46" i="4"/>
  <c r="K45" i="4"/>
  <c r="C42" i="4"/>
  <c r="K41" i="4"/>
  <c r="C38" i="4"/>
  <c r="K37" i="4"/>
  <c r="H74" i="4"/>
  <c r="P73" i="4"/>
  <c r="D70" i="4"/>
  <c r="L69" i="4"/>
  <c r="J65" i="4"/>
  <c r="R64" i="4"/>
  <c r="J61" i="4"/>
  <c r="R60" i="4"/>
  <c r="J57" i="4"/>
  <c r="R56" i="4"/>
  <c r="J53" i="4"/>
  <c r="R52" i="4"/>
  <c r="J49" i="4"/>
  <c r="R48" i="4"/>
  <c r="J45" i="4"/>
  <c r="R44" i="4"/>
  <c r="J41" i="4"/>
  <c r="R40" i="4"/>
  <c r="J37" i="4"/>
  <c r="R36" i="4"/>
  <c r="C63" i="7"/>
  <c r="G74" i="4"/>
  <c r="O73" i="4"/>
  <c r="C70" i="4"/>
  <c r="AC70" i="4" s="1"/>
  <c r="K69" i="4"/>
  <c r="Q68" i="4"/>
  <c r="I65" i="4"/>
  <c r="Q64" i="4"/>
  <c r="I61" i="4"/>
  <c r="Q60" i="4"/>
  <c r="I57" i="4"/>
  <c r="Q56" i="4"/>
  <c r="I53" i="4"/>
  <c r="Q52" i="4"/>
  <c r="I49" i="4"/>
  <c r="Q48" i="4"/>
  <c r="I45" i="4"/>
  <c r="Q44" i="4"/>
  <c r="I41" i="4"/>
  <c r="Q40" i="4"/>
  <c r="F74" i="4"/>
  <c r="N73" i="4"/>
  <c r="I69" i="4"/>
  <c r="P68" i="4"/>
  <c r="H65" i="4"/>
  <c r="P64" i="4"/>
  <c r="H61" i="4"/>
  <c r="P60" i="4"/>
  <c r="H57" i="4"/>
  <c r="P56" i="4"/>
  <c r="H53" i="4"/>
  <c r="P52" i="4"/>
  <c r="H49" i="4"/>
  <c r="P48" i="4"/>
  <c r="H45" i="4"/>
  <c r="P44" i="4"/>
  <c r="H41" i="4"/>
  <c r="P40" i="4"/>
  <c r="H37" i="4"/>
  <c r="P36" i="4"/>
  <c r="H33" i="4"/>
  <c r="P32" i="4"/>
  <c r="H29" i="4"/>
  <c r="P28" i="4"/>
  <c r="E74" i="4"/>
  <c r="M73" i="4"/>
  <c r="H69" i="4"/>
  <c r="O68" i="4"/>
  <c r="G65" i="4"/>
  <c r="O64" i="4"/>
  <c r="G61" i="4"/>
  <c r="O60" i="4"/>
  <c r="G57" i="4"/>
  <c r="O56" i="4"/>
  <c r="G53" i="4"/>
  <c r="O52" i="4"/>
  <c r="G49" i="4"/>
  <c r="O48" i="4"/>
  <c r="G45" i="4"/>
  <c r="O44" i="4"/>
  <c r="G41" i="4"/>
  <c r="D74" i="4"/>
  <c r="L73" i="4"/>
  <c r="G69" i="4"/>
  <c r="N68" i="4"/>
  <c r="F65" i="4"/>
  <c r="N64" i="4"/>
  <c r="F61" i="4"/>
  <c r="N60" i="4"/>
  <c r="F57" i="4"/>
  <c r="N56" i="4"/>
  <c r="F53" i="4"/>
  <c r="N52" i="4"/>
  <c r="F49" i="4"/>
  <c r="N48" i="4"/>
  <c r="F45" i="4"/>
  <c r="N44" i="4"/>
  <c r="F41" i="4"/>
  <c r="N40" i="4"/>
  <c r="F37" i="4"/>
  <c r="N36" i="4"/>
  <c r="F33" i="4"/>
  <c r="N32" i="4"/>
  <c r="F29" i="4"/>
  <c r="N28" i="4"/>
  <c r="C74" i="4"/>
  <c r="K73" i="4"/>
  <c r="Q72" i="4"/>
  <c r="F69" i="4"/>
  <c r="M68" i="4"/>
  <c r="E65" i="4"/>
  <c r="M64" i="4"/>
  <c r="E61" i="4"/>
  <c r="M60" i="4"/>
  <c r="E57" i="4"/>
  <c r="M56" i="4"/>
  <c r="E53" i="4"/>
  <c r="M52" i="4"/>
  <c r="E49" i="4"/>
  <c r="M48" i="4"/>
  <c r="C28" i="7"/>
  <c r="F28" i="7" s="1"/>
  <c r="I73" i="4"/>
  <c r="P72" i="4"/>
  <c r="E69" i="4"/>
  <c r="L68" i="4"/>
  <c r="D65" i="4"/>
  <c r="L64" i="4"/>
  <c r="D61" i="4"/>
  <c r="L60" i="4"/>
  <c r="D57" i="4"/>
  <c r="L56" i="4"/>
  <c r="D53" i="4"/>
  <c r="L52" i="4"/>
  <c r="D49" i="4"/>
  <c r="L48" i="4"/>
  <c r="D45" i="4"/>
  <c r="L44" i="4"/>
  <c r="D41" i="4"/>
  <c r="L40" i="4"/>
  <c r="H73" i="4"/>
  <c r="O72" i="4"/>
  <c r="D69" i="4"/>
  <c r="K68" i="4"/>
  <c r="C65" i="4"/>
  <c r="K64" i="4"/>
  <c r="C61" i="4"/>
  <c r="K60" i="4"/>
  <c r="C57" i="4"/>
  <c r="K56" i="4"/>
  <c r="C53" i="4"/>
  <c r="K52" i="4"/>
  <c r="C49" i="4"/>
  <c r="K48" i="4"/>
  <c r="C45" i="4"/>
  <c r="K44" i="4"/>
  <c r="C41" i="4"/>
  <c r="K40" i="4"/>
  <c r="C37" i="4"/>
  <c r="G73" i="4"/>
  <c r="N72" i="4"/>
  <c r="C69" i="4"/>
  <c r="AI69" i="4" s="1"/>
  <c r="J68" i="4"/>
  <c r="R67" i="4"/>
  <c r="J64" i="4"/>
  <c r="R63" i="4"/>
  <c r="J60" i="4"/>
  <c r="R59" i="4"/>
  <c r="J56" i="4"/>
  <c r="R55" i="4"/>
  <c r="J52" i="4"/>
  <c r="R51" i="4"/>
  <c r="J48" i="4"/>
  <c r="R47" i="4"/>
  <c r="J44" i="4"/>
  <c r="R43" i="4"/>
  <c r="C73" i="4"/>
  <c r="AI73" i="4" s="1"/>
  <c r="J72" i="4"/>
  <c r="Q71" i="4"/>
  <c r="F68" i="4"/>
  <c r="N67" i="4"/>
  <c r="F64" i="4"/>
  <c r="N63" i="4"/>
  <c r="F60" i="4"/>
  <c r="N59" i="4"/>
  <c r="F56" i="4"/>
  <c r="N55" i="4"/>
  <c r="F52" i="4"/>
  <c r="N51" i="4"/>
  <c r="F48" i="4"/>
  <c r="N47" i="4"/>
  <c r="F44" i="4"/>
  <c r="N43" i="4"/>
  <c r="F40" i="4"/>
  <c r="N39" i="4"/>
  <c r="AH24" i="1"/>
  <c r="AJ38" i="1"/>
  <c r="AE51" i="1"/>
  <c r="AS51" i="1" s="1"/>
  <c r="AH56" i="1"/>
  <c r="Q6" i="3"/>
  <c r="E29" i="16" s="1"/>
  <c r="G7" i="3"/>
  <c r="J11" i="16" s="1"/>
  <c r="S9" i="3"/>
  <c r="I10" i="3"/>
  <c r="S14" i="16" s="1"/>
  <c r="K13" i="3"/>
  <c r="M16" i="3"/>
  <c r="R13" i="4"/>
  <c r="J14" i="4"/>
  <c r="C15" i="4"/>
  <c r="O18" i="4"/>
  <c r="I19" i="4"/>
  <c r="Q24" i="4"/>
  <c r="M25" i="4"/>
  <c r="K26" i="4"/>
  <c r="L27" i="4"/>
  <c r="I28" i="4"/>
  <c r="J29" i="4"/>
  <c r="M30" i="4"/>
  <c r="C34" i="4"/>
  <c r="G37" i="4"/>
  <c r="I39" i="4"/>
  <c r="H52" i="4"/>
  <c r="R6" i="3"/>
  <c r="E27" i="16" s="1"/>
  <c r="H7" i="3"/>
  <c r="J13" i="16" s="1"/>
  <c r="T9" i="3"/>
  <c r="Q8" i="16" s="1"/>
  <c r="J10" i="3"/>
  <c r="S16" i="16" s="1"/>
  <c r="L13" i="3"/>
  <c r="J24" i="18" s="1"/>
  <c r="N16" i="3"/>
  <c r="K14" i="4"/>
  <c r="D15" i="4"/>
  <c r="Q18" i="4"/>
  <c r="J19" i="4"/>
  <c r="C20" i="4"/>
  <c r="R24" i="4"/>
  <c r="N25" i="4"/>
  <c r="L26" i="4"/>
  <c r="M27" i="4"/>
  <c r="J28" i="4"/>
  <c r="K29" i="4"/>
  <c r="O30" i="4"/>
  <c r="D34" i="4"/>
  <c r="I37" i="4"/>
  <c r="M39" i="4"/>
  <c r="I52" i="4"/>
  <c r="O59" i="4"/>
  <c r="D73" i="4"/>
  <c r="AN20" i="1"/>
  <c r="AH42" i="1"/>
  <c r="AN52" i="1"/>
  <c r="S6" i="3"/>
  <c r="I7" i="3"/>
  <c r="J14" i="16" s="1"/>
  <c r="K10" i="3"/>
  <c r="S17" i="16" s="1"/>
  <c r="M13" i="3"/>
  <c r="J25" i="18" s="1"/>
  <c r="O16" i="3"/>
  <c r="S28" i="18" s="1"/>
  <c r="C11" i="4"/>
  <c r="L14" i="4"/>
  <c r="E15" i="4"/>
  <c r="R18" i="4"/>
  <c r="K19" i="4"/>
  <c r="D20" i="4"/>
  <c r="O25" i="4"/>
  <c r="M26" i="4"/>
  <c r="N27" i="4"/>
  <c r="K28" i="4"/>
  <c r="L29" i="4"/>
  <c r="Q30" i="4"/>
  <c r="J34" i="4"/>
  <c r="L37" i="4"/>
  <c r="O39" i="4"/>
  <c r="P59" i="4"/>
  <c r="E73" i="4"/>
  <c r="AH19" i="1"/>
  <c r="AN29" i="1"/>
  <c r="AH51" i="1"/>
  <c r="T6" i="3"/>
  <c r="E8" i="16" s="1"/>
  <c r="J7" i="3"/>
  <c r="J16" i="16" s="1"/>
  <c r="L10" i="3"/>
  <c r="S24" i="16" s="1"/>
  <c r="N13" i="3"/>
  <c r="P16" i="3"/>
  <c r="D11" i="4"/>
  <c r="M14" i="4"/>
  <c r="F15" i="4"/>
  <c r="L19" i="4"/>
  <c r="E20" i="4"/>
  <c r="Q25" i="4"/>
  <c r="O26" i="4"/>
  <c r="O27" i="4"/>
  <c r="L28" i="4"/>
  <c r="M29" i="4"/>
  <c r="K34" i="4"/>
  <c r="P39" i="4"/>
  <c r="Q59" i="4"/>
  <c r="F73" i="4"/>
  <c r="AN6" i="1"/>
  <c r="AH28" i="1"/>
  <c r="AH60" i="1"/>
  <c r="K7" i="3"/>
  <c r="J17" i="16" s="1"/>
  <c r="M10" i="3"/>
  <c r="S25" i="16" s="1"/>
  <c r="O13" i="3"/>
  <c r="J28" i="18" s="1"/>
  <c r="Q16" i="3"/>
  <c r="S29" i="18" s="1"/>
  <c r="E11" i="4"/>
  <c r="N14" i="4"/>
  <c r="G15" i="4"/>
  <c r="M19" i="4"/>
  <c r="F20" i="4"/>
  <c r="R25" i="4"/>
  <c r="Q26" i="4"/>
  <c r="P27" i="4"/>
  <c r="M28" i="4"/>
  <c r="N29" i="4"/>
  <c r="L34" i="4"/>
  <c r="Q39" i="4"/>
  <c r="AH37" i="1"/>
  <c r="L7" i="3"/>
  <c r="J24" i="16" s="1"/>
  <c r="N10" i="3"/>
  <c r="P13" i="3"/>
  <c r="F14" i="3"/>
  <c r="L10" i="18" s="1"/>
  <c r="R16" i="3"/>
  <c r="S27" i="18" s="1"/>
  <c r="F11" i="4"/>
  <c r="O14" i="4"/>
  <c r="I15" i="4"/>
  <c r="N19" i="4"/>
  <c r="G20" i="4"/>
  <c r="Q27" i="4"/>
  <c r="O28" i="4"/>
  <c r="O29" i="4"/>
  <c r="Q34" i="4"/>
  <c r="R39" i="4"/>
  <c r="G60" i="4"/>
  <c r="AN15" i="1"/>
  <c r="AH14" i="1"/>
  <c r="AN24" i="1"/>
  <c r="AH46" i="1"/>
  <c r="M7" i="3"/>
  <c r="J25" i="16" s="1"/>
  <c r="O10" i="3"/>
  <c r="S28" i="16" s="1"/>
  <c r="Q13" i="3"/>
  <c r="J29" i="18" s="1"/>
  <c r="G14" i="3"/>
  <c r="S16" i="3"/>
  <c r="G11" i="4"/>
  <c r="Q14" i="4"/>
  <c r="J15" i="4"/>
  <c r="C16" i="4"/>
  <c r="O19" i="4"/>
  <c r="H20" i="4"/>
  <c r="R27" i="4"/>
  <c r="Q28" i="4"/>
  <c r="Q29" i="4"/>
  <c r="C33" i="4"/>
  <c r="D42" i="4"/>
  <c r="H60" i="4"/>
  <c r="AE18" i="1"/>
  <c r="AS18" i="1" s="1"/>
  <c r="AH23" i="1"/>
  <c r="AN33" i="1"/>
  <c r="AE50" i="1"/>
  <c r="AS50" i="1" s="1"/>
  <c r="N7" i="3"/>
  <c r="P10" i="3"/>
  <c r="F11" i="3"/>
  <c r="E10" i="18" s="1"/>
  <c r="R13" i="3"/>
  <c r="J27" i="18" s="1"/>
  <c r="H14" i="3"/>
  <c r="L13" i="18" s="1"/>
  <c r="T16" i="3"/>
  <c r="S8" i="18" s="1"/>
  <c r="H11" i="4"/>
  <c r="R14" i="4"/>
  <c r="K15" i="4"/>
  <c r="D16" i="4"/>
  <c r="P19" i="4"/>
  <c r="I20" i="4"/>
  <c r="R28" i="4"/>
  <c r="R29" i="4"/>
  <c r="D33" i="4"/>
  <c r="O47" i="4"/>
  <c r="I60" i="4"/>
  <c r="O67" i="4"/>
  <c r="AN10" i="1"/>
  <c r="AH32" i="1"/>
  <c r="AN42" i="1"/>
  <c r="AE59" i="1"/>
  <c r="AS59" i="1" s="1"/>
  <c r="O7" i="3"/>
  <c r="J28" i="16" s="1"/>
  <c r="Q10" i="3"/>
  <c r="S29" i="16" s="1"/>
  <c r="G11" i="3"/>
  <c r="E11" i="18" s="1"/>
  <c r="S13" i="3"/>
  <c r="I14" i="3"/>
  <c r="L14" i="18" s="1"/>
  <c r="I11" i="4"/>
  <c r="L15" i="4"/>
  <c r="E16" i="4"/>
  <c r="Q19" i="4"/>
  <c r="J20" i="4"/>
  <c r="C21" i="4"/>
  <c r="E33" i="4"/>
  <c r="P47" i="4"/>
  <c r="P67" i="4"/>
  <c r="P7" i="3"/>
  <c r="F8" i="3"/>
  <c r="L10" i="16" s="1"/>
  <c r="R10" i="3"/>
  <c r="S27" i="16" s="1"/>
  <c r="H11" i="3"/>
  <c r="E13" i="18" s="1"/>
  <c r="T13" i="3"/>
  <c r="J8" i="18" s="1"/>
  <c r="J14" i="3"/>
  <c r="L16" i="18" s="1"/>
  <c r="J11" i="4"/>
  <c r="C12" i="4"/>
  <c r="M15" i="4"/>
  <c r="F16" i="4"/>
  <c r="R19" i="4"/>
  <c r="K20" i="4"/>
  <c r="D21" i="4"/>
  <c r="G33" i="4"/>
  <c r="E36" i="4"/>
  <c r="Q47" i="4"/>
  <c r="Q67" i="4"/>
  <c r="AH18" i="1"/>
  <c r="AN28" i="1"/>
  <c r="AH50" i="1"/>
  <c r="Q7" i="3"/>
  <c r="J29" i="16" s="1"/>
  <c r="G8" i="3"/>
  <c r="L11" i="16" s="1"/>
  <c r="S10" i="3"/>
  <c r="I11" i="3"/>
  <c r="E14" i="18" s="1"/>
  <c r="K14" i="3"/>
  <c r="L17" i="18" s="1"/>
  <c r="K11" i="4"/>
  <c r="D12" i="4"/>
  <c r="N15" i="4"/>
  <c r="G16" i="4"/>
  <c r="L20" i="4"/>
  <c r="E21" i="4"/>
  <c r="I33" i="4"/>
  <c r="F36" i="4"/>
  <c r="AE22" i="1"/>
  <c r="AS22" i="1" s="1"/>
  <c r="AH27" i="1"/>
  <c r="F5" i="3"/>
  <c r="C10" i="16" s="1"/>
  <c r="R7" i="3"/>
  <c r="J27" i="16" s="1"/>
  <c r="H8" i="3"/>
  <c r="L13" i="16" s="1"/>
  <c r="T10" i="3"/>
  <c r="S8" i="16" s="1"/>
  <c r="J11" i="3"/>
  <c r="E16" i="18" s="1"/>
  <c r="L14" i="3"/>
  <c r="L24" i="18" s="1"/>
  <c r="L11" i="4"/>
  <c r="E12" i="4"/>
  <c r="O15" i="4"/>
  <c r="H16" i="4"/>
  <c r="M20" i="4"/>
  <c r="F21" i="4"/>
  <c r="J33" i="4"/>
  <c r="G36" i="4"/>
  <c r="G68" i="4"/>
  <c r="AJ50" i="1"/>
  <c r="G5" i="3"/>
  <c r="C11" i="16" s="1"/>
  <c r="S7" i="3"/>
  <c r="I8" i="3"/>
  <c r="L14" i="16" s="1"/>
  <c r="K11" i="3"/>
  <c r="E17" i="18" s="1"/>
  <c r="M14" i="3"/>
  <c r="L25" i="18" s="1"/>
  <c r="M11" i="4"/>
  <c r="F12" i="4"/>
  <c r="P15" i="4"/>
  <c r="I16" i="4"/>
  <c r="N20" i="4"/>
  <c r="G21" i="4"/>
  <c r="E32" i="4"/>
  <c r="K33" i="4"/>
  <c r="H36" i="4"/>
  <c r="G48" i="4"/>
  <c r="H68" i="4"/>
  <c r="C18" i="7"/>
  <c r="R18" i="7" s="1"/>
  <c r="AH45" i="1"/>
  <c r="AN55" i="1"/>
  <c r="H5" i="3"/>
  <c r="C13" i="16" s="1"/>
  <c r="T7" i="3"/>
  <c r="J8" i="16" s="1"/>
  <c r="J8" i="3"/>
  <c r="L16" i="16" s="1"/>
  <c r="L11" i="3"/>
  <c r="E24" i="18" s="1"/>
  <c r="N14" i="3"/>
  <c r="N11" i="4"/>
  <c r="G12" i="4"/>
  <c r="Q15" i="4"/>
  <c r="J16" i="4"/>
  <c r="C17" i="4"/>
  <c r="O20" i="4"/>
  <c r="H21" i="4"/>
  <c r="C22" i="4"/>
  <c r="F32" i="4"/>
  <c r="L33" i="4"/>
  <c r="I36" i="4"/>
  <c r="H48" i="4"/>
  <c r="I68" i="4"/>
  <c r="I5" i="3"/>
  <c r="C14" i="16" s="1"/>
  <c r="K8" i="3"/>
  <c r="L17" i="16" s="1"/>
  <c r="M11" i="3"/>
  <c r="E25" i="18" s="1"/>
  <c r="O14" i="3"/>
  <c r="L28" i="18" s="1"/>
  <c r="AA16" i="3"/>
  <c r="O11" i="4"/>
  <c r="H12" i="4"/>
  <c r="R15" i="4"/>
  <c r="K16" i="4"/>
  <c r="D17" i="4"/>
  <c r="P20" i="4"/>
  <c r="I21" i="4"/>
  <c r="D22" i="4"/>
  <c r="G32" i="4"/>
  <c r="N33" i="4"/>
  <c r="J36" i="4"/>
  <c r="E40" i="4"/>
  <c r="I48" i="4"/>
  <c r="O55" i="4"/>
  <c r="AN41" i="1"/>
  <c r="J5" i="3"/>
  <c r="C16" i="16" s="1"/>
  <c r="L8" i="3"/>
  <c r="L24" i="16" s="1"/>
  <c r="N11" i="3"/>
  <c r="P14" i="3"/>
  <c r="F15" i="3"/>
  <c r="Q10" i="18" s="1"/>
  <c r="P11" i="4"/>
  <c r="I12" i="4"/>
  <c r="L16" i="4"/>
  <c r="E17" i="4"/>
  <c r="Q20" i="4"/>
  <c r="J21" i="4"/>
  <c r="E22" i="4"/>
  <c r="H32" i="4"/>
  <c r="Q33" i="4"/>
  <c r="K36" i="4"/>
  <c r="G40" i="4"/>
  <c r="O43" i="4"/>
  <c r="P55" i="4"/>
  <c r="AN9" i="1"/>
  <c r="AN18" i="1"/>
  <c r="K5" i="3"/>
  <c r="C17" i="16" s="1"/>
  <c r="M8" i="3"/>
  <c r="L25" i="16" s="1"/>
  <c r="O11" i="3"/>
  <c r="E28" i="18" s="1"/>
  <c r="Q14" i="3"/>
  <c r="L29" i="18" s="1"/>
  <c r="G15" i="3"/>
  <c r="Q11" i="18" s="1"/>
  <c r="Q11" i="4"/>
  <c r="J12" i="4"/>
  <c r="M16" i="4"/>
  <c r="F17" i="4"/>
  <c r="R20" i="4"/>
  <c r="K21" i="4"/>
  <c r="F22" i="4"/>
  <c r="C23" i="4"/>
  <c r="I32" i="4"/>
  <c r="R33" i="4"/>
  <c r="L36" i="4"/>
  <c r="H40" i="4"/>
  <c r="P43" i="4"/>
  <c r="Q55" i="4"/>
  <c r="AN27" i="1"/>
  <c r="AH49" i="1"/>
  <c r="AN59" i="1"/>
  <c r="L5" i="3"/>
  <c r="C24" i="16" s="1"/>
  <c r="N8" i="3"/>
  <c r="P11" i="3"/>
  <c r="F12" i="3"/>
  <c r="C10" i="18" s="1"/>
  <c r="R14" i="3"/>
  <c r="L27" i="18" s="1"/>
  <c r="H15" i="3"/>
  <c r="Q13" i="18" s="1"/>
  <c r="R11" i="4"/>
  <c r="K12" i="4"/>
  <c r="C13" i="4"/>
  <c r="N16" i="4"/>
  <c r="G17" i="4"/>
  <c r="L21" i="4"/>
  <c r="G22" i="4"/>
  <c r="D23" i="4"/>
  <c r="J32" i="4"/>
  <c r="M36" i="4"/>
  <c r="D38" i="4"/>
  <c r="I40" i="4"/>
  <c r="Q43" i="4"/>
  <c r="M5" i="3"/>
  <c r="C25" i="16" s="1"/>
  <c r="O8" i="3"/>
  <c r="L28" i="16" s="1"/>
  <c r="Q11" i="3"/>
  <c r="E29" i="18" s="1"/>
  <c r="G12" i="3"/>
  <c r="C11" i="18" s="1"/>
  <c r="S14" i="3"/>
  <c r="I15" i="3"/>
  <c r="Q14" i="18" s="1"/>
  <c r="L12" i="4"/>
  <c r="D13" i="4"/>
  <c r="O16" i="4"/>
  <c r="H17" i="4"/>
  <c r="M21" i="4"/>
  <c r="I22" i="4"/>
  <c r="E23" i="4"/>
  <c r="C24" i="4"/>
  <c r="K32" i="4"/>
  <c r="O36" i="4"/>
  <c r="L38" i="4"/>
  <c r="J40" i="4"/>
  <c r="G56" i="4"/>
  <c r="N5" i="3"/>
  <c r="P8" i="3"/>
  <c r="F9" i="3"/>
  <c r="Q10" i="16" s="1"/>
  <c r="M12" i="4"/>
  <c r="E13" i="4"/>
  <c r="P16" i="4"/>
  <c r="I17" i="4"/>
  <c r="N21" i="4"/>
  <c r="J22" i="4"/>
  <c r="G23" i="4"/>
  <c r="D24" i="4"/>
  <c r="L32" i="4"/>
  <c r="Q36" i="4"/>
  <c r="Q38" i="4"/>
  <c r="M40" i="4"/>
  <c r="H56" i="4"/>
  <c r="AC76" i="7" l="1"/>
  <c r="R73" i="7"/>
  <c r="AI76" i="7"/>
  <c r="AC73" i="7"/>
  <c r="AI86" i="4"/>
  <c r="AA23" i="3"/>
  <c r="AA24" i="3"/>
  <c r="H73" i="7"/>
  <c r="P73" i="7"/>
  <c r="L73" i="7"/>
  <c r="J78" i="7"/>
  <c r="AC86" i="4"/>
  <c r="AI78" i="7"/>
  <c r="AH86" i="4"/>
  <c r="O78" i="7"/>
  <c r="AC78" i="7"/>
  <c r="M73" i="7"/>
  <c r="AG86" i="4"/>
  <c r="S86" i="4"/>
  <c r="AE86" i="4" s="1"/>
  <c r="AI73" i="7"/>
  <c r="T86" i="4"/>
  <c r="AK86" i="4"/>
  <c r="Y86" i="4"/>
  <c r="G74" i="7"/>
  <c r="AO86" i="4"/>
  <c r="E76" i="7"/>
  <c r="I78" i="7"/>
  <c r="F76" i="7"/>
  <c r="N78" i="7"/>
  <c r="AI77" i="7"/>
  <c r="P78" i="7"/>
  <c r="AB86" i="4"/>
  <c r="AC77" i="7"/>
  <c r="AF86" i="4"/>
  <c r="AU24" i="3"/>
  <c r="E8" i="21"/>
  <c r="F8" i="21" s="1"/>
  <c r="AU23" i="3"/>
  <c r="C8" i="21"/>
  <c r="B8" i="21" s="1"/>
  <c r="X86" i="4"/>
  <c r="AJ25" i="3"/>
  <c r="J27" i="21"/>
  <c r="I27" i="21" s="1"/>
  <c r="AD86" i="4"/>
  <c r="AU25" i="3"/>
  <c r="J8" i="21"/>
  <c r="I8" i="21" s="1"/>
  <c r="AL86" i="4"/>
  <c r="AM86" i="4" s="1"/>
  <c r="AJ26" i="3"/>
  <c r="L27" i="21"/>
  <c r="M27" i="21" s="1"/>
  <c r="E78" i="7"/>
  <c r="T78" i="7" s="1"/>
  <c r="AA20" i="3"/>
  <c r="F78" i="7"/>
  <c r="AU26" i="3"/>
  <c r="L8" i="21"/>
  <c r="M8" i="21" s="1"/>
  <c r="G78" i="7"/>
  <c r="AJ86" i="4"/>
  <c r="AA26" i="3"/>
  <c r="H78" i="7"/>
  <c r="AU27" i="3"/>
  <c r="Q8" i="21"/>
  <c r="P8" i="21" s="1"/>
  <c r="AI67" i="7"/>
  <c r="K78" i="7"/>
  <c r="S78" i="7" s="1"/>
  <c r="L78" i="7"/>
  <c r="AJ28" i="3"/>
  <c r="S27" i="21"/>
  <c r="T27" i="21" s="1"/>
  <c r="M78" i="7"/>
  <c r="AA14" i="3"/>
  <c r="AU28" i="3"/>
  <c r="S8" i="21"/>
  <c r="T8" i="21" s="1"/>
  <c r="Q78" i="7"/>
  <c r="R78" i="7"/>
  <c r="AP86" i="4"/>
  <c r="V86" i="4"/>
  <c r="L74" i="7"/>
  <c r="O74" i="7"/>
  <c r="AC74" i="7"/>
  <c r="S82" i="4"/>
  <c r="AC75" i="7"/>
  <c r="E73" i="7"/>
  <c r="T73" i="7" s="1"/>
  <c r="N73" i="7"/>
  <c r="F73" i="7"/>
  <c r="AO73" i="7" s="1"/>
  <c r="AI74" i="4"/>
  <c r="AI61" i="7"/>
  <c r="AD84" i="4"/>
  <c r="I74" i="7"/>
  <c r="G73" i="7"/>
  <c r="AC32" i="4"/>
  <c r="I73" i="7"/>
  <c r="V73" i="7" s="1"/>
  <c r="O73" i="7"/>
  <c r="AD83" i="4"/>
  <c r="J74" i="7"/>
  <c r="J73" i="7"/>
  <c r="AF83" i="4"/>
  <c r="AC61" i="4"/>
  <c r="AI77" i="4"/>
  <c r="AI78" i="4"/>
  <c r="AN28" i="3"/>
  <c r="AI83" i="4"/>
  <c r="AI64" i="4"/>
  <c r="H74" i="7"/>
  <c r="S80" i="4"/>
  <c r="Z80" i="4" s="1"/>
  <c r="AN80" i="4" s="1"/>
  <c r="AC29" i="4"/>
  <c r="AI82" i="4"/>
  <c r="F74" i="7"/>
  <c r="AO74" i="7" s="1"/>
  <c r="Q74" i="7"/>
  <c r="R74" i="7"/>
  <c r="AD74" i="7" s="1"/>
  <c r="AF84" i="4"/>
  <c r="K73" i="7"/>
  <c r="AN27" i="3"/>
  <c r="AN25" i="3"/>
  <c r="AN26" i="3"/>
  <c r="AN23" i="3"/>
  <c r="AN24" i="3"/>
  <c r="AC76" i="4"/>
  <c r="AC57" i="4"/>
  <c r="AC65" i="4"/>
  <c r="Y85" i="4"/>
  <c r="AO80" i="4"/>
  <c r="AA82" i="4"/>
  <c r="X83" i="4"/>
  <c r="AC63" i="7"/>
  <c r="V82" i="4"/>
  <c r="W25" i="3"/>
  <c r="J20" i="21" s="1"/>
  <c r="I20" i="21" s="1"/>
  <c r="W24" i="3"/>
  <c r="E20" i="21" s="1"/>
  <c r="F20" i="21" s="1"/>
  <c r="U85" i="4"/>
  <c r="AO82" i="4"/>
  <c r="T81" i="4"/>
  <c r="AP81" i="4"/>
  <c r="Y81" i="4"/>
  <c r="AC80" i="4"/>
  <c r="W27" i="3"/>
  <c r="Q20" i="21" s="1"/>
  <c r="P20" i="21" s="1"/>
  <c r="N77" i="7"/>
  <c r="AD85" i="4"/>
  <c r="N74" i="7"/>
  <c r="AK84" i="4"/>
  <c r="Z82" i="4"/>
  <c r="AN82" i="4" s="1"/>
  <c r="U84" i="4"/>
  <c r="U80" i="4"/>
  <c r="AC79" i="4"/>
  <c r="X28" i="3"/>
  <c r="S21" i="21" s="1"/>
  <c r="T21" i="21" s="1"/>
  <c r="E74" i="7"/>
  <c r="Y82" i="4"/>
  <c r="V81" i="4"/>
  <c r="X84" i="4"/>
  <c r="AF85" i="4"/>
  <c r="AI28" i="3"/>
  <c r="AD28" i="3"/>
  <c r="S30" i="21" s="1"/>
  <c r="T30" i="21" s="1"/>
  <c r="W28" i="3"/>
  <c r="S20" i="21" s="1"/>
  <c r="T20" i="21" s="1"/>
  <c r="AC28" i="3"/>
  <c r="AB28" i="3"/>
  <c r="AM28" i="3"/>
  <c r="AQ28" i="3"/>
  <c r="AR28" i="3"/>
  <c r="U28" i="3"/>
  <c r="S26" i="21" s="1"/>
  <c r="T26" i="21" s="1"/>
  <c r="Y28" i="3"/>
  <c r="S22" i="21" s="1"/>
  <c r="T22" i="21" s="1"/>
  <c r="Z28" i="3"/>
  <c r="V28" i="3"/>
  <c r="AT28" i="3"/>
  <c r="S19" i="21" s="1"/>
  <c r="T19" i="21" s="1"/>
  <c r="AS28" i="3"/>
  <c r="AC26" i="3"/>
  <c r="AB26" i="3"/>
  <c r="AD27" i="3"/>
  <c r="AI27" i="3"/>
  <c r="AC27" i="3"/>
  <c r="X27" i="3"/>
  <c r="Q21" i="21" s="1"/>
  <c r="P21" i="21" s="1"/>
  <c r="AB27" i="3"/>
  <c r="AM27" i="3"/>
  <c r="AQ27" i="3"/>
  <c r="AR27" i="3"/>
  <c r="U27" i="3"/>
  <c r="Q26" i="21" s="1"/>
  <c r="P26" i="21" s="1"/>
  <c r="AJ27" i="3"/>
  <c r="X25" i="3"/>
  <c r="J21" i="21" s="1"/>
  <c r="I21" i="21" s="1"/>
  <c r="Y27" i="3"/>
  <c r="Q22" i="21" s="1"/>
  <c r="P22" i="21" s="1"/>
  <c r="Z27" i="3"/>
  <c r="V27" i="3"/>
  <c r="AT27" i="3"/>
  <c r="Q19" i="21" s="1"/>
  <c r="P19" i="21" s="1"/>
  <c r="AS27" i="3"/>
  <c r="AD26" i="3"/>
  <c r="L30" i="21" s="1"/>
  <c r="M30" i="21" s="1"/>
  <c r="AI26" i="3"/>
  <c r="W26" i="3"/>
  <c r="L20" i="21" s="1"/>
  <c r="M20" i="21" s="1"/>
  <c r="X26" i="3"/>
  <c r="L21" i="21" s="1"/>
  <c r="M21" i="21" s="1"/>
  <c r="AM26" i="3"/>
  <c r="AQ26" i="3"/>
  <c r="AR26" i="3"/>
  <c r="U26" i="3"/>
  <c r="L26" i="21" s="1"/>
  <c r="M26" i="21" s="1"/>
  <c r="Y26" i="3"/>
  <c r="L22" i="21" s="1"/>
  <c r="M22" i="21" s="1"/>
  <c r="Z26" i="3"/>
  <c r="AL26" i="3" s="1"/>
  <c r="V26" i="3"/>
  <c r="AT26" i="3"/>
  <c r="L19" i="21" s="1"/>
  <c r="M19" i="21" s="1"/>
  <c r="AS26" i="3"/>
  <c r="AI25" i="3"/>
  <c r="Y25" i="3"/>
  <c r="J22" i="21" s="1"/>
  <c r="I22" i="21" s="1"/>
  <c r="AD25" i="3"/>
  <c r="J30" i="21" s="1"/>
  <c r="I30" i="21" s="1"/>
  <c r="AC25" i="3"/>
  <c r="AB25" i="3"/>
  <c r="AM25" i="3"/>
  <c r="AQ25" i="3"/>
  <c r="AR25" i="3"/>
  <c r="U25" i="3"/>
  <c r="J26" i="21" s="1"/>
  <c r="I26" i="21" s="1"/>
  <c r="Z25" i="3"/>
  <c r="AL25" i="3" s="1"/>
  <c r="V25" i="3"/>
  <c r="AT25" i="3"/>
  <c r="J19" i="21" s="1"/>
  <c r="I19" i="21" s="1"/>
  <c r="AS25" i="3"/>
  <c r="W23" i="3"/>
  <c r="C20" i="21" s="1"/>
  <c r="B20" i="21" s="1"/>
  <c r="X23" i="3"/>
  <c r="C21" i="21" s="1"/>
  <c r="B21" i="21" s="1"/>
  <c r="AD24" i="3"/>
  <c r="AI24" i="3"/>
  <c r="AC24" i="3"/>
  <c r="X24" i="3"/>
  <c r="E21" i="21" s="1"/>
  <c r="F21" i="21" s="1"/>
  <c r="AB24" i="3"/>
  <c r="AM24" i="3"/>
  <c r="AQ24" i="3"/>
  <c r="AR24" i="3"/>
  <c r="U24" i="3"/>
  <c r="E26" i="21" s="1"/>
  <c r="F26" i="21" s="1"/>
  <c r="AJ24" i="3"/>
  <c r="Y24" i="3"/>
  <c r="E22" i="21" s="1"/>
  <c r="F22" i="21" s="1"/>
  <c r="Z24" i="3"/>
  <c r="V24" i="3"/>
  <c r="AT24" i="3"/>
  <c r="E19" i="21" s="1"/>
  <c r="F19" i="21" s="1"/>
  <c r="AS24" i="3"/>
  <c r="AD23" i="3"/>
  <c r="C30" i="21" s="1"/>
  <c r="B30" i="21" s="1"/>
  <c r="AI23" i="3"/>
  <c r="AC23" i="3"/>
  <c r="AB23" i="3"/>
  <c r="AM23" i="3"/>
  <c r="AQ23" i="3"/>
  <c r="AR23" i="3"/>
  <c r="U23" i="3"/>
  <c r="C26" i="21" s="1"/>
  <c r="B26" i="21" s="1"/>
  <c r="AJ23" i="3"/>
  <c r="Y23" i="3"/>
  <c r="C22" i="21" s="1"/>
  <c r="B22" i="21" s="1"/>
  <c r="Z23" i="3"/>
  <c r="V23" i="3"/>
  <c r="AT23" i="3"/>
  <c r="C19" i="21" s="1"/>
  <c r="B19" i="21" s="1"/>
  <c r="AS23" i="3"/>
  <c r="AH82" i="4"/>
  <c r="AB83" i="4"/>
  <c r="X82" i="4"/>
  <c r="AO85" i="4"/>
  <c r="AB82" i="4"/>
  <c r="AH83" i="4"/>
  <c r="AP82" i="4"/>
  <c r="Q73" i="7"/>
  <c r="X81" i="4"/>
  <c r="V83" i="4"/>
  <c r="AP80" i="4"/>
  <c r="Y84" i="4"/>
  <c r="R14" i="7"/>
  <c r="M74" i="7"/>
  <c r="AO84" i="4"/>
  <c r="P74" i="7"/>
  <c r="T82" i="4"/>
  <c r="AI28" i="4"/>
  <c r="K74" i="7"/>
  <c r="Q14" i="7"/>
  <c r="S83" i="4"/>
  <c r="AE83" i="4" s="1"/>
  <c r="V85" i="4"/>
  <c r="I72" i="7"/>
  <c r="AJ85" i="4"/>
  <c r="O72" i="7"/>
  <c r="AC72" i="7"/>
  <c r="J77" i="7"/>
  <c r="AC28" i="4"/>
  <c r="Q77" i="7"/>
  <c r="O77" i="7"/>
  <c r="Y80" i="4"/>
  <c r="AI33" i="7"/>
  <c r="AA9" i="3"/>
  <c r="AI22" i="4"/>
  <c r="AG80" i="4"/>
  <c r="AA81" i="4"/>
  <c r="P77" i="7"/>
  <c r="K77" i="7"/>
  <c r="AI66" i="4"/>
  <c r="AD82" i="4"/>
  <c r="L77" i="7"/>
  <c r="O75" i="7"/>
  <c r="AA84" i="4"/>
  <c r="AL80" i="4"/>
  <c r="AM80" i="4" s="1"/>
  <c r="AI64" i="7"/>
  <c r="M77" i="7"/>
  <c r="AI72" i="7"/>
  <c r="P75" i="7"/>
  <c r="R75" i="7"/>
  <c r="AA17" i="3"/>
  <c r="AI74" i="7"/>
  <c r="AI29" i="4"/>
  <c r="N75" i="7"/>
  <c r="G77" i="7"/>
  <c r="AH81" i="4"/>
  <c r="H77" i="7"/>
  <c r="AA15" i="3"/>
  <c r="U81" i="4"/>
  <c r="R77" i="7"/>
  <c r="Q75" i="7"/>
  <c r="S81" i="4"/>
  <c r="AE81" i="4" s="1"/>
  <c r="AB85" i="4"/>
  <c r="AH80" i="4"/>
  <c r="AK82" i="4"/>
  <c r="F75" i="7"/>
  <c r="AP84" i="4"/>
  <c r="G75" i="7"/>
  <c r="AG83" i="4"/>
  <c r="H75" i="7"/>
  <c r="F77" i="7"/>
  <c r="J75" i="7"/>
  <c r="E72" i="7"/>
  <c r="T72" i="7" s="1"/>
  <c r="K75" i="7"/>
  <c r="L75" i="7"/>
  <c r="J72" i="7"/>
  <c r="M75" i="7"/>
  <c r="AA85" i="4"/>
  <c r="H72" i="7"/>
  <c r="AG81" i="4"/>
  <c r="T85" i="4"/>
  <c r="V80" i="4"/>
  <c r="U82" i="4"/>
  <c r="AC81" i="4"/>
  <c r="S84" i="4"/>
  <c r="AE84" i="4" s="1"/>
  <c r="T83" i="4"/>
  <c r="AO83" i="4"/>
  <c r="AC84" i="4"/>
  <c r="AI84" i="4"/>
  <c r="I76" i="7"/>
  <c r="AA76" i="7" s="1"/>
  <c r="AC85" i="4"/>
  <c r="AI81" i="4"/>
  <c r="AH85" i="4"/>
  <c r="J76" i="7"/>
  <c r="AC82" i="4"/>
  <c r="AK81" i="4"/>
  <c r="N76" i="7"/>
  <c r="AO81" i="4"/>
  <c r="T84" i="4"/>
  <c r="AL81" i="4"/>
  <c r="AM81" i="4" s="1"/>
  <c r="F72" i="7"/>
  <c r="AP83" i="4"/>
  <c r="G72" i="7"/>
  <c r="Q76" i="7"/>
  <c r="AF82" i="4"/>
  <c r="E75" i="7"/>
  <c r="T75" i="7" s="1"/>
  <c r="AI75" i="7"/>
  <c r="AK80" i="4"/>
  <c r="AL82" i="4"/>
  <c r="AM82" i="4" s="1"/>
  <c r="AJ82" i="4"/>
  <c r="Y83" i="4"/>
  <c r="L72" i="7"/>
  <c r="E77" i="7"/>
  <c r="T77" i="7" s="1"/>
  <c r="M72" i="7"/>
  <c r="AG84" i="4"/>
  <c r="N72" i="7"/>
  <c r="AH84" i="4"/>
  <c r="AJ84" i="4"/>
  <c r="AE82" i="4"/>
  <c r="X80" i="4"/>
  <c r="P72" i="7"/>
  <c r="I77" i="7"/>
  <c r="U83" i="4"/>
  <c r="AJ81" i="4"/>
  <c r="AG82" i="4"/>
  <c r="AB80" i="4"/>
  <c r="Q72" i="7"/>
  <c r="AI85" i="4"/>
  <c r="AD80" i="4"/>
  <c r="R72" i="7"/>
  <c r="I75" i="7"/>
  <c r="G76" i="7"/>
  <c r="AB76" i="7" s="1"/>
  <c r="H76" i="7"/>
  <c r="K72" i="7"/>
  <c r="K76" i="7"/>
  <c r="L76" i="7"/>
  <c r="AB84" i="4"/>
  <c r="M76" i="7"/>
  <c r="S85" i="4"/>
  <c r="AE85" i="4" s="1"/>
  <c r="AC25" i="4"/>
  <c r="AD81" i="4"/>
  <c r="AL83" i="4"/>
  <c r="AM83" i="4" s="1"/>
  <c r="AJ83" i="4"/>
  <c r="AK83" i="4"/>
  <c r="AJ80" i="4"/>
  <c r="O76" i="7"/>
  <c r="AB81" i="4"/>
  <c r="V84" i="4"/>
  <c r="AP85" i="4"/>
  <c r="AA80" i="4"/>
  <c r="AL84" i="4"/>
  <c r="AM84" i="4" s="1"/>
  <c r="P76" i="7"/>
  <c r="R76" i="7"/>
  <c r="AF80" i="4"/>
  <c r="AK85" i="4"/>
  <c r="T80" i="4"/>
  <c r="AA21" i="3"/>
  <c r="AC83" i="4"/>
  <c r="X85" i="4"/>
  <c r="AG85" i="4"/>
  <c r="AL85" i="4"/>
  <c r="AM85" i="4" s="1"/>
  <c r="AF81" i="4"/>
  <c r="AA83" i="4"/>
  <c r="Y76" i="7"/>
  <c r="T76" i="7"/>
  <c r="AO76" i="7"/>
  <c r="X73" i="7"/>
  <c r="AG73" i="7"/>
  <c r="AC47" i="7"/>
  <c r="F71" i="7"/>
  <c r="AO71" i="7" s="1"/>
  <c r="G71" i="7"/>
  <c r="AC50" i="7"/>
  <c r="AA18" i="3"/>
  <c r="AI71" i="7"/>
  <c r="AA6" i="3"/>
  <c r="AI60" i="4"/>
  <c r="E71" i="7"/>
  <c r="AG71" i="7" s="1"/>
  <c r="G22" i="7"/>
  <c r="K22" i="7"/>
  <c r="M22" i="7"/>
  <c r="AB45" i="4"/>
  <c r="R26" i="7"/>
  <c r="AG26" i="7" s="1"/>
  <c r="G70" i="7"/>
  <c r="Q26" i="7"/>
  <c r="AC71" i="7"/>
  <c r="S22" i="4"/>
  <c r="AE22" i="4" s="1"/>
  <c r="L71" i="7"/>
  <c r="AB37" i="4"/>
  <c r="AI51" i="4"/>
  <c r="L40" i="7"/>
  <c r="I68" i="7"/>
  <c r="AC68" i="7"/>
  <c r="AI21" i="4"/>
  <c r="S79" i="4"/>
  <c r="Z79" i="4" s="1"/>
  <c r="AN79" i="4" s="1"/>
  <c r="AI16" i="4"/>
  <c r="AI25" i="7"/>
  <c r="AJ21" i="3"/>
  <c r="AI76" i="4"/>
  <c r="E68" i="7"/>
  <c r="F68" i="7"/>
  <c r="S77" i="4"/>
  <c r="AE77" i="4" s="1"/>
  <c r="F70" i="7"/>
  <c r="AO70" i="7" s="1"/>
  <c r="AI37" i="4"/>
  <c r="M71" i="7"/>
  <c r="AU21" i="3"/>
  <c r="Q8" i="19"/>
  <c r="P8" i="19" s="1"/>
  <c r="AJ20" i="3"/>
  <c r="L27" i="19"/>
  <c r="M27" i="19" s="1"/>
  <c r="AC78" i="4"/>
  <c r="AU22" i="3"/>
  <c r="S8" i="19"/>
  <c r="T8" i="19" s="1"/>
  <c r="X21" i="3"/>
  <c r="Q21" i="19" s="1"/>
  <c r="Q16" i="19"/>
  <c r="P16" i="19" s="1"/>
  <c r="R69" i="7"/>
  <c r="AM17" i="3"/>
  <c r="C24" i="19"/>
  <c r="B24" i="19" s="1"/>
  <c r="S78" i="4"/>
  <c r="AE78" i="4" s="1"/>
  <c r="AJ22" i="3"/>
  <c r="AJ19" i="3"/>
  <c r="J27" i="19"/>
  <c r="I27" i="19" s="1"/>
  <c r="M68" i="7"/>
  <c r="I71" i="7"/>
  <c r="Q71" i="7"/>
  <c r="AD71" i="7" s="1"/>
  <c r="AU20" i="3"/>
  <c r="L8" i="19"/>
  <c r="M8" i="19" s="1"/>
  <c r="L68" i="7"/>
  <c r="AJ17" i="3"/>
  <c r="C27" i="19"/>
  <c r="B27" i="19" s="1"/>
  <c r="R68" i="7"/>
  <c r="AD68" i="7" s="1"/>
  <c r="J68" i="7"/>
  <c r="AU17" i="3"/>
  <c r="C8" i="19"/>
  <c r="B8" i="19" s="1"/>
  <c r="AN21" i="3"/>
  <c r="AN22" i="3"/>
  <c r="AN20" i="3"/>
  <c r="AN17" i="3"/>
  <c r="AN18" i="3"/>
  <c r="W17" i="3"/>
  <c r="C20" i="19" s="1"/>
  <c r="X19" i="3"/>
  <c r="J21" i="19" s="1"/>
  <c r="AI22" i="3"/>
  <c r="AD22" i="3"/>
  <c r="S30" i="19" s="1"/>
  <c r="AC22" i="3"/>
  <c r="X22" i="3"/>
  <c r="S21" i="19" s="1"/>
  <c r="AB22" i="3"/>
  <c r="AM22" i="3"/>
  <c r="AQ22" i="3"/>
  <c r="AR22" i="3"/>
  <c r="U22" i="3"/>
  <c r="S26" i="19" s="1"/>
  <c r="Z22" i="3"/>
  <c r="V22" i="3"/>
  <c r="AT22" i="3"/>
  <c r="S19" i="19" s="1"/>
  <c r="AS22" i="3"/>
  <c r="W22" i="3"/>
  <c r="S20" i="19" s="1"/>
  <c r="Y22" i="3"/>
  <c r="S22" i="19" s="1"/>
  <c r="BC5" i="5"/>
  <c r="BI5" i="5" s="1"/>
  <c r="BI21" i="5" s="1"/>
  <c r="AD21" i="3"/>
  <c r="AI21" i="3"/>
  <c r="AC21" i="3"/>
  <c r="AB21" i="3"/>
  <c r="AM21" i="3"/>
  <c r="AQ21" i="3"/>
  <c r="AR21" i="3"/>
  <c r="U21" i="3"/>
  <c r="Q26" i="19" s="1"/>
  <c r="Y21" i="3"/>
  <c r="Q22" i="19" s="1"/>
  <c r="Z21" i="3"/>
  <c r="V21" i="3"/>
  <c r="AT21" i="3"/>
  <c r="Q19" i="19" s="1"/>
  <c r="W21" i="3"/>
  <c r="Q20" i="19" s="1"/>
  <c r="W20" i="3"/>
  <c r="L20" i="19" s="1"/>
  <c r="X20" i="3"/>
  <c r="L21" i="19" s="1"/>
  <c r="AS21" i="3"/>
  <c r="AC19" i="3"/>
  <c r="AN19" i="3"/>
  <c r="AI20" i="3"/>
  <c r="AD20" i="3"/>
  <c r="L30" i="19" s="1"/>
  <c r="AM20" i="3"/>
  <c r="AQ20" i="3"/>
  <c r="AR20" i="3"/>
  <c r="U20" i="3"/>
  <c r="L26" i="19" s="1"/>
  <c r="Y20" i="3"/>
  <c r="L22" i="19" s="1"/>
  <c r="Z20" i="3"/>
  <c r="V20" i="3"/>
  <c r="AT20" i="3"/>
  <c r="L19" i="19" s="1"/>
  <c r="AC20" i="3"/>
  <c r="AB20" i="3"/>
  <c r="AD19" i="3"/>
  <c r="AS20" i="3"/>
  <c r="AD17" i="3"/>
  <c r="AK17" i="3" s="1"/>
  <c r="W19" i="3"/>
  <c r="J20" i="19" s="1"/>
  <c r="AB19" i="3"/>
  <c r="AM19" i="3"/>
  <c r="AQ19" i="3"/>
  <c r="AR19" i="3"/>
  <c r="U19" i="3"/>
  <c r="J26" i="19" s="1"/>
  <c r="AD18" i="3"/>
  <c r="AS19" i="3"/>
  <c r="AU19" i="3"/>
  <c r="AI19" i="3"/>
  <c r="Y19" i="3"/>
  <c r="J22" i="19" s="1"/>
  <c r="Z19" i="3"/>
  <c r="V19" i="3"/>
  <c r="AT19" i="3"/>
  <c r="J19" i="19" s="1"/>
  <c r="BC8" i="5"/>
  <c r="BJ8" i="5" s="1"/>
  <c r="BJ24" i="5" s="1"/>
  <c r="BC7" i="5"/>
  <c r="BK7" i="5" s="1"/>
  <c r="BK23" i="5" s="1"/>
  <c r="W18" i="3"/>
  <c r="E20" i="19" s="1"/>
  <c r="BC9" i="5"/>
  <c r="BJ9" i="5" s="1"/>
  <c r="BJ25" i="5" s="1"/>
  <c r="U17" i="3"/>
  <c r="C26" i="19" s="1"/>
  <c r="AR17" i="3"/>
  <c r="X17" i="3"/>
  <c r="C21" i="19" s="1"/>
  <c r="BC10" i="5"/>
  <c r="BJ10" i="5" s="1"/>
  <c r="BJ26" i="5" s="1"/>
  <c r="AC18" i="3"/>
  <c r="X18" i="3"/>
  <c r="E21" i="19" s="1"/>
  <c r="AB18" i="3"/>
  <c r="AM18" i="3"/>
  <c r="AQ18" i="3"/>
  <c r="AR18" i="3"/>
  <c r="U18" i="3"/>
  <c r="E26" i="19" s="1"/>
  <c r="BC6" i="5"/>
  <c r="BH6" i="5" s="1"/>
  <c r="BH22" i="5" s="1"/>
  <c r="AJ18" i="3"/>
  <c r="AS18" i="3"/>
  <c r="AU18" i="3"/>
  <c r="Y18" i="3"/>
  <c r="E22" i="19" s="1"/>
  <c r="AI18" i="3"/>
  <c r="Z18" i="3"/>
  <c r="V18" i="3"/>
  <c r="AT18" i="3"/>
  <c r="E19" i="19" s="1"/>
  <c r="AB17" i="3"/>
  <c r="Y17" i="3"/>
  <c r="C22" i="19" s="1"/>
  <c r="AQ17" i="3"/>
  <c r="AI17" i="3"/>
  <c r="AS17" i="3"/>
  <c r="Z17" i="3"/>
  <c r="V17" i="3"/>
  <c r="AT17" i="3"/>
  <c r="C19" i="19" s="1"/>
  <c r="AC17" i="3"/>
  <c r="I69" i="7"/>
  <c r="AF76" i="4"/>
  <c r="Q69" i="7"/>
  <c r="AI68" i="7"/>
  <c r="E70" i="7"/>
  <c r="K68" i="7"/>
  <c r="G69" i="7"/>
  <c r="O68" i="7"/>
  <c r="O69" i="7"/>
  <c r="D68" i="7"/>
  <c r="H68" i="7"/>
  <c r="P68" i="7"/>
  <c r="AF68" i="7" s="1"/>
  <c r="L69" i="7"/>
  <c r="AF78" i="4"/>
  <c r="H69" i="7"/>
  <c r="L70" i="7"/>
  <c r="P69" i="7"/>
  <c r="AD76" i="4"/>
  <c r="F69" i="7"/>
  <c r="G68" i="7"/>
  <c r="O71" i="7"/>
  <c r="N68" i="7"/>
  <c r="K71" i="7"/>
  <c r="N69" i="7"/>
  <c r="AF77" i="4"/>
  <c r="N70" i="7"/>
  <c r="N71" i="7"/>
  <c r="AI41" i="4"/>
  <c r="AI45" i="4"/>
  <c r="AA45" i="4"/>
  <c r="AP79" i="4"/>
  <c r="AI69" i="7"/>
  <c r="D45" i="7"/>
  <c r="AH76" i="4"/>
  <c r="R45" i="7"/>
  <c r="AD78" i="4"/>
  <c r="AF79" i="4"/>
  <c r="AH77" i="4"/>
  <c r="H70" i="7"/>
  <c r="AI47" i="4"/>
  <c r="E45" i="7"/>
  <c r="H71" i="7"/>
  <c r="AC77" i="4"/>
  <c r="P71" i="7"/>
  <c r="AA78" i="4"/>
  <c r="V79" i="4"/>
  <c r="V76" i="4"/>
  <c r="U76" i="4"/>
  <c r="AP76" i="4"/>
  <c r="U78" i="4"/>
  <c r="U79" i="4"/>
  <c r="U77" i="4"/>
  <c r="AC70" i="7"/>
  <c r="AD77" i="4"/>
  <c r="AC69" i="7"/>
  <c r="O70" i="7"/>
  <c r="R70" i="7"/>
  <c r="AI70" i="7"/>
  <c r="E69" i="7"/>
  <c r="AJ78" i="4"/>
  <c r="M69" i="7"/>
  <c r="P70" i="7"/>
  <c r="AP77" i="4"/>
  <c r="V78" i="4"/>
  <c r="S76" i="4"/>
  <c r="AE76" i="4" s="1"/>
  <c r="M70" i="7"/>
  <c r="P14" i="7"/>
  <c r="J14" i="7"/>
  <c r="O14" i="7"/>
  <c r="K69" i="7"/>
  <c r="J69" i="7"/>
  <c r="J70" i="7"/>
  <c r="N14" i="7"/>
  <c r="J71" i="7"/>
  <c r="I70" i="7"/>
  <c r="Q70" i="7"/>
  <c r="K70" i="7"/>
  <c r="AA37" i="4"/>
  <c r="AB56" i="4"/>
  <c r="AA77" i="4"/>
  <c r="AB77" i="4"/>
  <c r="X76" i="4"/>
  <c r="Y78" i="4"/>
  <c r="X78" i="4"/>
  <c r="AG77" i="4"/>
  <c r="AG78" i="4"/>
  <c r="X77" i="4"/>
  <c r="AC71" i="4"/>
  <c r="X79" i="4"/>
  <c r="AG76" i="4"/>
  <c r="AG79" i="4"/>
  <c r="AL76" i="4"/>
  <c r="AM76" i="4" s="1"/>
  <c r="AI26" i="4"/>
  <c r="AI55" i="4"/>
  <c r="AI79" i="4"/>
  <c r="Y77" i="4"/>
  <c r="AO77" i="4"/>
  <c r="T77" i="4"/>
  <c r="AB78" i="4"/>
  <c r="AB79" i="4"/>
  <c r="AA79" i="4"/>
  <c r="Y79" i="4"/>
  <c r="T79" i="4"/>
  <c r="AD79" i="4"/>
  <c r="V77" i="4"/>
  <c r="AJ77" i="4"/>
  <c r="T78" i="4"/>
  <c r="AP78" i="4"/>
  <c r="AH78" i="4"/>
  <c r="AK77" i="4"/>
  <c r="AK78" i="4"/>
  <c r="AO78" i="4"/>
  <c r="AH79" i="4"/>
  <c r="AK79" i="4"/>
  <c r="AO79" i="4"/>
  <c r="AJ79" i="4"/>
  <c r="AL77" i="4"/>
  <c r="AM77" i="4" s="1"/>
  <c r="AL78" i="4"/>
  <c r="AM78" i="4" s="1"/>
  <c r="AA76" i="4"/>
  <c r="AL79" i="4"/>
  <c r="AM79" i="4" s="1"/>
  <c r="AB76" i="4"/>
  <c r="D14" i="7"/>
  <c r="T76" i="4"/>
  <c r="AO76" i="4"/>
  <c r="Y76" i="4"/>
  <c r="AK76" i="4"/>
  <c r="AJ76" i="4"/>
  <c r="AA14" i="4"/>
  <c r="AA25" i="4"/>
  <c r="V29" i="4"/>
  <c r="AC48" i="7"/>
  <c r="AC15" i="4"/>
  <c r="AU14" i="3"/>
  <c r="L8" i="18"/>
  <c r="M8" i="18" s="1"/>
  <c r="O11" i="7"/>
  <c r="P38" i="7"/>
  <c r="R37" i="7"/>
  <c r="Q37" i="7"/>
  <c r="AF37" i="7" s="1"/>
  <c r="AC37" i="7"/>
  <c r="Q11" i="7"/>
  <c r="AI35" i="4"/>
  <c r="AI14" i="3"/>
  <c r="L11" i="18"/>
  <c r="M11" i="18" s="1"/>
  <c r="AI42" i="4"/>
  <c r="AN16" i="3"/>
  <c r="S25" i="18"/>
  <c r="T25" i="18" s="1"/>
  <c r="AI50" i="4"/>
  <c r="AB13" i="3"/>
  <c r="J17" i="18"/>
  <c r="I17" i="18" s="1"/>
  <c r="AF16" i="4"/>
  <c r="AI24" i="4"/>
  <c r="AI43" i="4"/>
  <c r="AA8" i="3"/>
  <c r="AI31" i="4"/>
  <c r="AI30" i="4"/>
  <c r="F14" i="7"/>
  <c r="I14" i="7"/>
  <c r="F53" i="7"/>
  <c r="AC26" i="4"/>
  <c r="AD15" i="3"/>
  <c r="Q30" i="18" s="1"/>
  <c r="O38" i="7"/>
  <c r="S23" i="4"/>
  <c r="AE23" i="4" s="1"/>
  <c r="AN11" i="3"/>
  <c r="AI52" i="4"/>
  <c r="AA68" i="4"/>
  <c r="AI38" i="7"/>
  <c r="AF22" i="4"/>
  <c r="V27" i="4"/>
  <c r="AB68" i="4"/>
  <c r="AI60" i="7"/>
  <c r="S72" i="4"/>
  <c r="AE72" i="4" s="1"/>
  <c r="S70" i="4"/>
  <c r="AE70" i="4" s="1"/>
  <c r="G14" i="7"/>
  <c r="AC35" i="4"/>
  <c r="AC64" i="4"/>
  <c r="AA5" i="3"/>
  <c r="AC44" i="4"/>
  <c r="AI27" i="4"/>
  <c r="AC55" i="7"/>
  <c r="V23" i="4"/>
  <c r="AC75" i="4"/>
  <c r="AA52" i="4"/>
  <c r="AC49" i="4"/>
  <c r="AI54" i="4"/>
  <c r="L31" i="7"/>
  <c r="M40" i="7"/>
  <c r="N31" i="7"/>
  <c r="J31" i="7"/>
  <c r="S67" i="4"/>
  <c r="AE67" i="4" s="1"/>
  <c r="M61" i="7"/>
  <c r="S40" i="4"/>
  <c r="AE40" i="4" s="1"/>
  <c r="K26" i="7"/>
  <c r="AC33" i="4"/>
  <c r="S35" i="4"/>
  <c r="AE35" i="4" s="1"/>
  <c r="AC30" i="4"/>
  <c r="AI39" i="4"/>
  <c r="AI53" i="4"/>
  <c r="AC38" i="4"/>
  <c r="AC13" i="3"/>
  <c r="AC46" i="4"/>
  <c r="D33" i="7"/>
  <c r="AC31" i="4"/>
  <c r="AC39" i="4"/>
  <c r="E44" i="7"/>
  <c r="AC72" i="4"/>
  <c r="P26" i="7"/>
  <c r="J26" i="7"/>
  <c r="R25" i="7"/>
  <c r="P40" i="7"/>
  <c r="R44" i="7"/>
  <c r="I44" i="7"/>
  <c r="J44" i="7"/>
  <c r="K44" i="7"/>
  <c r="AF59" i="4"/>
  <c r="AC60" i="4"/>
  <c r="G44" i="7"/>
  <c r="O47" i="7"/>
  <c r="AI59" i="7"/>
  <c r="AF17" i="4"/>
  <c r="AC14" i="7"/>
  <c r="AP13" i="4"/>
  <c r="AD12" i="3"/>
  <c r="C30" i="18" s="1"/>
  <c r="U64" i="4"/>
  <c r="V56" i="4"/>
  <c r="AC34" i="4"/>
  <c r="V31" i="4"/>
  <c r="AC26" i="7"/>
  <c r="V30" i="4"/>
  <c r="V35" i="4"/>
  <c r="AP64" i="4"/>
  <c r="U44" i="4"/>
  <c r="U52" i="4"/>
  <c r="U29" i="4"/>
  <c r="AP44" i="4"/>
  <c r="AP11" i="4"/>
  <c r="AC49" i="7"/>
  <c r="AB60" i="4"/>
  <c r="AB71" i="4"/>
  <c r="AC36" i="4"/>
  <c r="AA60" i="4"/>
  <c r="AC40" i="4"/>
  <c r="AB16" i="3"/>
  <c r="AC12" i="4"/>
  <c r="AA28" i="4"/>
  <c r="L37" i="7"/>
  <c r="AC52" i="4"/>
  <c r="L61" i="7"/>
  <c r="O37" i="7"/>
  <c r="U59" i="4"/>
  <c r="AI48" i="4"/>
  <c r="Q25" i="7"/>
  <c r="AP58" i="4"/>
  <c r="E37" i="7"/>
  <c r="AC27" i="4"/>
  <c r="AI56" i="4"/>
  <c r="V38" i="4"/>
  <c r="AC54" i="7"/>
  <c r="AC63" i="4"/>
  <c r="K37" i="7"/>
  <c r="AA40" i="4"/>
  <c r="AF73" i="4"/>
  <c r="I43" i="7"/>
  <c r="AA43" i="7" s="1"/>
  <c r="AB46" i="4"/>
  <c r="E64" i="7"/>
  <c r="S60" i="4"/>
  <c r="AE60" i="4" s="1"/>
  <c r="S59" i="4"/>
  <c r="AE59" i="4" s="1"/>
  <c r="AC34" i="7"/>
  <c r="J43" i="7"/>
  <c r="U27" i="4"/>
  <c r="K43" i="7"/>
  <c r="AB41" i="4"/>
  <c r="G43" i="7"/>
  <c r="AP43" i="7" s="1"/>
  <c r="AF60" i="4"/>
  <c r="M43" i="7"/>
  <c r="H43" i="7"/>
  <c r="U58" i="4"/>
  <c r="U75" i="4"/>
  <c r="R36" i="7"/>
  <c r="AF19" i="4"/>
  <c r="AI18" i="4"/>
  <c r="AI34" i="4"/>
  <c r="J37" i="7"/>
  <c r="AC14" i="4"/>
  <c r="AA18" i="4"/>
  <c r="AT12" i="3"/>
  <c r="C19" i="18" s="1"/>
  <c r="AP23" i="4"/>
  <c r="AA16" i="4"/>
  <c r="AC66" i="4"/>
  <c r="AC43" i="4"/>
  <c r="AP47" i="4"/>
  <c r="AP73" i="4"/>
  <c r="AC43" i="7"/>
  <c r="AI44" i="7"/>
  <c r="AA41" i="4"/>
  <c r="Q43" i="7"/>
  <c r="AC13" i="4"/>
  <c r="AP22" i="4"/>
  <c r="W14" i="3"/>
  <c r="L20" i="18" s="1"/>
  <c r="O44" i="7"/>
  <c r="AB25" i="4"/>
  <c r="F43" i="7"/>
  <c r="AT5" i="3"/>
  <c r="C19" i="16" s="1"/>
  <c r="B10" i="18"/>
  <c r="B10" i="19"/>
  <c r="B10" i="16"/>
  <c r="T28" i="18"/>
  <c r="T28" i="19"/>
  <c r="T28" i="16"/>
  <c r="T24" i="18"/>
  <c r="T24" i="16"/>
  <c r="T24" i="19"/>
  <c r="F14" i="18"/>
  <c r="F14" i="16"/>
  <c r="F14" i="19"/>
  <c r="I25" i="18"/>
  <c r="I25" i="19"/>
  <c r="I25" i="16"/>
  <c r="I16" i="16"/>
  <c r="I16" i="18"/>
  <c r="I16" i="19"/>
  <c r="AT16" i="3"/>
  <c r="S19" i="18" s="1"/>
  <c r="F8" i="18"/>
  <c r="F8" i="16"/>
  <c r="F8" i="19"/>
  <c r="B24" i="18"/>
  <c r="B24" i="16"/>
  <c r="AC58" i="4"/>
  <c r="AF64" i="4"/>
  <c r="T13" i="18"/>
  <c r="T13" i="19"/>
  <c r="T13" i="16"/>
  <c r="P13" i="18"/>
  <c r="P13" i="19"/>
  <c r="P13" i="16"/>
  <c r="M17" i="18"/>
  <c r="M17" i="16"/>
  <c r="M17" i="19"/>
  <c r="T27" i="19"/>
  <c r="T27" i="16"/>
  <c r="T27" i="18"/>
  <c r="U72" i="4"/>
  <c r="P27" i="19"/>
  <c r="P27" i="16"/>
  <c r="P27" i="18"/>
  <c r="P24" i="16"/>
  <c r="P24" i="18"/>
  <c r="P24" i="19"/>
  <c r="M27" i="16"/>
  <c r="M27" i="18"/>
  <c r="B14" i="18"/>
  <c r="B14" i="19"/>
  <c r="B14" i="16"/>
  <c r="AT8" i="3"/>
  <c r="L19" i="16" s="1"/>
  <c r="M10" i="19"/>
  <c r="M10" i="16"/>
  <c r="M10" i="18"/>
  <c r="P65" i="7"/>
  <c r="AT7" i="3"/>
  <c r="J19" i="16" s="1"/>
  <c r="I10" i="19"/>
  <c r="I10" i="16"/>
  <c r="I10" i="18"/>
  <c r="F16" i="16"/>
  <c r="F16" i="18"/>
  <c r="F16" i="19"/>
  <c r="F10" i="18"/>
  <c r="AT6" i="3"/>
  <c r="E19" i="16" s="1"/>
  <c r="F10" i="16"/>
  <c r="F10" i="19"/>
  <c r="AC25" i="7"/>
  <c r="AC68" i="4"/>
  <c r="E54" i="7"/>
  <c r="B8" i="18"/>
  <c r="B8" i="16"/>
  <c r="AI24" i="7"/>
  <c r="N37" i="7"/>
  <c r="V48" i="4"/>
  <c r="M14" i="19"/>
  <c r="M14" i="16"/>
  <c r="M14" i="18"/>
  <c r="AT11" i="3"/>
  <c r="E19" i="18" s="1"/>
  <c r="T25" i="19"/>
  <c r="T25" i="16"/>
  <c r="AP69" i="4"/>
  <c r="AF62" i="4"/>
  <c r="AI37" i="7"/>
  <c r="U12" i="4"/>
  <c r="AT15" i="3"/>
  <c r="Q19" i="18" s="1"/>
  <c r="I17" i="16"/>
  <c r="I17" i="19"/>
  <c r="V26" i="4"/>
  <c r="P61" i="7"/>
  <c r="B11" i="18"/>
  <c r="B11" i="16"/>
  <c r="B11" i="19"/>
  <c r="T14" i="19"/>
  <c r="T14" i="16"/>
  <c r="T14" i="18"/>
  <c r="V69" i="4"/>
  <c r="AI71" i="4"/>
  <c r="M28" i="18"/>
  <c r="M28" i="19"/>
  <c r="M28" i="16"/>
  <c r="AI19" i="4"/>
  <c r="P14" i="19"/>
  <c r="P14" i="16"/>
  <c r="P14" i="18"/>
  <c r="I11" i="16"/>
  <c r="I11" i="18"/>
  <c r="I11" i="19"/>
  <c r="AP62" i="4"/>
  <c r="V24" i="4"/>
  <c r="U22" i="4"/>
  <c r="AC17" i="4"/>
  <c r="M11" i="16"/>
  <c r="M11" i="19"/>
  <c r="F29" i="18"/>
  <c r="F29" i="19"/>
  <c r="F29" i="16"/>
  <c r="S31" i="4"/>
  <c r="AE31" i="4" s="1"/>
  <c r="P25" i="16"/>
  <c r="P25" i="18"/>
  <c r="P25" i="19"/>
  <c r="F11" i="16"/>
  <c r="F11" i="18"/>
  <c r="F11" i="19"/>
  <c r="M24" i="18"/>
  <c r="M24" i="19"/>
  <c r="M24" i="16"/>
  <c r="B16" i="18"/>
  <c r="B16" i="16"/>
  <c r="B16" i="19"/>
  <c r="I29" i="16"/>
  <c r="I29" i="18"/>
  <c r="I29" i="19"/>
  <c r="U73" i="4"/>
  <c r="M31" i="7"/>
  <c r="AB28" i="4"/>
  <c r="F17" i="16"/>
  <c r="F17" i="18"/>
  <c r="F17" i="19"/>
  <c r="B29" i="16"/>
  <c r="B29" i="18"/>
  <c r="B29" i="19"/>
  <c r="B25" i="18"/>
  <c r="B25" i="19"/>
  <c r="B25" i="16"/>
  <c r="F28" i="18"/>
  <c r="F28" i="16"/>
  <c r="F28" i="19"/>
  <c r="T29" i="18"/>
  <c r="T29" i="19"/>
  <c r="T29" i="16"/>
  <c r="AT14" i="3"/>
  <c r="L19" i="18" s="1"/>
  <c r="AB38" i="4"/>
  <c r="AI57" i="4"/>
  <c r="N43" i="7"/>
  <c r="F37" i="7"/>
  <c r="AT13" i="3"/>
  <c r="J19" i="18" s="1"/>
  <c r="I28" i="16"/>
  <c r="I28" i="18"/>
  <c r="I28" i="19"/>
  <c r="S43" i="4"/>
  <c r="J40" i="7"/>
  <c r="I24" i="18"/>
  <c r="I24" i="19"/>
  <c r="I24" i="16"/>
  <c r="T16" i="18"/>
  <c r="T16" i="16"/>
  <c r="T16" i="19"/>
  <c r="J41" i="7"/>
  <c r="S41" i="7" s="1"/>
  <c r="P8" i="16"/>
  <c r="P8" i="18"/>
  <c r="F24" i="18"/>
  <c r="F24" i="19"/>
  <c r="F24" i="16"/>
  <c r="I13" i="18"/>
  <c r="I13" i="16"/>
  <c r="I13" i="19"/>
  <c r="P16" i="18"/>
  <c r="P16" i="16"/>
  <c r="B13" i="18"/>
  <c r="B13" i="19"/>
  <c r="B13" i="16"/>
  <c r="M25" i="18"/>
  <c r="M25" i="19"/>
  <c r="M25" i="16"/>
  <c r="T17" i="18"/>
  <c r="T17" i="16"/>
  <c r="T17" i="19"/>
  <c r="F27" i="18"/>
  <c r="F27" i="19"/>
  <c r="F27" i="16"/>
  <c r="P47" i="7"/>
  <c r="M8" i="16"/>
  <c r="P17" i="18"/>
  <c r="P17" i="16"/>
  <c r="P17" i="19"/>
  <c r="M16" i="16"/>
  <c r="M16" i="18"/>
  <c r="M16" i="19"/>
  <c r="B17" i="18"/>
  <c r="B17" i="19"/>
  <c r="B17" i="16"/>
  <c r="AA21" i="4"/>
  <c r="S15" i="4"/>
  <c r="AE15" i="4" s="1"/>
  <c r="I14" i="19"/>
  <c r="I14" i="16"/>
  <c r="I14" i="18"/>
  <c r="F13" i="18"/>
  <c r="F13" i="16"/>
  <c r="F13" i="19"/>
  <c r="P11" i="19"/>
  <c r="P11" i="16"/>
  <c r="P11" i="18"/>
  <c r="AI49" i="7"/>
  <c r="I8" i="18"/>
  <c r="I8" i="19"/>
  <c r="I8" i="16"/>
  <c r="P10" i="19"/>
  <c r="AT9" i="3"/>
  <c r="Q19" i="16" s="1"/>
  <c r="P10" i="18"/>
  <c r="P10" i="16"/>
  <c r="AI23" i="4"/>
  <c r="T8" i="16"/>
  <c r="T8" i="18"/>
  <c r="S24" i="4"/>
  <c r="AE24" i="4" s="1"/>
  <c r="S13" i="4"/>
  <c r="Z13" i="4" s="1"/>
  <c r="AN13" i="4" s="1"/>
  <c r="B27" i="18"/>
  <c r="B27" i="16"/>
  <c r="M29" i="16"/>
  <c r="M29" i="18"/>
  <c r="M29" i="19"/>
  <c r="M13" i="18"/>
  <c r="M13" i="16"/>
  <c r="M13" i="19"/>
  <c r="U69" i="4"/>
  <c r="Q22" i="7"/>
  <c r="H14" i="7"/>
  <c r="AC36" i="7"/>
  <c r="T11" i="18"/>
  <c r="T11" i="19"/>
  <c r="T11" i="16"/>
  <c r="T10" i="19"/>
  <c r="AT10" i="3"/>
  <c r="S19" i="16" s="1"/>
  <c r="T10" i="18"/>
  <c r="T10" i="16"/>
  <c r="P28" i="16"/>
  <c r="P28" i="18"/>
  <c r="P28" i="19"/>
  <c r="B28" i="16"/>
  <c r="B28" i="18"/>
  <c r="B28" i="19"/>
  <c r="I27" i="16"/>
  <c r="I27" i="18"/>
  <c r="V62" i="4"/>
  <c r="P29" i="18"/>
  <c r="P29" i="19"/>
  <c r="P29" i="16"/>
  <c r="F25" i="18"/>
  <c r="F25" i="19"/>
  <c r="F25" i="16"/>
  <c r="AC15" i="3"/>
  <c r="W16" i="3"/>
  <c r="S20" i="18" s="1"/>
  <c r="AC16" i="3"/>
  <c r="R13" i="7"/>
  <c r="AI54" i="7"/>
  <c r="L22" i="7"/>
  <c r="I54" i="7"/>
  <c r="G62" i="7"/>
  <c r="P13" i="7"/>
  <c r="AC11" i="7"/>
  <c r="P43" i="7"/>
  <c r="O65" i="7"/>
  <c r="N44" i="7"/>
  <c r="G37" i="7"/>
  <c r="N22" i="7"/>
  <c r="AI32" i="7"/>
  <c r="M12" i="7"/>
  <c r="M26" i="7"/>
  <c r="AI43" i="7"/>
  <c r="L13" i="7"/>
  <c r="I61" i="7"/>
  <c r="G17" i="7"/>
  <c r="AC56" i="7"/>
  <c r="H17" i="7"/>
  <c r="AI20" i="7"/>
  <c r="E17" i="7"/>
  <c r="M17" i="7"/>
  <c r="D17" i="7"/>
  <c r="K17" i="7"/>
  <c r="R17" i="7"/>
  <c r="AD17" i="7" s="1"/>
  <c r="L53" i="7"/>
  <c r="J56" i="7"/>
  <c r="D64" i="7"/>
  <c r="AC23" i="7"/>
  <c r="O20" i="7"/>
  <c r="F17" i="7"/>
  <c r="J17" i="7"/>
  <c r="L47" i="7"/>
  <c r="Q13" i="7"/>
  <c r="R53" i="7"/>
  <c r="O17" i="7"/>
  <c r="R43" i="7"/>
  <c r="AG43" i="7" s="1"/>
  <c r="I17" i="7"/>
  <c r="D48" i="7"/>
  <c r="Q44" i="7"/>
  <c r="Q19" i="7"/>
  <c r="AI12" i="7"/>
  <c r="D12" i="7"/>
  <c r="O41" i="7"/>
  <c r="K54" i="7"/>
  <c r="AC17" i="7"/>
  <c r="L41" i="7"/>
  <c r="E12" i="7"/>
  <c r="M41" i="7"/>
  <c r="K19" i="7"/>
  <c r="O21" i="7"/>
  <c r="O58" i="7"/>
  <c r="P41" i="7"/>
  <c r="AC12" i="7"/>
  <c r="N25" i="7"/>
  <c r="G41" i="7"/>
  <c r="H19" i="7"/>
  <c r="P19" i="7"/>
  <c r="J19" i="7"/>
  <c r="P56" i="7"/>
  <c r="R12" i="7"/>
  <c r="P17" i="7"/>
  <c r="AF17" i="7" s="1"/>
  <c r="E14" i="7"/>
  <c r="O19" i="7"/>
  <c r="N19" i="7"/>
  <c r="Q41" i="7"/>
  <c r="D19" i="7"/>
  <c r="T19" i="7" s="1"/>
  <c r="I19" i="7"/>
  <c r="AA19" i="7" s="1"/>
  <c r="M21" i="7"/>
  <c r="R19" i="7"/>
  <c r="AG19" i="7" s="1"/>
  <c r="D56" i="7"/>
  <c r="F19" i="7"/>
  <c r="R41" i="7"/>
  <c r="F25" i="7"/>
  <c r="F12" i="7"/>
  <c r="N41" i="7"/>
  <c r="P48" i="7"/>
  <c r="H37" i="7"/>
  <c r="M19" i="7"/>
  <c r="L26" i="7"/>
  <c r="AC41" i="7"/>
  <c r="L19" i="7"/>
  <c r="O43" i="7"/>
  <c r="K52" i="7"/>
  <c r="P25" i="7"/>
  <c r="M44" i="7"/>
  <c r="I53" i="7"/>
  <c r="O25" i="7"/>
  <c r="G56" i="7"/>
  <c r="U49" i="4"/>
  <c r="Q16" i="7"/>
  <c r="AI22" i="7"/>
  <c r="K47" i="7"/>
  <c r="G55" i="7"/>
  <c r="N36" i="7"/>
  <c r="AB33" i="4"/>
  <c r="AC16" i="7"/>
  <c r="AP61" i="4"/>
  <c r="M39" i="7"/>
  <c r="AP52" i="4"/>
  <c r="S71" i="4"/>
  <c r="V18" i="4"/>
  <c r="AI15" i="7"/>
  <c r="Q15" i="7"/>
  <c r="R15" i="7"/>
  <c r="I39" i="7"/>
  <c r="O16" i="7"/>
  <c r="P16" i="7"/>
  <c r="O39" i="7"/>
  <c r="AB48" i="4"/>
  <c r="AP32" i="4"/>
  <c r="AP30" i="4"/>
  <c r="F50" i="7"/>
  <c r="V32" i="4"/>
  <c r="S11" i="4"/>
  <c r="AE11" i="4" s="1"/>
  <c r="AF53" i="4"/>
  <c r="AI17" i="7"/>
  <c r="H44" i="7"/>
  <c r="I45" i="7"/>
  <c r="AB24" i="4"/>
  <c r="G16" i="7"/>
  <c r="AB16" i="7" s="1"/>
  <c r="X14" i="3"/>
  <c r="L21" i="18" s="1"/>
  <c r="I15" i="7"/>
  <c r="H28" i="7"/>
  <c r="AB54" i="4"/>
  <c r="H47" i="7"/>
  <c r="U36" i="4"/>
  <c r="O15" i="7"/>
  <c r="U46" i="4"/>
  <c r="AF57" i="4"/>
  <c r="AP67" i="4"/>
  <c r="AI55" i="7"/>
  <c r="P44" i="7"/>
  <c r="F44" i="7"/>
  <c r="AO44" i="7" s="1"/>
  <c r="S21" i="4"/>
  <c r="AE21" i="4" s="1"/>
  <c r="AF15" i="4"/>
  <c r="AA33" i="4"/>
  <c r="M16" i="7"/>
  <c r="E61" i="7"/>
  <c r="L55" i="7"/>
  <c r="R66" i="7"/>
  <c r="P15" i="7"/>
  <c r="AP17" i="4"/>
  <c r="AC51" i="7"/>
  <c r="N16" i="7"/>
  <c r="AI19" i="7"/>
  <c r="AC44" i="7"/>
  <c r="AA12" i="4"/>
  <c r="AB16" i="4"/>
  <c r="S29" i="4"/>
  <c r="AE29" i="4" s="1"/>
  <c r="AI65" i="4"/>
  <c r="AI44" i="4"/>
  <c r="I37" i="7"/>
  <c r="Q55" i="7"/>
  <c r="AF11" i="4"/>
  <c r="J15" i="7"/>
  <c r="D28" i="7"/>
  <c r="AO28" i="7" s="1"/>
  <c r="S57" i="4"/>
  <c r="S38" i="4"/>
  <c r="Z38" i="4" s="1"/>
  <c r="AN38" i="4" s="1"/>
  <c r="F22" i="7"/>
  <c r="AO22" i="7" s="1"/>
  <c r="N26" i="7"/>
  <c r="L44" i="7"/>
  <c r="D36" i="7"/>
  <c r="AO36" i="7" s="1"/>
  <c r="K56" i="7"/>
  <c r="P39" i="7"/>
  <c r="G48" i="7"/>
  <c r="H60" i="7"/>
  <c r="D37" i="7"/>
  <c r="H16" i="7"/>
  <c r="AC24" i="7"/>
  <c r="K15" i="7"/>
  <c r="N15" i="7"/>
  <c r="L16" i="7"/>
  <c r="S46" i="4"/>
  <c r="AE46" i="4" s="1"/>
  <c r="AA59" i="4"/>
  <c r="M15" i="7"/>
  <c r="E24" i="7"/>
  <c r="U31" i="4"/>
  <c r="E55" i="7"/>
  <c r="AA17" i="4"/>
  <c r="AI46" i="4"/>
  <c r="K16" i="7"/>
  <c r="AF48" i="4"/>
  <c r="S50" i="4"/>
  <c r="AE50" i="4" s="1"/>
  <c r="AI13" i="7"/>
  <c r="L39" i="7"/>
  <c r="E47" i="7"/>
  <c r="AP47" i="7" s="1"/>
  <c r="AI41" i="7"/>
  <c r="F26" i="7"/>
  <c r="AB27" i="4"/>
  <c r="AC39" i="7"/>
  <c r="U18" i="4"/>
  <c r="AA48" i="4"/>
  <c r="L15" i="7"/>
  <c r="V74" i="4"/>
  <c r="AP31" i="4"/>
  <c r="AI51" i="7"/>
  <c r="S32" i="4"/>
  <c r="Z32" i="4" s="1"/>
  <c r="AN32" i="4" s="1"/>
  <c r="AI12" i="4"/>
  <c r="AI25" i="4"/>
  <c r="J16" i="7"/>
  <c r="AA34" i="4"/>
  <c r="V72" i="4"/>
  <c r="H61" i="7"/>
  <c r="E56" i="7"/>
  <c r="AP19" i="4"/>
  <c r="U41" i="4"/>
  <c r="AC13" i="7"/>
  <c r="I16" i="7"/>
  <c r="H15" i="7"/>
  <c r="AP49" i="4"/>
  <c r="AB70" i="4"/>
  <c r="D24" i="7"/>
  <c r="S58" i="4"/>
  <c r="AE58" i="4" s="1"/>
  <c r="O26" i="7"/>
  <c r="AI26" i="7"/>
  <c r="G26" i="7"/>
  <c r="AP26" i="7" s="1"/>
  <c r="AA24" i="4"/>
  <c r="V60" i="4"/>
  <c r="F16" i="7"/>
  <c r="N39" i="7"/>
  <c r="R39" i="7"/>
  <c r="P34" i="7"/>
  <c r="AI14" i="7"/>
  <c r="W15" i="3"/>
  <c r="Q20" i="18" s="1"/>
  <c r="V68" i="4"/>
  <c r="AC23" i="4"/>
  <c r="AF39" i="4"/>
  <c r="AC22" i="4"/>
  <c r="V49" i="4"/>
  <c r="AI35" i="7"/>
  <c r="R38" i="7"/>
  <c r="O56" i="7"/>
  <c r="W13" i="3"/>
  <c r="J20" i="18" s="1"/>
  <c r="AA22" i="4"/>
  <c r="AB40" i="4"/>
  <c r="V12" i="4"/>
  <c r="V36" i="4"/>
  <c r="S19" i="4"/>
  <c r="AE19" i="4" s="1"/>
  <c r="AB53" i="4"/>
  <c r="H54" i="7"/>
  <c r="J36" i="7"/>
  <c r="N54" i="7"/>
  <c r="AC16" i="4"/>
  <c r="AC42" i="7"/>
  <c r="E36" i="7"/>
  <c r="AC57" i="7"/>
  <c r="AB57" i="4"/>
  <c r="H30" i="7"/>
  <c r="AI36" i="4"/>
  <c r="L42" i="7"/>
  <c r="J57" i="7"/>
  <c r="V17" i="4"/>
  <c r="J58" i="7"/>
  <c r="AB74" i="4"/>
  <c r="AC59" i="4"/>
  <c r="AP75" i="4"/>
  <c r="S39" i="4"/>
  <c r="Z39" i="4" s="1"/>
  <c r="AN39" i="4" s="1"/>
  <c r="AC58" i="7"/>
  <c r="J64" i="7"/>
  <c r="M64" i="7"/>
  <c r="R33" i="7"/>
  <c r="AC45" i="7"/>
  <c r="S69" i="4"/>
  <c r="AE69" i="4" s="1"/>
  <c r="S54" i="4"/>
  <c r="AE54" i="4" s="1"/>
  <c r="D11" i="7"/>
  <c r="D57" i="7"/>
  <c r="AI70" i="4"/>
  <c r="AC11" i="4"/>
  <c r="W11" i="3"/>
  <c r="E20" i="18" s="1"/>
  <c r="AA20" i="4"/>
  <c r="U15" i="4"/>
  <c r="AF29" i="4"/>
  <c r="O42" i="7"/>
  <c r="G58" i="7"/>
  <c r="Q57" i="7"/>
  <c r="AC53" i="4"/>
  <c r="AF42" i="4"/>
  <c r="H64" i="7"/>
  <c r="K38" i="7"/>
  <c r="AN14" i="3"/>
  <c r="AP21" i="4"/>
  <c r="AI49" i="4"/>
  <c r="AP65" i="4"/>
  <c r="AF33" i="4"/>
  <c r="V43" i="4"/>
  <c r="I49" i="7"/>
  <c r="Q61" i="7"/>
  <c r="D47" i="7"/>
  <c r="AC21" i="4"/>
  <c r="AB34" i="4"/>
  <c r="AF46" i="4"/>
  <c r="J45" i="7"/>
  <c r="M49" i="7"/>
  <c r="K66" i="7"/>
  <c r="R50" i="7"/>
  <c r="S52" i="4"/>
  <c r="AE52" i="4" s="1"/>
  <c r="U70" i="4"/>
  <c r="S75" i="4"/>
  <c r="AE75" i="4" s="1"/>
  <c r="AP35" i="4"/>
  <c r="U39" i="4"/>
  <c r="V47" i="4"/>
  <c r="I47" i="7"/>
  <c r="D51" i="7"/>
  <c r="D66" i="7"/>
  <c r="K36" i="7"/>
  <c r="L51" i="7"/>
  <c r="AC18" i="7"/>
  <c r="F57" i="7"/>
  <c r="H57" i="7"/>
  <c r="AC20" i="4"/>
  <c r="S56" i="4"/>
  <c r="AE56" i="4" s="1"/>
  <c r="AF41" i="4"/>
  <c r="AP39" i="4"/>
  <c r="U43" i="4"/>
  <c r="AB55" i="4"/>
  <c r="V51" i="4"/>
  <c r="Q38" i="7"/>
  <c r="R40" i="7"/>
  <c r="E49" i="7"/>
  <c r="N61" i="7"/>
  <c r="I56" i="7"/>
  <c r="G36" i="7"/>
  <c r="AC61" i="7"/>
  <c r="H26" i="7"/>
  <c r="AI40" i="4"/>
  <c r="U32" i="4"/>
  <c r="Q18" i="7"/>
  <c r="AD18" i="7" s="1"/>
  <c r="S37" i="4"/>
  <c r="Z37" i="4" s="1"/>
  <c r="AN37" i="4" s="1"/>
  <c r="AB42" i="4"/>
  <c r="V42" i="4"/>
  <c r="J13" i="7"/>
  <c r="D59" i="7"/>
  <c r="R61" i="7"/>
  <c r="O36" i="7"/>
  <c r="V25" i="4"/>
  <c r="AC19" i="7"/>
  <c r="AA32" i="4"/>
  <c r="AC19" i="4"/>
  <c r="U56" i="4"/>
  <c r="U34" i="4"/>
  <c r="AF45" i="4"/>
  <c r="AA54" i="4"/>
  <c r="AP43" i="4"/>
  <c r="U47" i="4"/>
  <c r="AB59" i="4"/>
  <c r="AP72" i="4"/>
  <c r="O40" i="7"/>
  <c r="M42" i="7"/>
  <c r="F60" i="7"/>
  <c r="AI65" i="7"/>
  <c r="AI39" i="7"/>
  <c r="Q54" i="7"/>
  <c r="M37" i="7"/>
  <c r="Q56" i="7"/>
  <c r="AB15" i="4"/>
  <c r="S41" i="4"/>
  <c r="AE41" i="4" s="1"/>
  <c r="V46" i="4"/>
  <c r="AF58" i="4"/>
  <c r="F61" i="7"/>
  <c r="J61" i="7"/>
  <c r="P55" i="7"/>
  <c r="I65" i="7"/>
  <c r="G61" i="7"/>
  <c r="AF49" i="4"/>
  <c r="U51" i="4"/>
  <c r="K42" i="7"/>
  <c r="K64" i="7"/>
  <c r="N64" i="7"/>
  <c r="L54" i="7"/>
  <c r="R56" i="7"/>
  <c r="F42" i="7"/>
  <c r="H42" i="7"/>
  <c r="AB50" i="4"/>
  <c r="AC40" i="7"/>
  <c r="O66" i="7"/>
  <c r="D43" i="7"/>
  <c r="AP29" i="4"/>
  <c r="U17" i="4"/>
  <c r="AP51" i="4"/>
  <c r="Q47" i="7"/>
  <c r="E65" i="7"/>
  <c r="AI57" i="7"/>
  <c r="O45" i="7"/>
  <c r="N57" i="7"/>
  <c r="D26" i="7"/>
  <c r="U68" i="4"/>
  <c r="S68" i="4"/>
  <c r="AE68" i="4" s="1"/>
  <c r="O18" i="7"/>
  <c r="R46" i="7"/>
  <c r="V67" i="4"/>
  <c r="H23" i="7"/>
  <c r="E62" i="7"/>
  <c r="M47" i="7"/>
  <c r="N49" i="7"/>
  <c r="M58" i="7"/>
  <c r="H36" i="7"/>
  <c r="L36" i="7"/>
  <c r="AA26" i="4"/>
  <c r="AB26" i="4"/>
  <c r="AI17" i="4"/>
  <c r="AB20" i="4"/>
  <c r="AK72" i="4"/>
  <c r="AA74" i="4"/>
  <c r="V58" i="4"/>
  <c r="I12" i="7"/>
  <c r="J42" i="7"/>
  <c r="I64" i="7"/>
  <c r="J47" i="7"/>
  <c r="V16" i="4"/>
  <c r="V73" i="4"/>
  <c r="S53" i="4"/>
  <c r="AE53" i="4" s="1"/>
  <c r="U63" i="4"/>
  <c r="H13" i="7"/>
  <c r="V13" i="7" s="1"/>
  <c r="G64" i="7"/>
  <c r="K61" i="7"/>
  <c r="F56" i="7"/>
  <c r="P36" i="7"/>
  <c r="AF63" i="4"/>
  <c r="P64" i="7"/>
  <c r="I57" i="7"/>
  <c r="AP12" i="4"/>
  <c r="AA15" i="4"/>
  <c r="AC74" i="4"/>
  <c r="AF40" i="4"/>
  <c r="AA53" i="4"/>
  <c r="U54" i="4"/>
  <c r="V75" i="4"/>
  <c r="AP63" i="4"/>
  <c r="U67" i="4"/>
  <c r="H12" i="7"/>
  <c r="F15" i="7"/>
  <c r="U15" i="7" s="1"/>
  <c r="Q36" i="7"/>
  <c r="L64" i="7"/>
  <c r="O61" i="7"/>
  <c r="P23" i="7"/>
  <c r="V64" i="4"/>
  <c r="AD11" i="3"/>
  <c r="AI11" i="7"/>
  <c r="N11" i="7"/>
  <c r="V41" i="4"/>
  <c r="AB66" i="4"/>
  <c r="V66" i="4"/>
  <c r="AF14" i="4"/>
  <c r="H11" i="7"/>
  <c r="G12" i="7"/>
  <c r="G13" i="7"/>
  <c r="D16" i="7"/>
  <c r="AC66" i="7"/>
  <c r="R54" i="7"/>
  <c r="M24" i="7"/>
  <c r="AA27" i="4"/>
  <c r="AI15" i="4"/>
  <c r="AB14" i="4"/>
  <c r="L18" i="7"/>
  <c r="AF44" i="4"/>
  <c r="AA57" i="4"/>
  <c r="V15" i="4"/>
  <c r="E13" i="7"/>
  <c r="N38" i="7"/>
  <c r="AC38" i="7"/>
  <c r="AI36" i="7"/>
  <c r="H66" i="7"/>
  <c r="R55" i="7"/>
  <c r="I25" i="7"/>
  <c r="V14" i="4"/>
  <c r="AF20" i="4"/>
  <c r="X11" i="3"/>
  <c r="E21" i="18" s="1"/>
  <c r="AP36" i="4"/>
  <c r="AA70" i="4"/>
  <c r="AF18" i="4"/>
  <c r="I42" i="7"/>
  <c r="AA42" i="7" s="1"/>
  <c r="N42" i="7"/>
  <c r="Q42" i="7"/>
  <c r="F65" i="7"/>
  <c r="AF13" i="4"/>
  <c r="AC47" i="4"/>
  <c r="U62" i="4"/>
  <c r="R65" i="7"/>
  <c r="AC33" i="7"/>
  <c r="M36" i="7"/>
  <c r="AB18" i="4"/>
  <c r="AC12" i="3"/>
  <c r="X33" i="4"/>
  <c r="AL33" i="4"/>
  <c r="AM33" i="4" s="1"/>
  <c r="AG33" i="4"/>
  <c r="AD33" i="4"/>
  <c r="AK36" i="4"/>
  <c r="AJ36" i="4"/>
  <c r="AH36" i="4"/>
  <c r="AC24" i="4"/>
  <c r="M8" i="5"/>
  <c r="AN8" i="5" s="1"/>
  <c r="AN24" i="5" s="1"/>
  <c r="AN8" i="3"/>
  <c r="G8" i="5"/>
  <c r="AD8" i="3"/>
  <c r="L30" i="16" s="1"/>
  <c r="AL11" i="4"/>
  <c r="AM11" i="4" s="1"/>
  <c r="AG11" i="4"/>
  <c r="AD11" i="4"/>
  <c r="X11" i="4"/>
  <c r="K5" i="5"/>
  <c r="AB5" i="3"/>
  <c r="T7" i="5"/>
  <c r="Y7" i="3"/>
  <c r="J22" i="16" s="1"/>
  <c r="AU7" i="3"/>
  <c r="AS7" i="3"/>
  <c r="AI7" i="3"/>
  <c r="AK20" i="4"/>
  <c r="AJ20" i="4"/>
  <c r="AH20" i="4"/>
  <c r="Q7" i="5"/>
  <c r="AP16" i="4"/>
  <c r="N7" i="5"/>
  <c r="AL39" i="4"/>
  <c r="AM39" i="4" s="1"/>
  <c r="AG39" i="4"/>
  <c r="AD39" i="4"/>
  <c r="X39" i="4"/>
  <c r="S48" i="4"/>
  <c r="AE48" i="4" s="1"/>
  <c r="P29" i="7"/>
  <c r="M20" i="7"/>
  <c r="T70" i="4"/>
  <c r="AO70" i="4"/>
  <c r="Y70" i="4"/>
  <c r="M28" i="7"/>
  <c r="R28" i="7"/>
  <c r="X37" i="4"/>
  <c r="AL37" i="4"/>
  <c r="AM37" i="4" s="1"/>
  <c r="AG37" i="4"/>
  <c r="AD37" i="4"/>
  <c r="AO43" i="4"/>
  <c r="Y43" i="4"/>
  <c r="T43" i="4"/>
  <c r="AK34" i="4"/>
  <c r="AJ34" i="4"/>
  <c r="AH34" i="4"/>
  <c r="P30" i="7"/>
  <c r="AF30" i="7" s="1"/>
  <c r="AI18" i="7"/>
  <c r="AL58" i="4"/>
  <c r="AM58" i="4" s="1"/>
  <c r="AG58" i="4"/>
  <c r="AD58" i="4"/>
  <c r="X58" i="4"/>
  <c r="AC32" i="7"/>
  <c r="AI53" i="7"/>
  <c r="K63" i="7"/>
  <c r="J48" i="7"/>
  <c r="O63" i="7"/>
  <c r="G52" i="7"/>
  <c r="K51" i="7"/>
  <c r="N52" i="7"/>
  <c r="Q53" i="7"/>
  <c r="Q67" i="7"/>
  <c r="P66" i="7"/>
  <c r="H40" i="7"/>
  <c r="D65" i="7"/>
  <c r="I51" i="7"/>
  <c r="J46" i="7"/>
  <c r="O51" i="7"/>
  <c r="AI20" i="4"/>
  <c r="AJ18" i="4"/>
  <c r="AH18" i="4"/>
  <c r="AK18" i="4"/>
  <c r="AG23" i="4"/>
  <c r="AL23" i="4"/>
  <c r="AM23" i="4" s="1"/>
  <c r="AD23" i="4"/>
  <c r="X23" i="4"/>
  <c r="AK13" i="4"/>
  <c r="AJ13" i="4"/>
  <c r="AH13" i="4"/>
  <c r="T5" i="5"/>
  <c r="AU5" i="3"/>
  <c r="AS5" i="3"/>
  <c r="AI5" i="3"/>
  <c r="Y5" i="3"/>
  <c r="C22" i="16" s="1"/>
  <c r="AA44" i="4"/>
  <c r="Y18" i="4"/>
  <c r="T18" i="4"/>
  <c r="AO18" i="4"/>
  <c r="AB15" i="3"/>
  <c r="AL51" i="4"/>
  <c r="AM51" i="4" s="1"/>
  <c r="AG51" i="4"/>
  <c r="AD51" i="4"/>
  <c r="X51" i="4"/>
  <c r="AG16" i="4"/>
  <c r="AL16" i="4"/>
  <c r="AM16" i="4" s="1"/>
  <c r="AD16" i="4"/>
  <c r="X16" i="4"/>
  <c r="I46" i="7"/>
  <c r="M9" i="5"/>
  <c r="AN9" i="5" s="1"/>
  <c r="AN25" i="5" s="1"/>
  <c r="AN9" i="3"/>
  <c r="AB13" i="4"/>
  <c r="G9" i="5"/>
  <c r="AD9" i="3"/>
  <c r="L29" i="7"/>
  <c r="AF55" i="4"/>
  <c r="Y17" i="4"/>
  <c r="AO17" i="4"/>
  <c r="T17" i="4"/>
  <c r="AC14" i="3"/>
  <c r="Y73" i="4"/>
  <c r="T73" i="4"/>
  <c r="AO73" i="4"/>
  <c r="U60" i="4"/>
  <c r="AC42" i="4"/>
  <c r="J21" i="7"/>
  <c r="L21" i="7"/>
  <c r="N21" i="7"/>
  <c r="K28" i="7"/>
  <c r="AP34" i="4"/>
  <c r="V34" i="4"/>
  <c r="S42" i="4"/>
  <c r="AE42" i="4" s="1"/>
  <c r="AC48" i="4"/>
  <c r="AJ42" i="4"/>
  <c r="AH42" i="4"/>
  <c r="AK42" i="4"/>
  <c r="U35" i="4"/>
  <c r="AB31" i="4"/>
  <c r="V19" i="4"/>
  <c r="G23" i="7"/>
  <c r="S63" i="4"/>
  <c r="AE63" i="4" s="1"/>
  <c r="E22" i="7"/>
  <c r="AC22" i="7"/>
  <c r="G63" i="7"/>
  <c r="I55" i="7"/>
  <c r="Q29" i="7"/>
  <c r="G34" i="7"/>
  <c r="AB34" i="7" s="1"/>
  <c r="P54" i="7"/>
  <c r="R57" i="7"/>
  <c r="AC62" i="7"/>
  <c r="AL72" i="4"/>
  <c r="AM72" i="4" s="1"/>
  <c r="AG72" i="4"/>
  <c r="AD72" i="4"/>
  <c r="X72" i="4"/>
  <c r="P35" i="7"/>
  <c r="AI47" i="7"/>
  <c r="N65" i="7"/>
  <c r="H55" i="7"/>
  <c r="E57" i="7"/>
  <c r="F52" i="7"/>
  <c r="K57" i="7"/>
  <c r="U14" i="4"/>
  <c r="K6" i="5"/>
  <c r="AB6" i="3"/>
  <c r="AA31" i="4"/>
  <c r="Q8" i="5"/>
  <c r="AJ14" i="3"/>
  <c r="G67" i="7"/>
  <c r="N8" i="5"/>
  <c r="AL55" i="4"/>
  <c r="AM55" i="4" s="1"/>
  <c r="AG55" i="4"/>
  <c r="AD55" i="4"/>
  <c r="X55" i="4"/>
  <c r="AF28" i="4"/>
  <c r="I28" i="7"/>
  <c r="AI29" i="7"/>
  <c r="P20" i="7"/>
  <c r="AF20" i="7" s="1"/>
  <c r="T46" i="4"/>
  <c r="AO46" i="4"/>
  <c r="Y46" i="4"/>
  <c r="AJ37" i="4"/>
  <c r="AK37" i="4"/>
  <c r="AH37" i="4"/>
  <c r="U42" i="4"/>
  <c r="AF37" i="4"/>
  <c r="AL22" i="4"/>
  <c r="AM22" i="4" s="1"/>
  <c r="AG22" i="4"/>
  <c r="AD22" i="4"/>
  <c r="X22" i="4"/>
  <c r="Y40" i="4"/>
  <c r="AO40" i="4"/>
  <c r="T40" i="4"/>
  <c r="I29" i="7"/>
  <c r="N30" i="7"/>
  <c r="E35" i="7"/>
  <c r="O55" i="7"/>
  <c r="Q58" i="7"/>
  <c r="S73" i="4"/>
  <c r="AE73" i="4" s="1"/>
  <c r="AC29" i="7"/>
  <c r="AI48" i="7"/>
  <c r="AI56" i="7"/>
  <c r="M60" i="7"/>
  <c r="N56" i="7"/>
  <c r="E58" i="7"/>
  <c r="X16" i="3"/>
  <c r="S21" i="18" s="1"/>
  <c r="N9" i="5"/>
  <c r="AS20" i="1"/>
  <c r="AM15" i="3"/>
  <c r="U15" i="3"/>
  <c r="Q26" i="18" s="1"/>
  <c r="AR15" i="3"/>
  <c r="AQ15" i="3"/>
  <c r="AA7" i="3"/>
  <c r="AC37" i="4"/>
  <c r="O53" i="7"/>
  <c r="AK25" i="4"/>
  <c r="AJ25" i="4"/>
  <c r="AH25" i="4"/>
  <c r="Y45" i="4"/>
  <c r="T45" i="4"/>
  <c r="AO45" i="4"/>
  <c r="AI23" i="7"/>
  <c r="P21" i="7"/>
  <c r="AF21" i="7" s="1"/>
  <c r="AP38" i="4"/>
  <c r="AD45" i="4"/>
  <c r="X45" i="4"/>
  <c r="AL45" i="4"/>
  <c r="AM45" i="4" s="1"/>
  <c r="AG45" i="4"/>
  <c r="AO51" i="4"/>
  <c r="Y51" i="4"/>
  <c r="T51" i="4"/>
  <c r="AK46" i="4"/>
  <c r="AJ46" i="4"/>
  <c r="AH46" i="4"/>
  <c r="AB35" i="4"/>
  <c r="R27" i="7"/>
  <c r="AL66" i="4"/>
  <c r="AM66" i="4" s="1"/>
  <c r="AG66" i="4"/>
  <c r="AD66" i="4"/>
  <c r="X66" i="4"/>
  <c r="AC41" i="4"/>
  <c r="G29" i="7"/>
  <c r="K31" i="7"/>
  <c r="S31" i="7" s="1"/>
  <c r="Q33" i="7"/>
  <c r="N32" i="7"/>
  <c r="U16" i="3"/>
  <c r="S26" i="18" s="1"/>
  <c r="AR16" i="3"/>
  <c r="AQ16" i="3"/>
  <c r="AM16" i="3"/>
  <c r="AI15" i="3"/>
  <c r="Y15" i="3"/>
  <c r="Q22" i="18" s="1"/>
  <c r="AU15" i="3"/>
  <c r="AS15" i="3"/>
  <c r="L6" i="5"/>
  <c r="U6" i="3"/>
  <c r="E26" i="16" s="1"/>
  <c r="AR6" i="3"/>
  <c r="AQ6" i="3"/>
  <c r="AM6" i="3"/>
  <c r="X12" i="3"/>
  <c r="C21" i="18" s="1"/>
  <c r="O5" i="5"/>
  <c r="AL62" i="4"/>
  <c r="AM62" i="4" s="1"/>
  <c r="AG62" i="4"/>
  <c r="AD62" i="4"/>
  <c r="X62" i="4"/>
  <c r="Q10" i="5"/>
  <c r="T42" i="4"/>
  <c r="AO42" i="4"/>
  <c r="Y42" i="4"/>
  <c r="K7" i="5"/>
  <c r="AB7" i="3"/>
  <c r="AJ39" i="4"/>
  <c r="AH39" i="4"/>
  <c r="AK39" i="4"/>
  <c r="R29" i="7"/>
  <c r="AF32" i="4"/>
  <c r="AG36" i="4"/>
  <c r="AD36" i="4"/>
  <c r="X36" i="4"/>
  <c r="AL36" i="4"/>
  <c r="AM36" i="4" s="1"/>
  <c r="L28" i="7"/>
  <c r="AK41" i="4"/>
  <c r="AJ41" i="4"/>
  <c r="AH41" i="4"/>
  <c r="AA38" i="4"/>
  <c r="AF26" i="4"/>
  <c r="J33" i="7"/>
  <c r="S33" i="7" s="1"/>
  <c r="I27" i="7"/>
  <c r="L45" i="7"/>
  <c r="Q45" i="7"/>
  <c r="AF45" i="7" s="1"/>
  <c r="H32" i="7"/>
  <c r="R11" i="7"/>
  <c r="R67" i="7"/>
  <c r="N34" i="7"/>
  <c r="H33" i="7"/>
  <c r="O64" i="7"/>
  <c r="AI58" i="7"/>
  <c r="X13" i="3"/>
  <c r="J21" i="18" s="1"/>
  <c r="G10" i="5"/>
  <c r="AD10" i="3"/>
  <c r="S30" i="16" s="1"/>
  <c r="F31" i="7"/>
  <c r="AU11" i="3"/>
  <c r="AS11" i="3"/>
  <c r="AI11" i="3"/>
  <c r="Y11" i="3"/>
  <c r="E22" i="18" s="1"/>
  <c r="S34" i="4"/>
  <c r="AE34" i="4" s="1"/>
  <c r="AA19" i="4"/>
  <c r="AL59" i="4"/>
  <c r="AM59" i="4" s="1"/>
  <c r="AG59" i="4"/>
  <c r="AD59" i="4"/>
  <c r="X59" i="4"/>
  <c r="U33" i="4"/>
  <c r="G28" i="7"/>
  <c r="V33" i="4"/>
  <c r="AC53" i="7"/>
  <c r="D63" i="7"/>
  <c r="T50" i="4"/>
  <c r="AO50" i="4"/>
  <c r="Y50" i="4"/>
  <c r="AP42" i="4"/>
  <c r="AK50" i="4"/>
  <c r="AJ50" i="4"/>
  <c r="AH50" i="4"/>
  <c r="AB39" i="4"/>
  <c r="AG26" i="4"/>
  <c r="AD26" i="4"/>
  <c r="X26" i="4"/>
  <c r="AL26" i="4"/>
  <c r="AM26" i="4" s="1"/>
  <c r="AC69" i="4"/>
  <c r="Y44" i="4"/>
  <c r="T44" i="4"/>
  <c r="AO44" i="4"/>
  <c r="AC21" i="7"/>
  <c r="E28" i="7"/>
  <c r="L46" i="7"/>
  <c r="P46" i="7"/>
  <c r="H59" i="7"/>
  <c r="K50" i="7"/>
  <c r="F33" i="7"/>
  <c r="O59" i="7"/>
  <c r="R51" i="7"/>
  <c r="P58" i="7"/>
  <c r="L12" i="7"/>
  <c r="I18" i="7"/>
  <c r="N35" i="7"/>
  <c r="AI34" i="7"/>
  <c r="J59" i="7"/>
  <c r="AI12" i="3"/>
  <c r="Y12" i="3"/>
  <c r="C22" i="18" s="1"/>
  <c r="AU12" i="3"/>
  <c r="AS12" i="3"/>
  <c r="Q9" i="5"/>
  <c r="AJ12" i="3"/>
  <c r="AD13" i="3"/>
  <c r="I31" i="7"/>
  <c r="AA31" i="7" s="1"/>
  <c r="AK44" i="4"/>
  <c r="AJ44" i="4"/>
  <c r="AH44" i="4"/>
  <c r="AK22" i="4"/>
  <c r="AJ22" i="4"/>
  <c r="AH22" i="4"/>
  <c r="H9" i="5"/>
  <c r="W9" i="3"/>
  <c r="Q20" i="16" s="1"/>
  <c r="L20" i="7"/>
  <c r="J67" i="7"/>
  <c r="H8" i="5"/>
  <c r="W8" i="3"/>
  <c r="L20" i="16" s="1"/>
  <c r="O7" i="5"/>
  <c r="T34" i="4"/>
  <c r="AO34" i="4"/>
  <c r="Y34" i="4"/>
  <c r="Y49" i="4"/>
  <c r="T49" i="4"/>
  <c r="AO49" i="4"/>
  <c r="AK48" i="4"/>
  <c r="AJ48" i="4"/>
  <c r="AH48" i="4"/>
  <c r="AF36" i="4"/>
  <c r="AI38" i="4"/>
  <c r="AC51" i="4"/>
  <c r="AK45" i="4"/>
  <c r="AJ45" i="4"/>
  <c r="AH45" i="4"/>
  <c r="U50" i="4"/>
  <c r="AA42" i="4"/>
  <c r="AD49" i="4"/>
  <c r="X49" i="4"/>
  <c r="AL49" i="4"/>
  <c r="AM49" i="4" s="1"/>
  <c r="AG49" i="4"/>
  <c r="AO55" i="4"/>
  <c r="Y55" i="4"/>
  <c r="T55" i="4"/>
  <c r="AF30" i="4"/>
  <c r="S27" i="4"/>
  <c r="AE27" i="4" s="1"/>
  <c r="AK71" i="4"/>
  <c r="AJ71" i="4"/>
  <c r="AH71" i="4"/>
  <c r="Z71" i="4"/>
  <c r="AN71" i="4" s="1"/>
  <c r="AC45" i="4"/>
  <c r="R24" i="7"/>
  <c r="AC31" i="7"/>
  <c r="G45" i="7"/>
  <c r="N47" i="7"/>
  <c r="I60" i="7"/>
  <c r="J51" i="7"/>
  <c r="L59" i="7"/>
  <c r="D34" i="7"/>
  <c r="R60" i="7"/>
  <c r="P52" i="7"/>
  <c r="M66" i="7"/>
  <c r="F13" i="7"/>
  <c r="G40" i="7"/>
  <c r="AC35" i="7"/>
  <c r="D60" i="7"/>
  <c r="P60" i="7"/>
  <c r="H10" i="5"/>
  <c r="W10" i="3"/>
  <c r="S20" i="16" s="1"/>
  <c r="F10" i="5"/>
  <c r="Z10" i="3"/>
  <c r="V10" i="3"/>
  <c r="AS6" i="1"/>
  <c r="F21" i="7"/>
  <c r="AA35" i="4"/>
  <c r="R8" i="5"/>
  <c r="AJ8" i="3"/>
  <c r="J20" i="7"/>
  <c r="T10" i="5"/>
  <c r="Y10" i="3"/>
  <c r="S22" i="16" s="1"/>
  <c r="AU10" i="3"/>
  <c r="AS10" i="3"/>
  <c r="AI10" i="3"/>
  <c r="R7" i="5"/>
  <c r="AJ7" i="3"/>
  <c r="U11" i="4"/>
  <c r="AI61" i="4"/>
  <c r="AC50" i="4"/>
  <c r="U37" i="4"/>
  <c r="V37" i="4"/>
  <c r="AG40" i="4"/>
  <c r="AD40" i="4"/>
  <c r="X40" i="4"/>
  <c r="AL40" i="4"/>
  <c r="AM40" i="4" s="1"/>
  <c r="AP46" i="4"/>
  <c r="AC56" i="4"/>
  <c r="AK54" i="4"/>
  <c r="AJ54" i="4"/>
  <c r="AH54" i="4"/>
  <c r="AB43" i="4"/>
  <c r="AA43" i="4"/>
  <c r="AK43" i="4"/>
  <c r="AJ43" i="4"/>
  <c r="AH43" i="4"/>
  <c r="Z43" i="4"/>
  <c r="AN43" i="4" s="1"/>
  <c r="E46" i="7"/>
  <c r="AI30" i="7"/>
  <c r="H62" i="7"/>
  <c r="I48" i="7"/>
  <c r="K62" i="7"/>
  <c r="L48" i="7"/>
  <c r="J52" i="7"/>
  <c r="L60" i="7"/>
  <c r="Q49" i="7"/>
  <c r="AC64" i="7"/>
  <c r="N53" i="7"/>
  <c r="R59" i="7"/>
  <c r="L66" i="7"/>
  <c r="O67" i="7"/>
  <c r="N17" i="7"/>
  <c r="O23" i="7"/>
  <c r="F41" i="7"/>
  <c r="M65" i="7"/>
  <c r="R62" i="7"/>
  <c r="Q65" i="7"/>
  <c r="R9" i="5"/>
  <c r="AJ9" i="3"/>
  <c r="O6" i="5"/>
  <c r="P9" i="5"/>
  <c r="N13" i="7"/>
  <c r="AG32" i="4"/>
  <c r="AD32" i="4"/>
  <c r="X32" i="4"/>
  <c r="AL32" i="4"/>
  <c r="AM32" i="4" s="1"/>
  <c r="AP18" i="4"/>
  <c r="F6" i="5"/>
  <c r="Z6" i="3"/>
  <c r="V6" i="3"/>
  <c r="AO19" i="4"/>
  <c r="Y19" i="4"/>
  <c r="T19" i="4"/>
  <c r="Y24" i="4"/>
  <c r="AO24" i="4"/>
  <c r="T24" i="4"/>
  <c r="AB21" i="4"/>
  <c r="F5" i="5"/>
  <c r="Z5" i="3"/>
  <c r="V5" i="3"/>
  <c r="Y21" i="4"/>
  <c r="AO21" i="4"/>
  <c r="T21" i="4"/>
  <c r="AG27" i="4"/>
  <c r="AD27" i="4"/>
  <c r="X27" i="4"/>
  <c r="AL27" i="4"/>
  <c r="AM27" i="4" s="1"/>
  <c r="AJ16" i="3"/>
  <c r="S14" i="4"/>
  <c r="AE14" i="4" s="1"/>
  <c r="AL63" i="4"/>
  <c r="AM63" i="4" s="1"/>
  <c r="AG63" i="4"/>
  <c r="AD63" i="4"/>
  <c r="X63" i="4"/>
  <c r="AK52" i="4"/>
  <c r="AJ52" i="4"/>
  <c r="AH52" i="4"/>
  <c r="T54" i="4"/>
  <c r="AO54" i="4"/>
  <c r="Y54" i="4"/>
  <c r="AK49" i="4"/>
  <c r="AJ49" i="4"/>
  <c r="AH49" i="4"/>
  <c r="AB58" i="4"/>
  <c r="AA46" i="4"/>
  <c r="AP55" i="4"/>
  <c r="AF34" i="4"/>
  <c r="AL30" i="4"/>
  <c r="AM30" i="4" s="1"/>
  <c r="AG30" i="4"/>
  <c r="AD30" i="4"/>
  <c r="X30" i="4"/>
  <c r="Y48" i="4"/>
  <c r="T48" i="4"/>
  <c r="AO48" i="4"/>
  <c r="J63" i="7"/>
  <c r="G49" i="7"/>
  <c r="N63" i="7"/>
  <c r="K49" i="7"/>
  <c r="H53" i="7"/>
  <c r="N50" i="7"/>
  <c r="O54" i="7"/>
  <c r="N67" i="7"/>
  <c r="M23" i="7"/>
  <c r="H18" i="7"/>
  <c r="L24" i="7"/>
  <c r="I38" i="7"/>
  <c r="D42" i="7"/>
  <c r="J38" i="7"/>
  <c r="L63" i="7"/>
  <c r="D61" i="7"/>
  <c r="F7" i="5"/>
  <c r="Z7" i="3"/>
  <c r="V7" i="3"/>
  <c r="N6" i="5"/>
  <c r="O9" i="5"/>
  <c r="AL71" i="4"/>
  <c r="AM71" i="4" s="1"/>
  <c r="AG71" i="4"/>
  <c r="AD71" i="4"/>
  <c r="X71" i="4"/>
  <c r="AK31" i="4"/>
  <c r="AJ31" i="4"/>
  <c r="AH31" i="4"/>
  <c r="P5" i="5"/>
  <c r="AH72" i="4"/>
  <c r="AB19" i="4"/>
  <c r="AB23" i="4"/>
  <c r="Z14" i="3"/>
  <c r="V14" i="3"/>
  <c r="S28" i="4"/>
  <c r="AE28" i="4" s="1"/>
  <c r="AL13" i="4"/>
  <c r="AM13" i="4" s="1"/>
  <c r="AG13" i="4"/>
  <c r="AD13" i="4"/>
  <c r="X13" i="4"/>
  <c r="S64" i="4"/>
  <c r="AE64" i="4" s="1"/>
  <c r="Y53" i="4"/>
  <c r="T53" i="4"/>
  <c r="AO53" i="4"/>
  <c r="AP53" i="4"/>
  <c r="AC55" i="4"/>
  <c r="AP50" i="4"/>
  <c r="V50" i="4"/>
  <c r="AD53" i="4"/>
  <c r="X53" i="4"/>
  <c r="AL53" i="4"/>
  <c r="AM53" i="4" s="1"/>
  <c r="AG53" i="4"/>
  <c r="AO59" i="4"/>
  <c r="Y59" i="4"/>
  <c r="T59" i="4"/>
  <c r="AK58" i="4"/>
  <c r="AJ58" i="4"/>
  <c r="AH58" i="4"/>
  <c r="AB47" i="4"/>
  <c r="AA47" i="4"/>
  <c r="J11" i="7"/>
  <c r="AK47" i="4"/>
  <c r="AJ47" i="4"/>
  <c r="AH47" i="4"/>
  <c r="F27" i="7"/>
  <c r="E50" i="7"/>
  <c r="H50" i="7"/>
  <c r="O62" i="7"/>
  <c r="G54" i="7"/>
  <c r="N51" i="7"/>
  <c r="G66" i="7"/>
  <c r="N55" i="7"/>
  <c r="P11" i="7"/>
  <c r="I24" i="7"/>
  <c r="H25" i="7"/>
  <c r="H39" i="7"/>
  <c r="Q12" i="7"/>
  <c r="AF12" i="7" s="1"/>
  <c r="D39" i="7"/>
  <c r="F64" i="7"/>
  <c r="R64" i="7"/>
  <c r="P6" i="5"/>
  <c r="M6" i="5"/>
  <c r="AN6" i="5" s="1"/>
  <c r="AN22" i="5" s="1"/>
  <c r="AN6" i="3"/>
  <c r="H31" i="7"/>
  <c r="Y25" i="4"/>
  <c r="AO25" i="4"/>
  <c r="T25" i="4"/>
  <c r="V13" i="4"/>
  <c r="AJ72" i="4"/>
  <c r="AL68" i="4"/>
  <c r="AM68" i="4" s="1"/>
  <c r="AG68" i="4"/>
  <c r="AD68" i="4"/>
  <c r="X68" i="4"/>
  <c r="I32" i="7"/>
  <c r="O8" i="5"/>
  <c r="I5" i="5"/>
  <c r="AC5" i="3"/>
  <c r="V20" i="4"/>
  <c r="AH26" i="4"/>
  <c r="AK26" i="4"/>
  <c r="AJ26" i="4"/>
  <c r="AH27" i="4"/>
  <c r="AK27" i="4"/>
  <c r="AJ27" i="4"/>
  <c r="AI11" i="4"/>
  <c r="AC54" i="4"/>
  <c r="AK56" i="4"/>
  <c r="AJ56" i="4"/>
  <c r="AH56" i="4"/>
  <c r="AL44" i="4"/>
  <c r="AM44" i="4" s="1"/>
  <c r="AG44" i="4"/>
  <c r="AD44" i="4"/>
  <c r="X44" i="4"/>
  <c r="AK53" i="4"/>
  <c r="AJ53" i="4"/>
  <c r="AH53" i="4"/>
  <c r="AB62" i="4"/>
  <c r="AA50" i="4"/>
  <c r="AP59" i="4"/>
  <c r="AF38" i="4"/>
  <c r="AI32" i="4"/>
  <c r="AP48" i="4"/>
  <c r="AC30" i="7"/>
  <c r="F51" i="7"/>
  <c r="Q63" i="7"/>
  <c r="M52" i="7"/>
  <c r="I67" i="7"/>
  <c r="J12" i="7"/>
  <c r="AC20" i="7"/>
  <c r="F40" i="7"/>
  <c r="AO40" i="7" s="1"/>
  <c r="AI46" i="7"/>
  <c r="K13" i="7"/>
  <c r="R42" i="7"/>
  <c r="M56" i="7"/>
  <c r="E66" i="7"/>
  <c r="E21" i="7"/>
  <c r="AF12" i="4"/>
  <c r="N29" i="7"/>
  <c r="Z13" i="3"/>
  <c r="V13" i="3"/>
  <c r="K8" i="5"/>
  <c r="AB8" i="3"/>
  <c r="AF43" i="4"/>
  <c r="AC18" i="4"/>
  <c r="X19" i="4"/>
  <c r="AL19" i="4"/>
  <c r="AM19" i="4" s="1"/>
  <c r="AG19" i="4"/>
  <c r="AD19" i="4"/>
  <c r="M5" i="5"/>
  <c r="AN5" i="3"/>
  <c r="V40" i="4"/>
  <c r="D18" i="7"/>
  <c r="U16" i="4"/>
  <c r="N10" i="5"/>
  <c r="AL67" i="4"/>
  <c r="AM67" i="4" s="1"/>
  <c r="AG67" i="4"/>
  <c r="AD67" i="4"/>
  <c r="X67" i="4"/>
  <c r="AP57" i="4"/>
  <c r="U45" i="4"/>
  <c r="AB49" i="4"/>
  <c r="V45" i="4"/>
  <c r="AA49" i="4"/>
  <c r="S45" i="4"/>
  <c r="AE45" i="4" s="1"/>
  <c r="T58" i="4"/>
  <c r="AO58" i="4"/>
  <c r="Y58" i="4"/>
  <c r="AP54" i="4"/>
  <c r="V54" i="4"/>
  <c r="AK62" i="4"/>
  <c r="AJ62" i="4"/>
  <c r="AH62" i="4"/>
  <c r="U55" i="4"/>
  <c r="AB51" i="4"/>
  <c r="V39" i="4"/>
  <c r="AA51" i="4"/>
  <c r="AL34" i="4"/>
  <c r="AM34" i="4" s="1"/>
  <c r="AG34" i="4"/>
  <c r="AD34" i="4"/>
  <c r="X34" i="4"/>
  <c r="AB72" i="4"/>
  <c r="Y52" i="4"/>
  <c r="T52" i="4"/>
  <c r="AO52" i="4"/>
  <c r="AK51" i="4"/>
  <c r="AJ51" i="4"/>
  <c r="AH51" i="4"/>
  <c r="D62" i="7"/>
  <c r="E52" i="7"/>
  <c r="O48" i="7"/>
  <c r="F67" i="7"/>
  <c r="K53" i="7"/>
  <c r="J32" i="7"/>
  <c r="P57" i="7"/>
  <c r="D13" i="7"/>
  <c r="R31" i="7"/>
  <c r="R22" i="7"/>
  <c r="R32" i="7"/>
  <c r="D41" i="7"/>
  <c r="L43" i="7"/>
  <c r="H65" i="7"/>
  <c r="G57" i="7"/>
  <c r="F62" i="7"/>
  <c r="AS42" i="1"/>
  <c r="M13" i="7"/>
  <c r="AK23" i="4"/>
  <c r="AJ23" i="4"/>
  <c r="AH23" i="4"/>
  <c r="AN15" i="3"/>
  <c r="E20" i="7"/>
  <c r="W12" i="3"/>
  <c r="C20" i="18" s="1"/>
  <c r="I52" i="7"/>
  <c r="N20" i="7"/>
  <c r="Y57" i="4"/>
  <c r="T57" i="4"/>
  <c r="AO57" i="4"/>
  <c r="AK60" i="4"/>
  <c r="AJ60" i="4"/>
  <c r="AH60" i="4"/>
  <c r="Z57" i="4"/>
  <c r="AN57" i="4" s="1"/>
  <c r="AK57" i="4"/>
  <c r="AJ57" i="4"/>
  <c r="AH57" i="4"/>
  <c r="AD57" i="4"/>
  <c r="X57" i="4"/>
  <c r="AL57" i="4"/>
  <c r="AM57" i="4" s="1"/>
  <c r="AG57" i="4"/>
  <c r="AO63" i="4"/>
  <c r="Y63" i="4"/>
  <c r="T63" i="4"/>
  <c r="AL75" i="4"/>
  <c r="AM75" i="4" s="1"/>
  <c r="AG75" i="4"/>
  <c r="AD75" i="4"/>
  <c r="X75" i="4"/>
  <c r="F63" i="7"/>
  <c r="J28" i="7"/>
  <c r="E53" i="7"/>
  <c r="I33" i="7"/>
  <c r="R16" i="7"/>
  <c r="P32" i="7"/>
  <c r="N23" i="7"/>
  <c r="P33" i="7"/>
  <c r="M18" i="7"/>
  <c r="O60" i="7"/>
  <c r="AS15" i="1"/>
  <c r="G21" i="7"/>
  <c r="AI33" i="4"/>
  <c r="AB64" i="4"/>
  <c r="AB12" i="3"/>
  <c r="N12" i="7"/>
  <c r="H5" i="5"/>
  <c r="W5" i="3"/>
  <c r="C20" i="16" s="1"/>
  <c r="AJ15" i="3"/>
  <c r="AI75" i="4"/>
  <c r="AL48" i="4"/>
  <c r="AM48" i="4" s="1"/>
  <c r="AG48" i="4"/>
  <c r="AD48" i="4"/>
  <c r="X48" i="4"/>
  <c r="AK66" i="4"/>
  <c r="AJ66" i="4"/>
  <c r="AH66" i="4"/>
  <c r="AA55" i="4"/>
  <c r="D15" i="7"/>
  <c r="K11" i="7"/>
  <c r="AK55" i="4"/>
  <c r="AJ55" i="4"/>
  <c r="AH55" i="4"/>
  <c r="H46" i="7"/>
  <c r="F29" i="7"/>
  <c r="E60" i="7"/>
  <c r="O46" i="7"/>
  <c r="D54" i="7"/>
  <c r="J50" i="7"/>
  <c r="I58" i="7"/>
  <c r="K55" i="7"/>
  <c r="F34" i="7"/>
  <c r="M67" i="7"/>
  <c r="L17" i="7"/>
  <c r="N33" i="7"/>
  <c r="J24" i="7"/>
  <c r="M34" i="7"/>
  <c r="AC59" i="7"/>
  <c r="G19" i="7"/>
  <c r="AB19" i="7" s="1"/>
  <c r="N48" i="7"/>
  <c r="O13" i="7"/>
  <c r="AH35" i="4"/>
  <c r="AK35" i="4"/>
  <c r="AJ35" i="4"/>
  <c r="Z35" i="4"/>
  <c r="AN35" i="4" s="1"/>
  <c r="AL21" i="4"/>
  <c r="AM21" i="4" s="1"/>
  <c r="AG21" i="4"/>
  <c r="AD21" i="4"/>
  <c r="X21" i="4"/>
  <c r="I9" i="5"/>
  <c r="AC9" i="3"/>
  <c r="AA10" i="3"/>
  <c r="AK21" i="4"/>
  <c r="AJ21" i="4"/>
  <c r="AH21" i="4"/>
  <c r="Y13" i="4"/>
  <c r="T13" i="4"/>
  <c r="AO13" i="4"/>
  <c r="AA36" i="4"/>
  <c r="AK11" i="4"/>
  <c r="AJ11" i="4"/>
  <c r="AH11" i="4"/>
  <c r="Y33" i="4"/>
  <c r="AO33" i="4"/>
  <c r="T33" i="4"/>
  <c r="AJ29" i="4"/>
  <c r="AH29" i="4"/>
  <c r="AK29" i="4"/>
  <c r="S9" i="5"/>
  <c r="AK64" i="4"/>
  <c r="AJ64" i="4"/>
  <c r="AH64" i="4"/>
  <c r="AF52" i="4"/>
  <c r="S49" i="4"/>
  <c r="AE49" i="4" s="1"/>
  <c r="T62" i="4"/>
  <c r="AO62" i="4"/>
  <c r="Y62" i="4"/>
  <c r="AK61" i="4"/>
  <c r="AJ61" i="4"/>
  <c r="AH61" i="4"/>
  <c r="U66" i="4"/>
  <c r="AF61" i="4"/>
  <c r="AA58" i="4"/>
  <c r="AL38" i="4"/>
  <c r="AM38" i="4" s="1"/>
  <c r="AG38" i="4"/>
  <c r="AD38" i="4"/>
  <c r="X38" i="4"/>
  <c r="Y56" i="4"/>
  <c r="T56" i="4"/>
  <c r="AO56" i="4"/>
  <c r="AP56" i="4"/>
  <c r="F45" i="7"/>
  <c r="AI31" i="7"/>
  <c r="H51" i="7"/>
  <c r="R48" i="7"/>
  <c r="D35" i="7"/>
  <c r="AO35" i="7" s="1"/>
  <c r="Q59" i="7"/>
  <c r="AF59" i="7" s="1"/>
  <c r="O22" i="7"/>
  <c r="F18" i="7"/>
  <c r="K34" i="7"/>
  <c r="G25" i="7"/>
  <c r="M35" i="7"/>
  <c r="AC60" i="7"/>
  <c r="P24" i="7"/>
  <c r="H49" i="7"/>
  <c r="P67" i="7"/>
  <c r="AI66" i="7"/>
  <c r="AA64" i="4"/>
  <c r="S8" i="5"/>
  <c r="AA56" i="4"/>
  <c r="X15" i="3"/>
  <c r="Q21" i="18" s="1"/>
  <c r="AK30" i="4"/>
  <c r="AJ30" i="4"/>
  <c r="AH30" i="4"/>
  <c r="Y36" i="4"/>
  <c r="AO36" i="4"/>
  <c r="T36" i="4"/>
  <c r="Z12" i="3"/>
  <c r="V12" i="3"/>
  <c r="L5" i="5"/>
  <c r="AR5" i="3"/>
  <c r="AQ5" i="3"/>
  <c r="AM5" i="3"/>
  <c r="U5" i="3"/>
  <c r="C26" i="16" s="1"/>
  <c r="G7" i="5"/>
  <c r="AD7" i="3"/>
  <c r="J30" i="16" s="1"/>
  <c r="AF69" i="4"/>
  <c r="AD61" i="4"/>
  <c r="X61" i="4"/>
  <c r="AL61" i="4"/>
  <c r="AM61" i="4" s="1"/>
  <c r="AG61" i="4"/>
  <c r="AO67" i="4"/>
  <c r="Y67" i="4"/>
  <c r="T67" i="4"/>
  <c r="I23" i="7"/>
  <c r="AK59" i="4"/>
  <c r="AJ59" i="4"/>
  <c r="AH59" i="4"/>
  <c r="Z59" i="4"/>
  <c r="AN59" i="4" s="1"/>
  <c r="D46" i="7"/>
  <c r="F48" i="7"/>
  <c r="K48" i="7"/>
  <c r="H52" i="7"/>
  <c r="K59" i="7"/>
  <c r="P49" i="7"/>
  <c r="M57" i="7"/>
  <c r="AI40" i="7"/>
  <c r="K23" i="7"/>
  <c r="P22" i="7"/>
  <c r="J35" i="7"/>
  <c r="L65" i="7"/>
  <c r="M25" i="7"/>
  <c r="AI50" i="7"/>
  <c r="Q23" i="7"/>
  <c r="AD23" i="7" s="1"/>
  <c r="Q64" i="7"/>
  <c r="AC67" i="7"/>
  <c r="AC65" i="7"/>
  <c r="J22" i="7"/>
  <c r="S22" i="7" s="1"/>
  <c r="H22" i="7"/>
  <c r="AF35" i="4"/>
  <c r="AP25" i="4"/>
  <c r="AK17" i="4"/>
  <c r="AJ17" i="4"/>
  <c r="AH17" i="4"/>
  <c r="G6" i="5"/>
  <c r="AD6" i="3"/>
  <c r="AB44" i="4"/>
  <c r="Y14" i="3"/>
  <c r="L22" i="18" s="1"/>
  <c r="X41" i="4"/>
  <c r="AL41" i="4"/>
  <c r="AM41" i="4" s="1"/>
  <c r="AG41" i="4"/>
  <c r="AD41" i="4"/>
  <c r="AG24" i="4"/>
  <c r="AL24" i="4"/>
  <c r="AM24" i="4" s="1"/>
  <c r="AD24" i="4"/>
  <c r="X24" i="4"/>
  <c r="AB11" i="4"/>
  <c r="AG18" i="4"/>
  <c r="AD18" i="4"/>
  <c r="X18" i="4"/>
  <c r="AL18" i="4"/>
  <c r="AM18" i="4" s="1"/>
  <c r="Y61" i="4"/>
  <c r="T61" i="4"/>
  <c r="AO61" i="4"/>
  <c r="U53" i="4"/>
  <c r="V53" i="4"/>
  <c r="AK12" i="4"/>
  <c r="AJ12" i="4"/>
  <c r="AH12" i="4"/>
  <c r="T38" i="4"/>
  <c r="AO38" i="4"/>
  <c r="Y38" i="4"/>
  <c r="AB11" i="3"/>
  <c r="Y13" i="3"/>
  <c r="J22" i="18" s="1"/>
  <c r="AU13" i="3"/>
  <c r="AS13" i="3"/>
  <c r="AI13" i="3"/>
  <c r="AG29" i="4"/>
  <c r="AD29" i="4"/>
  <c r="X29" i="4"/>
  <c r="AL29" i="4"/>
  <c r="AM29" i="4" s="1"/>
  <c r="AP15" i="4"/>
  <c r="Q6" i="5"/>
  <c r="AB73" i="4"/>
  <c r="Y69" i="4"/>
  <c r="T69" i="4"/>
  <c r="AO69" i="4"/>
  <c r="AC62" i="4"/>
  <c r="AK68" i="4"/>
  <c r="AJ68" i="4"/>
  <c r="AH68" i="4"/>
  <c r="AF56" i="4"/>
  <c r="AL52" i="4"/>
  <c r="AM52" i="4" s="1"/>
  <c r="AG52" i="4"/>
  <c r="AD52" i="4"/>
  <c r="X52" i="4"/>
  <c r="AK65" i="4"/>
  <c r="AJ65" i="4"/>
  <c r="AH65" i="4"/>
  <c r="V70" i="4"/>
  <c r="AK74" i="4"/>
  <c r="AJ74" i="4"/>
  <c r="AH74" i="4"/>
  <c r="AF65" i="4"/>
  <c r="AA62" i="4"/>
  <c r="S62" i="4"/>
  <c r="AE62" i="4" s="1"/>
  <c r="V71" i="4"/>
  <c r="AF50" i="4"/>
  <c r="AP60" i="4"/>
  <c r="D49" i="7"/>
  <c r="P42" i="7"/>
  <c r="J62" i="7"/>
  <c r="J49" i="7"/>
  <c r="G53" i="7"/>
  <c r="K60" i="7"/>
  <c r="M50" i="7"/>
  <c r="L58" i="7"/>
  <c r="G24" i="7"/>
  <c r="L23" i="7"/>
  <c r="AI27" i="7"/>
  <c r="I26" i="7"/>
  <c r="AA26" i="7" s="1"/>
  <c r="K24" i="7"/>
  <c r="Q24" i="7"/>
  <c r="M14" i="7"/>
  <c r="K14" i="7"/>
  <c r="S14" i="7" s="1"/>
  <c r="AE14" i="7" s="1"/>
  <c r="AF31" i="4"/>
  <c r="U25" i="4"/>
  <c r="AI14" i="4"/>
  <c r="Q5" i="5"/>
  <c r="AA11" i="4"/>
  <c r="AR14" i="3"/>
  <c r="AQ14" i="3"/>
  <c r="AM14" i="3"/>
  <c r="U14" i="3"/>
  <c r="L26" i="18" s="1"/>
  <c r="I10" i="5"/>
  <c r="AC10" i="3"/>
  <c r="AO15" i="4"/>
  <c r="T15" i="4"/>
  <c r="Y15" i="4"/>
  <c r="D20" i="7"/>
  <c r="U57" i="4"/>
  <c r="AB61" i="4"/>
  <c r="V57" i="4"/>
  <c r="AA61" i="4"/>
  <c r="T66" i="4"/>
  <c r="AO66" i="4"/>
  <c r="Y66" i="4"/>
  <c r="AP66" i="4"/>
  <c r="AK70" i="4"/>
  <c r="AJ70" i="4"/>
  <c r="AH70" i="4"/>
  <c r="AB63" i="4"/>
  <c r="AA63" i="4"/>
  <c r="AL42" i="4"/>
  <c r="AM42" i="4" s="1"/>
  <c r="AG42" i="4"/>
  <c r="AD42" i="4"/>
  <c r="X42" i="4"/>
  <c r="D29" i="7"/>
  <c r="E15" i="7"/>
  <c r="Y60" i="4"/>
  <c r="T60" i="4"/>
  <c r="AO60" i="4"/>
  <c r="AK63" i="4"/>
  <c r="AJ63" i="4"/>
  <c r="AH63" i="4"/>
  <c r="AI52" i="7"/>
  <c r="M63" i="7"/>
  <c r="G50" i="7"/>
  <c r="F58" i="7"/>
  <c r="F54" i="7"/>
  <c r="M51" i="7"/>
  <c r="Q50" i="7"/>
  <c r="H24" i="7"/>
  <c r="Q32" i="7"/>
  <c r="H38" i="7"/>
  <c r="K65" i="7"/>
  <c r="S65" i="7" s="1"/>
  <c r="E27" i="7"/>
  <c r="P53" i="7"/>
  <c r="E25" i="7"/>
  <c r="K25" i="7"/>
  <c r="S25" i="7" s="1"/>
  <c r="J66" i="7"/>
  <c r="I22" i="7"/>
  <c r="AF51" i="4"/>
  <c r="U30" i="4"/>
  <c r="T30" i="4"/>
  <c r="AO30" i="4"/>
  <c r="Y30" i="4"/>
  <c r="AA13" i="4"/>
  <c r="AK32" i="4"/>
  <c r="AJ32" i="4"/>
  <c r="AH32" i="4"/>
  <c r="AK33" i="4"/>
  <c r="AJ33" i="4"/>
  <c r="AH33" i="4"/>
  <c r="AL17" i="4"/>
  <c r="AM17" i="4" s="1"/>
  <c r="AG17" i="4"/>
  <c r="AD17" i="4"/>
  <c r="X17" i="4"/>
  <c r="T20" i="4"/>
  <c r="AO20" i="4"/>
  <c r="Y20" i="4"/>
  <c r="R10" i="5"/>
  <c r="AJ10" i="3"/>
  <c r="D21" i="7"/>
  <c r="Y65" i="4"/>
  <c r="T65" i="4"/>
  <c r="AO65" i="4"/>
  <c r="AC67" i="4"/>
  <c r="AD69" i="4"/>
  <c r="X69" i="4"/>
  <c r="AL69" i="4"/>
  <c r="AM69" i="4" s="1"/>
  <c r="AG69" i="4"/>
  <c r="AA66" i="4"/>
  <c r="AD65" i="4"/>
  <c r="X65" i="4"/>
  <c r="AL65" i="4"/>
  <c r="AM65" i="4" s="1"/>
  <c r="AG65" i="4"/>
  <c r="U71" i="4"/>
  <c r="X74" i="4"/>
  <c r="AL74" i="4"/>
  <c r="AM74" i="4" s="1"/>
  <c r="AG74" i="4"/>
  <c r="AD74" i="4"/>
  <c r="AF70" i="4"/>
  <c r="AF54" i="4"/>
  <c r="AE43" i="4"/>
  <c r="E33" i="7"/>
  <c r="E51" i="7"/>
  <c r="F55" i="7"/>
  <c r="L52" i="7"/>
  <c r="N59" i="7"/>
  <c r="Q51" i="7"/>
  <c r="AF51" i="7" s="1"/>
  <c r="I66" i="7"/>
  <c r="D25" i="7"/>
  <c r="F38" i="7"/>
  <c r="O33" i="7"/>
  <c r="G39" i="7"/>
  <c r="O24" i="7"/>
  <c r="R35" i="7"/>
  <c r="J54" i="7"/>
  <c r="M29" i="7"/>
  <c r="D67" i="7"/>
  <c r="Y37" i="4"/>
  <c r="AO37" i="4"/>
  <c r="T37" i="4"/>
  <c r="AP45" i="4"/>
  <c r="AO26" i="4"/>
  <c r="Y26" i="4"/>
  <c r="T26" i="4"/>
  <c r="F20" i="7"/>
  <c r="AS14" i="3"/>
  <c r="AK40" i="4"/>
  <c r="AJ40" i="4"/>
  <c r="Z40" i="4"/>
  <c r="AN40" i="4" s="1"/>
  <c r="AH40" i="4"/>
  <c r="P8" i="5"/>
  <c r="F8" i="5"/>
  <c r="Z8" i="3"/>
  <c r="V8" i="3"/>
  <c r="AA12" i="3"/>
  <c r="AP20" i="4"/>
  <c r="U61" i="4"/>
  <c r="AB65" i="4"/>
  <c r="V61" i="4"/>
  <c r="AA65" i="4"/>
  <c r="AL56" i="4"/>
  <c r="AM56" i="4" s="1"/>
  <c r="AG56" i="4"/>
  <c r="AD56" i="4"/>
  <c r="X56" i="4"/>
  <c r="S66" i="4"/>
  <c r="AE66" i="4" s="1"/>
  <c r="E11" i="7"/>
  <c r="AA71" i="4"/>
  <c r="AB67" i="4"/>
  <c r="V55" i="4"/>
  <c r="AA67" i="4"/>
  <c r="AK67" i="4"/>
  <c r="AJ67" i="4"/>
  <c r="AH67" i="4"/>
  <c r="E63" i="7"/>
  <c r="K45" i="7"/>
  <c r="D52" i="7"/>
  <c r="G59" i="7"/>
  <c r="Q62" i="7"/>
  <c r="J53" i="7"/>
  <c r="Q60" i="7"/>
  <c r="O52" i="7"/>
  <c r="K67" i="7"/>
  <c r="P31" i="7"/>
  <c r="AC28" i="7"/>
  <c r="E39" i="7"/>
  <c r="L34" i="7"/>
  <c r="E40" i="7"/>
  <c r="L25" i="7"/>
  <c r="D55" i="7"/>
  <c r="G30" i="7"/>
  <c r="M30" i="7"/>
  <c r="AB52" i="4"/>
  <c r="AP41" i="4"/>
  <c r="Y28" i="4"/>
  <c r="T28" i="4"/>
  <c r="AO28" i="4"/>
  <c r="O12" i="7"/>
  <c r="I8" i="5"/>
  <c r="AC8" i="3"/>
  <c r="N5" i="5"/>
  <c r="P7" i="5"/>
  <c r="U13" i="3"/>
  <c r="J26" i="18" s="1"/>
  <c r="AR13" i="3"/>
  <c r="AQ13" i="3"/>
  <c r="AM13" i="3"/>
  <c r="AE57" i="4"/>
  <c r="G27" i="7"/>
  <c r="AO71" i="4"/>
  <c r="Y71" i="4"/>
  <c r="T71" i="4"/>
  <c r="AC73" i="4"/>
  <c r="AL46" i="4"/>
  <c r="AM46" i="4" s="1"/>
  <c r="AG46" i="4"/>
  <c r="AD46" i="4"/>
  <c r="X46" i="4"/>
  <c r="J23" i="7"/>
  <c r="Y64" i="4"/>
  <c r="T64" i="4"/>
  <c r="AO64" i="4"/>
  <c r="AP68" i="4"/>
  <c r="K46" i="7"/>
  <c r="H29" i="7"/>
  <c r="D53" i="7"/>
  <c r="R30" i="7"/>
  <c r="M32" i="7"/>
  <c r="Q31" i="7"/>
  <c r="K35" i="7"/>
  <c r="Q66" i="7"/>
  <c r="R58" i="7"/>
  <c r="O34" i="7"/>
  <c r="D31" i="7"/>
  <c r="G31" i="7"/>
  <c r="AB31" i="7" s="1"/>
  <c r="AO39" i="4"/>
  <c r="Y39" i="4"/>
  <c r="T39" i="4"/>
  <c r="AM12" i="3"/>
  <c r="U12" i="3"/>
  <c r="C26" i="18" s="1"/>
  <c r="AR12" i="3"/>
  <c r="AQ12" i="3"/>
  <c r="AP24" i="4"/>
  <c r="L67" i="7"/>
  <c r="AO47" i="4"/>
  <c r="Y47" i="4"/>
  <c r="T47" i="4"/>
  <c r="AD14" i="3"/>
  <c r="J5" i="5"/>
  <c r="X5" i="3"/>
  <c r="C21" i="16" s="1"/>
  <c r="K29" i="7"/>
  <c r="M7" i="5"/>
  <c r="AN7" i="5" s="1"/>
  <c r="AN23" i="5" s="1"/>
  <c r="AN7" i="3"/>
  <c r="U65" i="4"/>
  <c r="V65" i="4"/>
  <c r="AG73" i="4"/>
  <c r="AD73" i="4"/>
  <c r="X73" i="4"/>
  <c r="AL73" i="4"/>
  <c r="AM73" i="4" s="1"/>
  <c r="T75" i="4"/>
  <c r="AO75" i="4"/>
  <c r="Y75" i="4"/>
  <c r="Q28" i="7"/>
  <c r="D23" i="7"/>
  <c r="AK75" i="4"/>
  <c r="AJ75" i="4"/>
  <c r="AH75" i="4"/>
  <c r="AE71" i="4"/>
  <c r="V59" i="4"/>
  <c r="S47" i="4"/>
  <c r="AE47" i="4" s="1"/>
  <c r="AF71" i="4"/>
  <c r="I63" i="7"/>
  <c r="D30" i="7"/>
  <c r="H58" i="7"/>
  <c r="E67" i="7"/>
  <c r="J55" i="7"/>
  <c r="O31" i="7"/>
  <c r="L33" i="7"/>
  <c r="O32" i="7"/>
  <c r="AI45" i="7"/>
  <c r="D27" i="7"/>
  <c r="M38" i="7"/>
  <c r="I35" i="7"/>
  <c r="R34" i="7"/>
  <c r="O35" i="7"/>
  <c r="AP37" i="4"/>
  <c r="AB29" i="4"/>
  <c r="AL31" i="4"/>
  <c r="AM31" i="4" s="1"/>
  <c r="AG31" i="4"/>
  <c r="AD31" i="4"/>
  <c r="X31" i="4"/>
  <c r="AP26" i="4"/>
  <c r="AF23" i="4"/>
  <c r="J9" i="5"/>
  <c r="X9" i="3"/>
  <c r="Q21" i="16" s="1"/>
  <c r="V44" i="4"/>
  <c r="AA23" i="4"/>
  <c r="Q52" i="7"/>
  <c r="AD52" i="7" s="1"/>
  <c r="AK15" i="4"/>
  <c r="AJ15" i="4"/>
  <c r="AH15" i="4"/>
  <c r="AG28" i="4"/>
  <c r="AD28" i="4"/>
  <c r="X28" i="4"/>
  <c r="AL28" i="4"/>
  <c r="AM28" i="4" s="1"/>
  <c r="G5" i="5"/>
  <c r="AD5" i="3"/>
  <c r="AO16" i="4"/>
  <c r="Y16" i="4"/>
  <c r="T16" i="4"/>
  <c r="E18" i="7"/>
  <c r="AJ28" i="4"/>
  <c r="AH28" i="4"/>
  <c r="AK28" i="4"/>
  <c r="S16" i="4"/>
  <c r="AE16" i="4" s="1"/>
  <c r="AF67" i="4"/>
  <c r="AD14" i="4"/>
  <c r="X14" i="4"/>
  <c r="AL14" i="4"/>
  <c r="AM14" i="4" s="1"/>
  <c r="AG14" i="4"/>
  <c r="AF27" i="4"/>
  <c r="AK14" i="4"/>
  <c r="AJ14" i="4"/>
  <c r="AH14" i="4"/>
  <c r="K10" i="5"/>
  <c r="AB10" i="3"/>
  <c r="T9" i="5"/>
  <c r="AI9" i="3"/>
  <c r="Y9" i="3"/>
  <c r="Q22" i="16" s="1"/>
  <c r="AU9" i="3"/>
  <c r="AS9" i="3"/>
  <c r="J29" i="7"/>
  <c r="AF72" i="4"/>
  <c r="AJ73" i="4"/>
  <c r="AH73" i="4"/>
  <c r="AK73" i="4"/>
  <c r="AF68" i="4"/>
  <c r="AL60" i="4"/>
  <c r="AM60" i="4" s="1"/>
  <c r="AG60" i="4"/>
  <c r="AD60" i="4"/>
  <c r="X60" i="4"/>
  <c r="AK69" i="4"/>
  <c r="AJ69" i="4"/>
  <c r="AH69" i="4"/>
  <c r="S74" i="4"/>
  <c r="AE74" i="4" s="1"/>
  <c r="P28" i="7"/>
  <c r="F30" i="7"/>
  <c r="AB75" i="4"/>
  <c r="AP71" i="4"/>
  <c r="O27" i="7"/>
  <c r="F11" i="7"/>
  <c r="E29" i="7"/>
  <c r="AA72" i="4"/>
  <c r="AC52" i="7"/>
  <c r="H48" i="7"/>
  <c r="D58" i="7"/>
  <c r="H56" i="7"/>
  <c r="F66" i="7"/>
  <c r="L32" i="7"/>
  <c r="I34" i="7"/>
  <c r="AA34" i="7" s="1"/>
  <c r="M33" i="7"/>
  <c r="AI63" i="7"/>
  <c r="AI28" i="7"/>
  <c r="K39" i="7"/>
  <c r="S39" i="7" s="1"/>
  <c r="F59" i="7"/>
  <c r="L35" i="7"/>
  <c r="I36" i="7"/>
  <c r="AL35" i="4"/>
  <c r="AM35" i="4" s="1"/>
  <c r="AG35" i="4"/>
  <c r="AD35" i="4"/>
  <c r="X35" i="4"/>
  <c r="AA30" i="4"/>
  <c r="T8" i="5"/>
  <c r="AU8" i="3"/>
  <c r="AS8" i="3"/>
  <c r="AI8" i="3"/>
  <c r="Y8" i="3"/>
  <c r="L22" i="16" s="1"/>
  <c r="AO35" i="4"/>
  <c r="Y35" i="4"/>
  <c r="T35" i="4"/>
  <c r="U38" i="4"/>
  <c r="X15" i="4"/>
  <c r="AL15" i="4"/>
  <c r="AM15" i="4" s="1"/>
  <c r="AG15" i="4"/>
  <c r="AD15" i="4"/>
  <c r="L8" i="5"/>
  <c r="AR8" i="3"/>
  <c r="AQ8" i="3"/>
  <c r="AM8" i="3"/>
  <c r="U8" i="3"/>
  <c r="L26" i="16" s="1"/>
  <c r="O10" i="5"/>
  <c r="AO23" i="4"/>
  <c r="Y23" i="4"/>
  <c r="T23" i="4"/>
  <c r="J10" i="5"/>
  <c r="X10" i="3"/>
  <c r="S21" i="16" s="1"/>
  <c r="AI13" i="4"/>
  <c r="S12" i="4"/>
  <c r="AE12" i="4" s="1"/>
  <c r="AO12" i="4"/>
  <c r="Y12" i="4"/>
  <c r="T12" i="4"/>
  <c r="AF47" i="4"/>
  <c r="V11" i="4"/>
  <c r="T11" i="4"/>
  <c r="AO11" i="4"/>
  <c r="Y11" i="4"/>
  <c r="I7" i="5"/>
  <c r="AC7" i="3"/>
  <c r="H7" i="5"/>
  <c r="W7" i="3"/>
  <c r="J20" i="16" s="1"/>
  <c r="U40" i="4"/>
  <c r="G18" i="7"/>
  <c r="AA73" i="4"/>
  <c r="AB69" i="4"/>
  <c r="AP74" i="4"/>
  <c r="AA69" i="4"/>
  <c r="S61" i="4"/>
  <c r="AE61" i="4" s="1"/>
  <c r="AP70" i="4"/>
  <c r="E30" i="7"/>
  <c r="G32" i="7"/>
  <c r="K27" i="7"/>
  <c r="AF74" i="4"/>
  <c r="M27" i="7"/>
  <c r="O30" i="7"/>
  <c r="V63" i="4"/>
  <c r="AF75" i="4"/>
  <c r="AL50" i="4"/>
  <c r="AM50" i="4" s="1"/>
  <c r="AG50" i="4"/>
  <c r="AD50" i="4"/>
  <c r="X50" i="4"/>
  <c r="G33" i="7"/>
  <c r="Y68" i="4"/>
  <c r="T68" i="4"/>
  <c r="AO68" i="4"/>
  <c r="M11" i="7"/>
  <c r="F49" i="7"/>
  <c r="M62" i="7"/>
  <c r="I59" i="7"/>
  <c r="L57" i="7"/>
  <c r="G35" i="7"/>
  <c r="J34" i="7"/>
  <c r="G38" i="7"/>
  <c r="AI62" i="7"/>
  <c r="Q34" i="7"/>
  <c r="I40" i="7"/>
  <c r="N62" i="7"/>
  <c r="Q39" i="7"/>
  <c r="AA29" i="4"/>
  <c r="S30" i="4"/>
  <c r="AE30" i="4" s="1"/>
  <c r="Y29" i="4"/>
  <c r="AO29" i="4"/>
  <c r="T29" i="4"/>
  <c r="AL12" i="4"/>
  <c r="AM12" i="4" s="1"/>
  <c r="AG12" i="4"/>
  <c r="AD12" i="4"/>
  <c r="X12" i="4"/>
  <c r="H6" i="5"/>
  <c r="W6" i="3"/>
  <c r="E20" i="16" s="1"/>
  <c r="AO22" i="4"/>
  <c r="Y22" i="4"/>
  <c r="T22" i="4"/>
  <c r="Z15" i="3"/>
  <c r="V15" i="3"/>
  <c r="S7" i="5"/>
  <c r="AK16" i="4"/>
  <c r="AJ16" i="4"/>
  <c r="AH16" i="4"/>
  <c r="AN13" i="3"/>
  <c r="AB22" i="4"/>
  <c r="AB17" i="4"/>
  <c r="AP40" i="4"/>
  <c r="AB12" i="4"/>
  <c r="AB36" i="4"/>
  <c r="AP33" i="4"/>
  <c r="Y16" i="3"/>
  <c r="S22" i="18" s="1"/>
  <c r="AU16" i="3"/>
  <c r="AS16" i="3"/>
  <c r="AI16" i="3"/>
  <c r="AG25" i="4"/>
  <c r="AD25" i="4"/>
  <c r="X25" i="4"/>
  <c r="AL25" i="4"/>
  <c r="AM25" i="4" s="1"/>
  <c r="S6" i="5"/>
  <c r="R6" i="5"/>
  <c r="AJ6" i="3"/>
  <c r="J18" i="7"/>
  <c r="O28" i="7"/>
  <c r="F32" i="7"/>
  <c r="AO32" i="7" s="1"/>
  <c r="AC15" i="7"/>
  <c r="I30" i="7"/>
  <c r="AA75" i="4"/>
  <c r="K30" i="7"/>
  <c r="AI21" i="7"/>
  <c r="AI16" i="7"/>
  <c r="G11" i="7"/>
  <c r="AF66" i="4"/>
  <c r="I11" i="7"/>
  <c r="S51" i="4"/>
  <c r="AE51" i="4" s="1"/>
  <c r="K12" i="7"/>
  <c r="H45" i="7"/>
  <c r="D50" i="7"/>
  <c r="E59" i="7"/>
  <c r="P63" i="7"/>
  <c r="J60" i="7"/>
  <c r="K58" i="7"/>
  <c r="H34" i="7"/>
  <c r="H35" i="7"/>
  <c r="F39" i="7"/>
  <c r="K18" i="7"/>
  <c r="Q35" i="7"/>
  <c r="I41" i="7"/>
  <c r="H63" i="7"/>
  <c r="K40" i="7"/>
  <c r="N40" i="7"/>
  <c r="Q40" i="7"/>
  <c r="V28" i="4"/>
  <c r="AP28" i="4"/>
  <c r="Z16" i="3"/>
  <c r="V16" i="3"/>
  <c r="R5" i="5"/>
  <c r="AJ5" i="3"/>
  <c r="AO31" i="4"/>
  <c r="Y31" i="4"/>
  <c r="T31" i="4"/>
  <c r="M10" i="5"/>
  <c r="AN10" i="5" s="1"/>
  <c r="AN26" i="5" s="1"/>
  <c r="AN10" i="3"/>
  <c r="V21" i="4"/>
  <c r="AL43" i="4"/>
  <c r="AM43" i="4" s="1"/>
  <c r="AG43" i="4"/>
  <c r="AD43" i="4"/>
  <c r="X43" i="4"/>
  <c r="H20" i="7"/>
  <c r="N18" i="7"/>
  <c r="Y74" i="4"/>
  <c r="T74" i="4"/>
  <c r="AO74" i="4"/>
  <c r="AL64" i="4"/>
  <c r="AM64" i="4" s="1"/>
  <c r="AG64" i="4"/>
  <c r="AD64" i="4"/>
  <c r="X64" i="4"/>
  <c r="R20" i="7"/>
  <c r="K32" i="7"/>
  <c r="F46" i="7"/>
  <c r="G60" i="7"/>
  <c r="M48" i="7"/>
  <c r="R47" i="7"/>
  <c r="G65" i="7"/>
  <c r="G42" i="7"/>
  <c r="AB42" i="7" s="1"/>
  <c r="E41" i="7"/>
  <c r="H41" i="7"/>
  <c r="U28" i="4"/>
  <c r="AO27" i="4"/>
  <c r="Y27" i="4"/>
  <c r="T27" i="4"/>
  <c r="Y14" i="4"/>
  <c r="T14" i="4"/>
  <c r="AO14" i="4"/>
  <c r="AN12" i="3"/>
  <c r="U24" i="4"/>
  <c r="S17" i="4"/>
  <c r="AE17" i="4" s="1"/>
  <c r="AJ38" i="4"/>
  <c r="AK38" i="4"/>
  <c r="AH38" i="4"/>
  <c r="AC27" i="7"/>
  <c r="L7" i="5"/>
  <c r="U7" i="3"/>
  <c r="J26" i="16" s="1"/>
  <c r="AR7" i="3"/>
  <c r="AQ7" i="3"/>
  <c r="AM7" i="3"/>
  <c r="AG20" i="4"/>
  <c r="AL20" i="4"/>
  <c r="AM20" i="4" s="1"/>
  <c r="AD20" i="4"/>
  <c r="X20" i="4"/>
  <c r="S33" i="4"/>
  <c r="AE33" i="4" s="1"/>
  <c r="AC11" i="3"/>
  <c r="AJ13" i="3"/>
  <c r="U20" i="4"/>
  <c r="L10" i="5"/>
  <c r="U10" i="3"/>
  <c r="S26" i="16" s="1"/>
  <c r="AR10" i="3"/>
  <c r="AQ10" i="3"/>
  <c r="AM10" i="3"/>
  <c r="V52" i="4"/>
  <c r="S44" i="4"/>
  <c r="AE44" i="4" s="1"/>
  <c r="H21" i="7"/>
  <c r="I20" i="7"/>
  <c r="AF14" i="7"/>
  <c r="U74" i="4"/>
  <c r="S65" i="4"/>
  <c r="AE65" i="4" s="1"/>
  <c r="R21" i="7"/>
  <c r="E32" i="7"/>
  <c r="AB30" i="4"/>
  <c r="F24" i="7"/>
  <c r="Q46" i="7"/>
  <c r="N27" i="7"/>
  <c r="E23" i="7"/>
  <c r="F23" i="7"/>
  <c r="X70" i="4"/>
  <c r="AL70" i="4"/>
  <c r="AM70" i="4" s="1"/>
  <c r="AG70" i="4"/>
  <c r="AD70" i="4"/>
  <c r="AL54" i="4"/>
  <c r="AM54" i="4" s="1"/>
  <c r="AG54" i="4"/>
  <c r="AD54" i="4"/>
  <c r="X54" i="4"/>
  <c r="F47" i="7"/>
  <c r="U47" i="7" s="1"/>
  <c r="N45" i="7"/>
  <c r="L49" i="7"/>
  <c r="Q48" i="7"/>
  <c r="M59" i="7"/>
  <c r="R49" i="7"/>
  <c r="D38" i="7"/>
  <c r="M45" i="7"/>
  <c r="AI42" i="7"/>
  <c r="S26" i="4"/>
  <c r="AE26" i="4" s="1"/>
  <c r="AP27" i="4"/>
  <c r="U26" i="4"/>
  <c r="S18" i="4"/>
  <c r="AE18" i="4" s="1"/>
  <c r="K9" i="5"/>
  <c r="AB9" i="3"/>
  <c r="G20" i="7"/>
  <c r="Y41" i="4"/>
  <c r="T41" i="4"/>
  <c r="AO41" i="4"/>
  <c r="S36" i="4"/>
  <c r="AE36" i="4" s="1"/>
  <c r="AB14" i="3"/>
  <c r="AB32" i="4"/>
  <c r="AR11" i="3"/>
  <c r="AQ11" i="3"/>
  <c r="AM11" i="3"/>
  <c r="U11" i="3"/>
  <c r="E26" i="18" s="1"/>
  <c r="S10" i="5"/>
  <c r="S20" i="4"/>
  <c r="AE20" i="4" s="1"/>
  <c r="Z11" i="3"/>
  <c r="V11" i="3"/>
  <c r="AK19" i="4"/>
  <c r="AJ19" i="4"/>
  <c r="AH19" i="4"/>
  <c r="J7" i="5"/>
  <c r="X7" i="3"/>
  <c r="J21" i="16" s="1"/>
  <c r="AA39" i="4"/>
  <c r="U48" i="4"/>
  <c r="I21" i="7"/>
  <c r="K20" i="7"/>
  <c r="P18" i="7"/>
  <c r="N28" i="7"/>
  <c r="V22" i="4"/>
  <c r="L27" i="7"/>
  <c r="L30" i="7"/>
  <c r="U23" i="4"/>
  <c r="Q27" i="7"/>
  <c r="AF27" i="7" s="1"/>
  <c r="S55" i="4"/>
  <c r="AE55" i="4" s="1"/>
  <c r="J27" i="7"/>
  <c r="E48" i="7"/>
  <c r="N46" i="7"/>
  <c r="I50" i="7"/>
  <c r="P62" i="7"/>
  <c r="O49" i="7"/>
  <c r="P50" i="7"/>
  <c r="AC46" i="7"/>
  <c r="E38" i="7"/>
  <c r="G46" i="7"/>
  <c r="L9" i="5"/>
  <c r="U9" i="3"/>
  <c r="Q26" i="16" s="1"/>
  <c r="AR9" i="3"/>
  <c r="AQ9" i="3"/>
  <c r="AM9" i="3"/>
  <c r="I6" i="5"/>
  <c r="AC6" i="3"/>
  <c r="U13" i="4"/>
  <c r="AJ11" i="3"/>
  <c r="F9" i="5"/>
  <c r="Z9" i="3"/>
  <c r="V9" i="3"/>
  <c r="J8" i="5"/>
  <c r="X8" i="3"/>
  <c r="L21" i="16" s="1"/>
  <c r="U21" i="4"/>
  <c r="P10" i="5"/>
  <c r="T6" i="5"/>
  <c r="AI6" i="3"/>
  <c r="Y6" i="3"/>
  <c r="E22" i="16" s="1"/>
  <c r="AU6" i="3"/>
  <c r="AS6" i="3"/>
  <c r="AL47" i="4"/>
  <c r="AM47" i="4" s="1"/>
  <c r="AG47" i="4"/>
  <c r="AD47" i="4"/>
  <c r="X47" i="4"/>
  <c r="K21" i="7"/>
  <c r="AF25" i="4"/>
  <c r="H27" i="7"/>
  <c r="J30" i="7"/>
  <c r="AO72" i="4"/>
  <c r="Y72" i="4"/>
  <c r="T72" i="4"/>
  <c r="Y32" i="4"/>
  <c r="AO32" i="4"/>
  <c r="T32" i="4"/>
  <c r="I62" i="7"/>
  <c r="G51" i="7"/>
  <c r="R63" i="7"/>
  <c r="L50" i="7"/>
  <c r="AF24" i="4"/>
  <c r="U19" i="4"/>
  <c r="S25" i="4"/>
  <c r="AE25" i="4" s="1"/>
  <c r="AK24" i="4"/>
  <c r="AJ24" i="4"/>
  <c r="AH24" i="4"/>
  <c r="AP14" i="4"/>
  <c r="AD16" i="3"/>
  <c r="J6" i="5"/>
  <c r="X6" i="3"/>
  <c r="E21" i="16" s="1"/>
  <c r="S5" i="5"/>
  <c r="AF21" i="4"/>
  <c r="AF78" i="7" l="1"/>
  <c r="AE80" i="4"/>
  <c r="AB78" i="7"/>
  <c r="AG78" i="7"/>
  <c r="V78" i="7"/>
  <c r="Z86" i="4"/>
  <c r="AN86" i="4" s="1"/>
  <c r="AF22" i="7"/>
  <c r="W86" i="4"/>
  <c r="Y78" i="7"/>
  <c r="S72" i="7"/>
  <c r="Z72" i="7" s="1"/>
  <c r="AN72" i="7" s="1"/>
  <c r="AE22" i="7"/>
  <c r="AP74" i="7"/>
  <c r="W74" i="7" s="1"/>
  <c r="AO78" i="7"/>
  <c r="AD78" i="7"/>
  <c r="X78" i="7"/>
  <c r="AJ78" i="7"/>
  <c r="AE78" i="7"/>
  <c r="AL78" i="7"/>
  <c r="AM78" i="7" s="1"/>
  <c r="Y73" i="7"/>
  <c r="AF24" i="3"/>
  <c r="E30" i="21"/>
  <c r="F30" i="21" s="1"/>
  <c r="U78" i="7"/>
  <c r="AH78" i="7"/>
  <c r="Z78" i="7"/>
  <c r="AN78" i="7" s="1"/>
  <c r="AP78" i="7"/>
  <c r="W78" i="7" s="1"/>
  <c r="AK78" i="7"/>
  <c r="AF27" i="3"/>
  <c r="Q31" i="21" s="1"/>
  <c r="P31" i="21" s="1"/>
  <c r="Q30" i="21"/>
  <c r="P30" i="21" s="1"/>
  <c r="AA78" i="7"/>
  <c r="AL28" i="3"/>
  <c r="S73" i="7"/>
  <c r="AE73" i="7" s="1"/>
  <c r="AJ73" i="7"/>
  <c r="AF65" i="7"/>
  <c r="S74" i="7"/>
  <c r="AE74" i="7" s="1"/>
  <c r="AE38" i="4"/>
  <c r="Z58" i="4"/>
  <c r="AN58" i="4" s="1"/>
  <c r="Z83" i="4"/>
  <c r="AN83" i="4" s="1"/>
  <c r="AB73" i="7"/>
  <c r="AP73" i="7"/>
  <c r="W73" i="7" s="1"/>
  <c r="AA73" i="7"/>
  <c r="U73" i="7"/>
  <c r="AD14" i="7"/>
  <c r="V74" i="7"/>
  <c r="AL73" i="7"/>
  <c r="AM73" i="7" s="1"/>
  <c r="AK73" i="7"/>
  <c r="U74" i="7"/>
  <c r="W80" i="4"/>
  <c r="AF73" i="7"/>
  <c r="AH74" i="7"/>
  <c r="AH73" i="7"/>
  <c r="AJ75" i="7"/>
  <c r="AF13" i="7"/>
  <c r="AF74" i="7"/>
  <c r="Z22" i="4"/>
  <c r="AN22" i="4" s="1"/>
  <c r="Z78" i="4"/>
  <c r="AN78" i="4" s="1"/>
  <c r="AK74" i="7"/>
  <c r="AJ74" i="7"/>
  <c r="Z29" i="4"/>
  <c r="AN29" i="4" s="1"/>
  <c r="S15" i="7"/>
  <c r="AE15" i="7" s="1"/>
  <c r="AD73" i="7"/>
  <c r="AD66" i="7"/>
  <c r="W81" i="4"/>
  <c r="AL24" i="3"/>
  <c r="Z72" i="4"/>
  <c r="AN72" i="4" s="1"/>
  <c r="Z52" i="4"/>
  <c r="AN52" i="4" s="1"/>
  <c r="AF42" i="7"/>
  <c r="AK27" i="3"/>
  <c r="AB72" i="7"/>
  <c r="AB22" i="7"/>
  <c r="W82" i="4"/>
  <c r="T74" i="7"/>
  <c r="W61" i="4"/>
  <c r="X74" i="7"/>
  <c r="AG74" i="7"/>
  <c r="AA72" i="7"/>
  <c r="AB74" i="7"/>
  <c r="X72" i="7"/>
  <c r="Y74" i="7"/>
  <c r="AL74" i="7"/>
  <c r="AM74" i="7" s="1"/>
  <c r="AA74" i="7"/>
  <c r="W85" i="4"/>
  <c r="AL23" i="3"/>
  <c r="AL27" i="3"/>
  <c r="AF71" i="7"/>
  <c r="AK77" i="7"/>
  <c r="AE27" i="3"/>
  <c r="AE28" i="3"/>
  <c r="AO28" i="3"/>
  <c r="AP28" i="3"/>
  <c r="AK28" i="3"/>
  <c r="AF28" i="3"/>
  <c r="S31" i="21" s="1"/>
  <c r="T31" i="21" s="1"/>
  <c r="AO27" i="3"/>
  <c r="AP27" i="3"/>
  <c r="AE26" i="3"/>
  <c r="AO26" i="3"/>
  <c r="AP26" i="3"/>
  <c r="AK24" i="3"/>
  <c r="AF26" i="3"/>
  <c r="AK26" i="3"/>
  <c r="AE24" i="3"/>
  <c r="AE25" i="3"/>
  <c r="BK5" i="5"/>
  <c r="BK21" i="5" s="1"/>
  <c r="AO25" i="3"/>
  <c r="AP25" i="3"/>
  <c r="AK23" i="3"/>
  <c r="AF25" i="3"/>
  <c r="J31" i="21" s="1"/>
  <c r="I31" i="21" s="1"/>
  <c r="AK25" i="3"/>
  <c r="AK12" i="3"/>
  <c r="AF12" i="3"/>
  <c r="AG11" i="3" s="1"/>
  <c r="E32" i="18" s="1"/>
  <c r="BJ5" i="5"/>
  <c r="BJ21" i="5" s="1"/>
  <c r="AO24" i="3"/>
  <c r="AP24" i="3"/>
  <c r="AO23" i="3"/>
  <c r="AP23" i="3"/>
  <c r="AE23" i="3"/>
  <c r="AF23" i="3"/>
  <c r="C31" i="21" s="1"/>
  <c r="B31" i="21" s="1"/>
  <c r="AD77" i="7"/>
  <c r="AB77" i="7"/>
  <c r="AJ77" i="7"/>
  <c r="S54" i="7"/>
  <c r="AE54" i="7" s="1"/>
  <c r="AH77" i="7"/>
  <c r="AF75" i="7"/>
  <c r="AG77" i="7"/>
  <c r="V72" i="7"/>
  <c r="AF61" i="7"/>
  <c r="W84" i="4"/>
  <c r="U75" i="7"/>
  <c r="X76" i="7"/>
  <c r="AP77" i="7"/>
  <c r="V76" i="7"/>
  <c r="AH76" i="7"/>
  <c r="AK75" i="7"/>
  <c r="AA75" i="7"/>
  <c r="Y77" i="7"/>
  <c r="AO75" i="7"/>
  <c r="AH72" i="7"/>
  <c r="AF76" i="7"/>
  <c r="AH75" i="7"/>
  <c r="AB71" i="7"/>
  <c r="AD75" i="7"/>
  <c r="AF77" i="7"/>
  <c r="Z84" i="4"/>
  <c r="AN84" i="4" s="1"/>
  <c r="S77" i="7"/>
  <c r="AE77" i="7" s="1"/>
  <c r="S75" i="7"/>
  <c r="AE75" i="7" s="1"/>
  <c r="U72" i="7"/>
  <c r="AD76" i="7"/>
  <c r="AL76" i="7"/>
  <c r="AM76" i="7" s="1"/>
  <c r="AE79" i="4"/>
  <c r="AG76" i="7"/>
  <c r="AA77" i="7"/>
  <c r="U77" i="7"/>
  <c r="AO77" i="7"/>
  <c r="AO72" i="7"/>
  <c r="Y75" i="7"/>
  <c r="Y72" i="7"/>
  <c r="AD72" i="7"/>
  <c r="AK76" i="7"/>
  <c r="AF17" i="3"/>
  <c r="C31" i="19" s="1"/>
  <c r="AE72" i="7"/>
  <c r="Z81" i="4"/>
  <c r="AN81" i="4" s="1"/>
  <c r="AG72" i="7"/>
  <c r="AP76" i="7"/>
  <c r="W76" i="7" s="1"/>
  <c r="AL72" i="7"/>
  <c r="AM72" i="7" s="1"/>
  <c r="AP72" i="7"/>
  <c r="AK72" i="7"/>
  <c r="AJ72" i="7"/>
  <c r="U76" i="7"/>
  <c r="X75" i="7"/>
  <c r="AG75" i="7"/>
  <c r="AL75" i="7"/>
  <c r="AM75" i="7" s="1"/>
  <c r="AF72" i="7"/>
  <c r="S13" i="7"/>
  <c r="AE13" i="7" s="1"/>
  <c r="S76" i="7"/>
  <c r="V77" i="7"/>
  <c r="V75" i="7"/>
  <c r="X77" i="7"/>
  <c r="AB75" i="7"/>
  <c r="AL77" i="7"/>
  <c r="AM77" i="7" s="1"/>
  <c r="AP75" i="7"/>
  <c r="Z19" i="4"/>
  <c r="AN19" i="4" s="1"/>
  <c r="W83" i="4"/>
  <c r="Z85" i="4"/>
  <c r="AN85" i="4" s="1"/>
  <c r="AJ76" i="7"/>
  <c r="AP71" i="7"/>
  <c r="W71" i="7" s="1"/>
  <c r="AD26" i="7"/>
  <c r="U71" i="7"/>
  <c r="Y71" i="7"/>
  <c r="AF26" i="7"/>
  <c r="S68" i="7"/>
  <c r="AE68" i="7" s="1"/>
  <c r="T71" i="7"/>
  <c r="X71" i="7"/>
  <c r="Z77" i="4"/>
  <c r="AN77" i="4" s="1"/>
  <c r="AJ71" i="7"/>
  <c r="AD13" i="7"/>
  <c r="AK68" i="7"/>
  <c r="AG13" i="7"/>
  <c r="S66" i="7"/>
  <c r="AE66" i="7" s="1"/>
  <c r="AP67" i="7"/>
  <c r="X68" i="7"/>
  <c r="Z70" i="4"/>
  <c r="AN70" i="4" s="1"/>
  <c r="AF69" i="7"/>
  <c r="AB70" i="7"/>
  <c r="AG68" i="7"/>
  <c r="AK71" i="7"/>
  <c r="AH71" i="7"/>
  <c r="AO45" i="7"/>
  <c r="AD69" i="7"/>
  <c r="AJ68" i="7"/>
  <c r="AG45" i="7"/>
  <c r="AE39" i="4"/>
  <c r="AJ69" i="7"/>
  <c r="AH68" i="7"/>
  <c r="AL20" i="3"/>
  <c r="AB54" i="7"/>
  <c r="AA68" i="7"/>
  <c r="V68" i="7"/>
  <c r="U70" i="7"/>
  <c r="AO68" i="7"/>
  <c r="AB68" i="7"/>
  <c r="AP70" i="7"/>
  <c r="W70" i="7" s="1"/>
  <c r="AL21" i="3"/>
  <c r="AL18" i="3"/>
  <c r="T45" i="7"/>
  <c r="AB45" i="7"/>
  <c r="AE13" i="4"/>
  <c r="T70" i="7"/>
  <c r="AA45" i="7"/>
  <c r="AF11" i="7"/>
  <c r="U69" i="7"/>
  <c r="AA71" i="7"/>
  <c r="AL68" i="7"/>
  <c r="AM68" i="7" s="1"/>
  <c r="T68" i="7"/>
  <c r="AL22" i="3"/>
  <c r="V69" i="7"/>
  <c r="V71" i="7"/>
  <c r="Y70" i="7"/>
  <c r="AG70" i="7"/>
  <c r="AE18" i="3"/>
  <c r="E30" i="19"/>
  <c r="F30" i="19" s="1"/>
  <c r="C30" i="19"/>
  <c r="B30" i="19" s="1"/>
  <c r="AE22" i="3"/>
  <c r="Q30" i="19"/>
  <c r="P30" i="19" s="1"/>
  <c r="AK19" i="3"/>
  <c r="J30" i="19"/>
  <c r="I30" i="19" s="1"/>
  <c r="AO69" i="7"/>
  <c r="Y68" i="7"/>
  <c r="S55" i="7"/>
  <c r="AE55" i="7" s="1"/>
  <c r="AP69" i="7"/>
  <c r="AL17" i="3"/>
  <c r="U68" i="7"/>
  <c r="AL19" i="3"/>
  <c r="BH5" i="5"/>
  <c r="BH21" i="5" s="1"/>
  <c r="BJ6" i="5"/>
  <c r="BJ22" i="5" s="1"/>
  <c r="AO17" i="3"/>
  <c r="AE17" i="3"/>
  <c r="AO22" i="3"/>
  <c r="AP22" i="3"/>
  <c r="AF22" i="3"/>
  <c r="AK22" i="3"/>
  <c r="BJ7" i="5"/>
  <c r="BJ23" i="5" s="1"/>
  <c r="AP17" i="3"/>
  <c r="AF19" i="3"/>
  <c r="J31" i="19" s="1"/>
  <c r="AO21" i="3"/>
  <c r="AP21" i="3"/>
  <c r="AF18" i="3"/>
  <c r="E31" i="19" s="1"/>
  <c r="F31" i="19" s="1"/>
  <c r="AE21" i="3"/>
  <c r="AF21" i="3"/>
  <c r="Q31" i="19" s="1"/>
  <c r="AK21" i="3"/>
  <c r="BI7" i="5"/>
  <c r="BI23" i="5" s="1"/>
  <c r="BI10" i="5"/>
  <c r="BI26" i="5" s="1"/>
  <c r="BH10" i="5"/>
  <c r="BH26" i="5" s="1"/>
  <c r="AK18" i="3"/>
  <c r="AE19" i="3"/>
  <c r="AE20" i="3"/>
  <c r="BI9" i="5"/>
  <c r="BI25" i="5" s="1"/>
  <c r="AO20" i="3"/>
  <c r="AP20" i="3"/>
  <c r="BI8" i="5"/>
  <c r="BI24" i="5" s="1"/>
  <c r="AK20" i="3"/>
  <c r="AF20" i="3"/>
  <c r="BH9" i="5"/>
  <c r="BH25" i="5" s="1"/>
  <c r="BK10" i="5"/>
  <c r="BK26" i="5" s="1"/>
  <c r="AO19" i="3"/>
  <c r="AP19" i="3"/>
  <c r="BK9" i="5"/>
  <c r="BK25" i="5" s="1"/>
  <c r="BK8" i="5"/>
  <c r="BK24" i="5" s="1"/>
  <c r="BH8" i="5"/>
  <c r="BH24" i="5" s="1"/>
  <c r="BH7" i="5"/>
  <c r="BH23" i="5" s="1"/>
  <c r="BI6" i="5"/>
  <c r="BI22" i="5" s="1"/>
  <c r="BK6" i="5"/>
  <c r="BK22" i="5" s="1"/>
  <c r="AO18" i="3"/>
  <c r="AP18" i="3"/>
  <c r="BE9" i="5"/>
  <c r="BE25" i="5" s="1"/>
  <c r="BD9" i="5"/>
  <c r="BD25" i="5" s="1"/>
  <c r="BG9" i="5"/>
  <c r="BG25" i="5" s="1"/>
  <c r="BF9" i="5"/>
  <c r="BF25" i="5" s="1"/>
  <c r="BD6" i="5"/>
  <c r="BD22" i="5" s="1"/>
  <c r="BG6" i="5"/>
  <c r="BG22" i="5" s="1"/>
  <c r="BF6" i="5"/>
  <c r="BF22" i="5" s="1"/>
  <c r="BE6" i="5"/>
  <c r="BE22" i="5" s="1"/>
  <c r="BD8" i="5"/>
  <c r="BD24" i="5" s="1"/>
  <c r="BF8" i="5"/>
  <c r="BF24" i="5" s="1"/>
  <c r="BG8" i="5"/>
  <c r="BG24" i="5" s="1"/>
  <c r="BE8" i="5"/>
  <c r="BE24" i="5" s="1"/>
  <c r="BE10" i="5"/>
  <c r="BE26" i="5" s="1"/>
  <c r="BD10" i="5"/>
  <c r="BD26" i="5" s="1"/>
  <c r="BF10" i="5"/>
  <c r="BF26" i="5" s="1"/>
  <c r="BG10" i="5"/>
  <c r="BG26" i="5" s="1"/>
  <c r="BD5" i="5"/>
  <c r="BD21" i="5" s="1"/>
  <c r="BF5" i="5"/>
  <c r="BF21" i="5" s="1"/>
  <c r="BG5" i="5"/>
  <c r="BG21" i="5" s="1"/>
  <c r="BE5" i="5"/>
  <c r="BE21" i="5" s="1"/>
  <c r="BD7" i="5"/>
  <c r="BD23" i="5" s="1"/>
  <c r="BG7" i="5"/>
  <c r="BG23" i="5" s="1"/>
  <c r="BF7" i="5"/>
  <c r="BF23" i="5" s="1"/>
  <c r="BE7" i="5"/>
  <c r="BE23" i="5" s="1"/>
  <c r="W79" i="4"/>
  <c r="AE32" i="4"/>
  <c r="AJ70" i="7"/>
  <c r="AH69" i="7"/>
  <c r="AP68" i="7"/>
  <c r="AJ37" i="7"/>
  <c r="Z50" i="4"/>
  <c r="AN50" i="4" s="1"/>
  <c r="V70" i="7"/>
  <c r="S71" i="7"/>
  <c r="AE71" i="7" s="1"/>
  <c r="AO25" i="7"/>
  <c r="AA62" i="7"/>
  <c r="AL70" i="7"/>
  <c r="AM70" i="7" s="1"/>
  <c r="AF19" i="7"/>
  <c r="AA70" i="7"/>
  <c r="AD55" i="7"/>
  <c r="W76" i="4"/>
  <c r="AB69" i="7"/>
  <c r="AD33" i="7"/>
  <c r="Z11" i="4"/>
  <c r="AN11" i="4" s="1"/>
  <c r="AP29" i="7"/>
  <c r="W69" i="4"/>
  <c r="Z53" i="4"/>
  <c r="AN53" i="4" s="1"/>
  <c r="T69" i="7"/>
  <c r="S52" i="7"/>
  <c r="Z52" i="7" s="1"/>
  <c r="AN52" i="7" s="1"/>
  <c r="X70" i="7"/>
  <c r="AG69" i="7"/>
  <c r="AF43" i="7"/>
  <c r="Y69" i="7"/>
  <c r="X69" i="7"/>
  <c r="S44" i="7"/>
  <c r="AE44" i="7" s="1"/>
  <c r="Z76" i="4"/>
  <c r="AN76" i="4" s="1"/>
  <c r="AA69" i="7"/>
  <c r="Z15" i="4"/>
  <c r="AN15" i="4" s="1"/>
  <c r="W77" i="4"/>
  <c r="AK70" i="7"/>
  <c r="AA14" i="7"/>
  <c r="AL71" i="7"/>
  <c r="AM71" i="7" s="1"/>
  <c r="AD46" i="7"/>
  <c r="AD37" i="7"/>
  <c r="AH70" i="7"/>
  <c r="S70" i="7"/>
  <c r="AD53" i="7"/>
  <c r="AD70" i="7"/>
  <c r="S69" i="7"/>
  <c r="AD25" i="7"/>
  <c r="AK69" i="7"/>
  <c r="AL69" i="7"/>
  <c r="AM69" i="7" s="1"/>
  <c r="AF70" i="7"/>
  <c r="W64" i="4"/>
  <c r="W78" i="4"/>
  <c r="AO33" i="7"/>
  <c r="W47" i="4"/>
  <c r="U14" i="7"/>
  <c r="W67" i="4"/>
  <c r="AO50" i="7"/>
  <c r="W32" i="4"/>
  <c r="W30" i="4"/>
  <c r="V28" i="7"/>
  <c r="S43" i="7"/>
  <c r="AE43" i="7" s="1"/>
  <c r="AF47" i="7"/>
  <c r="AF38" i="7"/>
  <c r="AJ41" i="7"/>
  <c r="AF44" i="7"/>
  <c r="S37" i="7"/>
  <c r="AE37" i="7" s="1"/>
  <c r="V14" i="7"/>
  <c r="AO53" i="7"/>
  <c r="U53" i="7"/>
  <c r="AK15" i="3"/>
  <c r="V65" i="7"/>
  <c r="AF15" i="3"/>
  <c r="Q31" i="18" s="1"/>
  <c r="AO14" i="7"/>
  <c r="Z67" i="4"/>
  <c r="AN67" i="4" s="1"/>
  <c r="AB20" i="7"/>
  <c r="AE16" i="3"/>
  <c r="S30" i="18"/>
  <c r="T30" i="18" s="1"/>
  <c r="AE25" i="7"/>
  <c r="W35" i="4"/>
  <c r="AF25" i="7"/>
  <c r="AF13" i="3"/>
  <c r="J31" i="18" s="1"/>
  <c r="J30" i="18"/>
  <c r="I30" i="18" s="1"/>
  <c r="AK9" i="3"/>
  <c r="Q30" i="16"/>
  <c r="P30" i="16" s="1"/>
  <c r="AF11" i="3"/>
  <c r="E31" i="18" s="1"/>
  <c r="F31" i="18" s="1"/>
  <c r="E30" i="18"/>
  <c r="F30" i="18" s="1"/>
  <c r="Z23" i="4"/>
  <c r="AN23" i="4" s="1"/>
  <c r="AF14" i="3"/>
  <c r="L31" i="18" s="1"/>
  <c r="L30" i="18"/>
  <c r="M30" i="18" s="1"/>
  <c r="AK5" i="3"/>
  <c r="C30" i="16"/>
  <c r="B30" i="16" s="1"/>
  <c r="AJ15" i="7"/>
  <c r="AF6" i="3"/>
  <c r="E31" i="16" s="1"/>
  <c r="F31" i="16" s="1"/>
  <c r="E30" i="16"/>
  <c r="F30" i="16" s="1"/>
  <c r="Z73" i="4"/>
  <c r="AN73" i="4" s="1"/>
  <c r="V39" i="7"/>
  <c r="W44" i="4"/>
  <c r="AD45" i="7"/>
  <c r="U44" i="7"/>
  <c r="AF48" i="7"/>
  <c r="W72" i="4"/>
  <c r="S38" i="7"/>
  <c r="AE38" i="7" s="1"/>
  <c r="AH19" i="7"/>
  <c r="S50" i="7"/>
  <c r="AE50" i="7" s="1"/>
  <c r="AF36" i="7"/>
  <c r="Z68" i="4"/>
  <c r="AN68" i="4" s="1"/>
  <c r="AF67" i="7"/>
  <c r="AD44" i="7"/>
  <c r="AH21" i="7"/>
  <c r="Z27" i="4"/>
  <c r="AN27" i="4" s="1"/>
  <c r="AD38" i="7"/>
  <c r="S57" i="7"/>
  <c r="AE57" i="7" s="1"/>
  <c r="W31" i="4"/>
  <c r="AJ21" i="7"/>
  <c r="W62" i="4"/>
  <c r="AK43" i="7"/>
  <c r="S26" i="7"/>
  <c r="AE26" i="7" s="1"/>
  <c r="S17" i="7"/>
  <c r="AE17" i="7" s="1"/>
  <c r="AK44" i="7"/>
  <c r="V60" i="7"/>
  <c r="X13" i="7"/>
  <c r="AF56" i="7"/>
  <c r="W13" i="4"/>
  <c r="AH43" i="7"/>
  <c r="V27" i="7"/>
  <c r="AJ43" i="7"/>
  <c r="AK26" i="7"/>
  <c r="Z31" i="4"/>
  <c r="AN31" i="4" s="1"/>
  <c r="AH26" i="7"/>
  <c r="AJ26" i="7"/>
  <c r="S53" i="7"/>
  <c r="AE53" i="7" s="1"/>
  <c r="S45" i="7"/>
  <c r="Z45" i="7" s="1"/>
  <c r="AN45" i="7" s="1"/>
  <c r="AH37" i="7"/>
  <c r="AK37" i="7"/>
  <c r="AG17" i="7"/>
  <c r="AJ64" i="7"/>
  <c r="AK16" i="7"/>
  <c r="AJ19" i="7"/>
  <c r="AK17" i="7"/>
  <c r="AB44" i="7"/>
  <c r="W12" i="4"/>
  <c r="U13" i="7"/>
  <c r="W49" i="4"/>
  <c r="AO41" i="7"/>
  <c r="T44" i="7"/>
  <c r="Y44" i="7"/>
  <c r="Y19" i="7"/>
  <c r="V46" i="7"/>
  <c r="AB12" i="7"/>
  <c r="W11" i="4"/>
  <c r="AA36" i="7"/>
  <c r="W16" i="4"/>
  <c r="W23" i="4"/>
  <c r="X44" i="7"/>
  <c r="AA44" i="7"/>
  <c r="AG44" i="7"/>
  <c r="AB26" i="7"/>
  <c r="U58" i="7"/>
  <c r="AO52" i="7"/>
  <c r="AB64" i="7"/>
  <c r="AG12" i="7"/>
  <c r="AA54" i="7"/>
  <c r="X12" i="7"/>
  <c r="T17" i="7"/>
  <c r="AL8" i="3"/>
  <c r="W73" i="4"/>
  <c r="Z56" i="4"/>
  <c r="AN56" i="4" s="1"/>
  <c r="AF40" i="7"/>
  <c r="Z21" i="4"/>
  <c r="AN21" i="4" s="1"/>
  <c r="AK19" i="7"/>
  <c r="AH16" i="7"/>
  <c r="S19" i="7"/>
  <c r="AE19" i="7" s="1"/>
  <c r="U17" i="7"/>
  <c r="AJ16" i="7"/>
  <c r="AA64" i="7"/>
  <c r="AP44" i="7"/>
  <c r="W44" i="7" s="1"/>
  <c r="AH17" i="7"/>
  <c r="S63" i="7"/>
  <c r="AE63" i="7" s="1"/>
  <c r="AJ17" i="7"/>
  <c r="AD15" i="7"/>
  <c r="AH44" i="7"/>
  <c r="AJ44" i="7"/>
  <c r="AD36" i="7"/>
  <c r="Z41" i="4"/>
  <c r="AN41" i="4" s="1"/>
  <c r="V42" i="7"/>
  <c r="AG36" i="7"/>
  <c r="Z54" i="4"/>
  <c r="AN54" i="4" s="1"/>
  <c r="Z28" i="4"/>
  <c r="AN28" i="4" s="1"/>
  <c r="AJ61" i="7"/>
  <c r="AF18" i="7"/>
  <c r="U16" i="7"/>
  <c r="AH47" i="7"/>
  <c r="Z75" i="4"/>
  <c r="AN75" i="4" s="1"/>
  <c r="AB13" i="7"/>
  <c r="AO27" i="7"/>
  <c r="AO21" i="7"/>
  <c r="X8" i="5"/>
  <c r="V49" i="7"/>
  <c r="U41" i="7"/>
  <c r="AP41" i="7"/>
  <c r="AO61" i="7"/>
  <c r="AO15" i="7"/>
  <c r="U22" i="7"/>
  <c r="W29" i="4"/>
  <c r="W75" i="4"/>
  <c r="W22" i="4"/>
  <c r="AA12" i="7"/>
  <c r="X7" i="5"/>
  <c r="Y26" i="7"/>
  <c r="AB49" i="7"/>
  <c r="T26" i="7"/>
  <c r="T11" i="7"/>
  <c r="V61" i="7"/>
  <c r="W21" i="4"/>
  <c r="U54" i="7"/>
  <c r="AP52" i="7"/>
  <c r="W63" i="4"/>
  <c r="AO60" i="7"/>
  <c r="AA11" i="7"/>
  <c r="AB62" i="7"/>
  <c r="AO13" i="7"/>
  <c r="Y17" i="7"/>
  <c r="AO42" i="7"/>
  <c r="V53" i="7"/>
  <c r="V58" i="7"/>
  <c r="V64" i="7"/>
  <c r="X6" i="5"/>
  <c r="W17" i="4"/>
  <c r="U57" i="7"/>
  <c r="U43" i="7"/>
  <c r="AB43" i="7"/>
  <c r="U62" i="7"/>
  <c r="AB37" i="7"/>
  <c r="AO58" i="7"/>
  <c r="AO26" i="7"/>
  <c r="W26" i="7" s="1"/>
  <c r="AB65" i="7"/>
  <c r="AL15" i="3"/>
  <c r="T24" i="7"/>
  <c r="V45" i="7"/>
  <c r="X45" i="7"/>
  <c r="AT5" i="5"/>
  <c r="AO38" i="7"/>
  <c r="AO31" i="7"/>
  <c r="AO67" i="7"/>
  <c r="Y16" i="7"/>
  <c r="AB35" i="7"/>
  <c r="W58" i="4"/>
  <c r="AB24" i="7"/>
  <c r="AG37" i="7"/>
  <c r="T14" i="7"/>
  <c r="AA35" i="7"/>
  <c r="AA24" i="7"/>
  <c r="T37" i="7"/>
  <c r="Y37" i="7"/>
  <c r="Y14" i="7"/>
  <c r="AB51" i="7"/>
  <c r="W38" i="4"/>
  <c r="X14" i="7"/>
  <c r="W51" i="4"/>
  <c r="AG14" i="7"/>
  <c r="AA37" i="7"/>
  <c r="AP37" i="7"/>
  <c r="V54" i="7"/>
  <c r="V51" i="7"/>
  <c r="AP56" i="7"/>
  <c r="W36" i="4"/>
  <c r="AP55" i="7"/>
  <c r="U48" i="7"/>
  <c r="U29" i="7"/>
  <c r="U12" i="7"/>
  <c r="AP62" i="7"/>
  <c r="U26" i="7"/>
  <c r="AP40" i="7"/>
  <c r="W40" i="7" s="1"/>
  <c r="U56" i="7"/>
  <c r="AO37" i="7"/>
  <c r="W52" i="4"/>
  <c r="W65" i="4"/>
  <c r="AB11" i="7"/>
  <c r="AC7" i="5"/>
  <c r="X54" i="7"/>
  <c r="Z24" i="4"/>
  <c r="AN24" i="4" s="1"/>
  <c r="AP63" i="7"/>
  <c r="AF57" i="7"/>
  <c r="W68" i="4"/>
  <c r="Z60" i="4"/>
  <c r="AN60" i="4" s="1"/>
  <c r="X17" i="7"/>
  <c r="AH15" i="7"/>
  <c r="AK15" i="7"/>
  <c r="T36" i="7"/>
  <c r="V43" i="7"/>
  <c r="Y36" i="7"/>
  <c r="W34" i="4"/>
  <c r="AP30" i="7"/>
  <c r="AP38" i="7"/>
  <c r="U63" i="7"/>
  <c r="V17" i="7"/>
  <c r="AK47" i="7"/>
  <c r="AK11" i="3"/>
  <c r="AO29" i="7"/>
  <c r="AP57" i="7"/>
  <c r="AE11" i="3"/>
  <c r="V25" i="7"/>
  <c r="AE12" i="3"/>
  <c r="AP39" i="7"/>
  <c r="AP27" i="7"/>
  <c r="AA17" i="7"/>
  <c r="AG65" i="7"/>
  <c r="AD50" i="7"/>
  <c r="U30" i="7"/>
  <c r="U24" i="7"/>
  <c r="U37" i="7"/>
  <c r="AO20" i="7"/>
  <c r="AC8" i="5"/>
  <c r="AL17" i="7"/>
  <c r="AM17" i="7" s="1"/>
  <c r="Z69" i="4"/>
  <c r="AN69" i="4" s="1"/>
  <c r="V15" i="7"/>
  <c r="W26" i="4"/>
  <c r="S30" i="7"/>
  <c r="AE30" i="7" s="1"/>
  <c r="AO18" i="7"/>
  <c r="AO34" i="7"/>
  <c r="X43" i="7"/>
  <c r="T19" i="18"/>
  <c r="T19" i="19"/>
  <c r="T19" i="16"/>
  <c r="I20" i="18"/>
  <c r="I20" i="19"/>
  <c r="I20" i="16"/>
  <c r="I30" i="16"/>
  <c r="AD43" i="7"/>
  <c r="W19" i="4"/>
  <c r="AP24" i="7"/>
  <c r="AB14" i="7"/>
  <c r="AP14" i="7"/>
  <c r="M19" i="18"/>
  <c r="M19" i="19"/>
  <c r="M19" i="16"/>
  <c r="M22" i="18"/>
  <c r="M22" i="16"/>
  <c r="M22" i="19"/>
  <c r="AO23" i="7"/>
  <c r="AA13" i="7"/>
  <c r="AP13" i="7"/>
  <c r="V24" i="7"/>
  <c r="B26" i="18"/>
  <c r="B26" i="19"/>
  <c r="B26" i="16"/>
  <c r="AP42" i="7"/>
  <c r="AP51" i="7"/>
  <c r="T22" i="16"/>
  <c r="T22" i="18"/>
  <c r="T22" i="19"/>
  <c r="Y43" i="7"/>
  <c r="AO43" i="7"/>
  <c r="W43" i="7" s="1"/>
  <c r="AP49" i="7"/>
  <c r="AO47" i="7"/>
  <c r="W47" i="7" s="1"/>
  <c r="AP34" i="7"/>
  <c r="AJ47" i="7"/>
  <c r="B22" i="16"/>
  <c r="B22" i="18"/>
  <c r="B22" i="19"/>
  <c r="M20" i="18"/>
  <c r="M20" i="19"/>
  <c r="M20" i="16"/>
  <c r="AP50" i="7"/>
  <c r="AP46" i="7"/>
  <c r="M21" i="19"/>
  <c r="M21" i="16"/>
  <c r="M21" i="18"/>
  <c r="F20" i="16"/>
  <c r="F20" i="18"/>
  <c r="F20" i="19"/>
  <c r="P21" i="19"/>
  <c r="P21" i="16"/>
  <c r="P21" i="18"/>
  <c r="I26" i="18"/>
  <c r="I26" i="19"/>
  <c r="I26" i="16"/>
  <c r="B20" i="18"/>
  <c r="B20" i="19"/>
  <c r="B20" i="16"/>
  <c r="T33" i="7"/>
  <c r="AP33" i="7"/>
  <c r="U45" i="7"/>
  <c r="AO63" i="7"/>
  <c r="T64" i="7"/>
  <c r="AO64" i="7"/>
  <c r="AD56" i="7"/>
  <c r="AA61" i="7"/>
  <c r="AP61" i="7"/>
  <c r="S56" i="7"/>
  <c r="AE56" i="7" s="1"/>
  <c r="X23" i="7"/>
  <c r="AP23" i="7"/>
  <c r="AF49" i="7"/>
  <c r="T32" i="7"/>
  <c r="AP32" i="7"/>
  <c r="W32" i="7" s="1"/>
  <c r="P20" i="18"/>
  <c r="P20" i="19"/>
  <c r="P20" i="16"/>
  <c r="AB58" i="7"/>
  <c r="AP58" i="7"/>
  <c r="AP64" i="7"/>
  <c r="AA55" i="7"/>
  <c r="AP54" i="7"/>
  <c r="P26" i="18"/>
  <c r="P26" i="16"/>
  <c r="P26" i="19"/>
  <c r="T21" i="19"/>
  <c r="T21" i="16"/>
  <c r="T21" i="18"/>
  <c r="W15" i="4"/>
  <c r="AP21" i="7"/>
  <c r="AH61" i="7"/>
  <c r="AO17" i="7"/>
  <c r="AP16" i="7"/>
  <c r="AG18" i="7"/>
  <c r="AP18" i="7"/>
  <c r="I21" i="19"/>
  <c r="I21" i="16"/>
  <c r="I21" i="18"/>
  <c r="T66" i="7"/>
  <c r="AP66" i="7"/>
  <c r="AK61" i="7"/>
  <c r="T20" i="18"/>
  <c r="T20" i="16"/>
  <c r="T20" i="19"/>
  <c r="AF9" i="3"/>
  <c r="Q31" i="16" s="1"/>
  <c r="P30" i="18"/>
  <c r="V57" i="7"/>
  <c r="AP31" i="7"/>
  <c r="AO49" i="7"/>
  <c r="AO46" i="7"/>
  <c r="F26" i="18"/>
  <c r="F26" i="19"/>
  <c r="F26" i="16"/>
  <c r="AT9" i="5"/>
  <c r="T16" i="7"/>
  <c r="AO16" i="7"/>
  <c r="AP12" i="7"/>
  <c r="AB17" i="7"/>
  <c r="AP17" i="7"/>
  <c r="B30" i="18"/>
  <c r="Y22" i="7"/>
  <c r="AP22" i="7"/>
  <c r="W22" i="7" s="1"/>
  <c r="AF15" i="7"/>
  <c r="AP19" i="7"/>
  <c r="AO54" i="7"/>
  <c r="I22" i="18"/>
  <c r="I22" i="16"/>
  <c r="I22" i="19"/>
  <c r="AP36" i="7"/>
  <c r="W36" i="7" s="1"/>
  <c r="F19" i="16"/>
  <c r="F19" i="18"/>
  <c r="F19" i="19"/>
  <c r="B21" i="19"/>
  <c r="B21" i="16"/>
  <c r="B21" i="18"/>
  <c r="AO66" i="7"/>
  <c r="AO24" i="7"/>
  <c r="AP45" i="7"/>
  <c r="M26" i="18"/>
  <c r="M26" i="19"/>
  <c r="M26" i="16"/>
  <c r="AP11" i="7"/>
  <c r="AP60" i="7"/>
  <c r="AO51" i="7"/>
  <c r="AO55" i="7"/>
  <c r="AB15" i="7"/>
  <c r="AP15" i="7"/>
  <c r="AK6" i="3"/>
  <c r="AO59" i="7"/>
  <c r="AO30" i="7"/>
  <c r="AF33" i="7"/>
  <c r="AP28" i="7"/>
  <c r="W28" i="7" s="1"/>
  <c r="AO56" i="7"/>
  <c r="AO12" i="7"/>
  <c r="AH49" i="7"/>
  <c r="AP35" i="7"/>
  <c r="W35" i="7" s="1"/>
  <c r="S40" i="7"/>
  <c r="AE40" i="7" s="1"/>
  <c r="AO65" i="7"/>
  <c r="F21" i="16"/>
  <c r="F21" i="19"/>
  <c r="F21" i="18"/>
  <c r="T59" i="7"/>
  <c r="AP59" i="7"/>
  <c r="AP20" i="7"/>
  <c r="AO62" i="7"/>
  <c r="AO57" i="7"/>
  <c r="AB48" i="7"/>
  <c r="AP48" i="7"/>
  <c r="P22" i="16"/>
  <c r="P22" i="18"/>
  <c r="P22" i="19"/>
  <c r="AO39" i="7"/>
  <c r="AK10" i="3"/>
  <c r="T30" i="19"/>
  <c r="T30" i="16"/>
  <c r="AK8" i="3"/>
  <c r="M30" i="16"/>
  <c r="M30" i="19"/>
  <c r="AO11" i="7"/>
  <c r="AO19" i="7"/>
  <c r="I19" i="16"/>
  <c r="I19" i="18"/>
  <c r="I19" i="19"/>
  <c r="F22" i="16"/>
  <c r="F22" i="18"/>
  <c r="F22" i="19"/>
  <c r="T26" i="18"/>
  <c r="T26" i="16"/>
  <c r="T26" i="19"/>
  <c r="AG25" i="7"/>
  <c r="AP25" i="7"/>
  <c r="AG53" i="7"/>
  <c r="AP53" i="7"/>
  <c r="AL7" i="3"/>
  <c r="AO48" i="7"/>
  <c r="B19" i="18"/>
  <c r="B19" i="19"/>
  <c r="B19" i="16"/>
  <c r="AP65" i="7"/>
  <c r="P19" i="18"/>
  <c r="P19" i="16"/>
  <c r="P19" i="19"/>
  <c r="AT6" i="5"/>
  <c r="AT10" i="5"/>
  <c r="AT8" i="5"/>
  <c r="AT7" i="5"/>
  <c r="AL9" i="3"/>
  <c r="AL16" i="3"/>
  <c r="AC6" i="5"/>
  <c r="AL12" i="3"/>
  <c r="AB8" i="5"/>
  <c r="X10" i="5"/>
  <c r="S60" i="7"/>
  <c r="Z60" i="7" s="1"/>
  <c r="AN60" i="7" s="1"/>
  <c r="AA15" i="7"/>
  <c r="X39" i="7"/>
  <c r="AE65" i="7"/>
  <c r="S28" i="7"/>
  <c r="AE28" i="7" s="1"/>
  <c r="AG61" i="7"/>
  <c r="AG56" i="7"/>
  <c r="AA47" i="7"/>
  <c r="T56" i="7"/>
  <c r="Y12" i="7"/>
  <c r="X15" i="7"/>
  <c r="AG15" i="7"/>
  <c r="V16" i="7"/>
  <c r="Y28" i="7"/>
  <c r="AB61" i="7"/>
  <c r="AA57" i="7"/>
  <c r="AG54" i="7"/>
  <c r="AD54" i="7"/>
  <c r="S64" i="7"/>
  <c r="Z64" i="7" s="1"/>
  <c r="AN64" i="7" s="1"/>
  <c r="S49" i="7"/>
  <c r="AE49" i="7" s="1"/>
  <c r="X55" i="7"/>
  <c r="U39" i="7"/>
  <c r="AL44" i="7"/>
  <c r="AM44" i="7" s="1"/>
  <c r="AF54" i="7"/>
  <c r="AD39" i="7"/>
  <c r="AF34" i="7"/>
  <c r="AB47" i="7"/>
  <c r="T28" i="7"/>
  <c r="AK41" i="7"/>
  <c r="AB55" i="7"/>
  <c r="AL56" i="7"/>
  <c r="AM56" i="7" s="1"/>
  <c r="AA25" i="7"/>
  <c r="V48" i="7"/>
  <c r="AB56" i="7"/>
  <c r="X25" i="7"/>
  <c r="AL15" i="7"/>
  <c r="AM15" i="7" s="1"/>
  <c r="U49" i="7"/>
  <c r="AL14" i="7"/>
  <c r="AM14" i="7" s="1"/>
  <c r="V22" i="7"/>
  <c r="S16" i="7"/>
  <c r="AE16" i="7" s="1"/>
  <c r="X38" i="7"/>
  <c r="V19" i="7"/>
  <c r="T47" i="7"/>
  <c r="AA16" i="7"/>
  <c r="X19" i="7"/>
  <c r="T12" i="7"/>
  <c r="AD19" i="7"/>
  <c r="V38" i="7"/>
  <c r="AL13" i="7"/>
  <c r="AM13" i="7" s="1"/>
  <c r="AA50" i="7"/>
  <c r="AL19" i="7"/>
  <c r="AM19" i="7" s="1"/>
  <c r="Y56" i="7"/>
  <c r="AA65" i="7"/>
  <c r="AF55" i="7"/>
  <c r="AB57" i="7"/>
  <c r="AB50" i="7"/>
  <c r="V47" i="7"/>
  <c r="AA56" i="7"/>
  <c r="AL43" i="7"/>
  <c r="AM43" i="7" s="1"/>
  <c r="X56" i="7"/>
  <c r="V34" i="7"/>
  <c r="AE41" i="7"/>
  <c r="AF41" i="7"/>
  <c r="V56" i="7"/>
  <c r="U34" i="7"/>
  <c r="AF16" i="7"/>
  <c r="AJ36" i="7"/>
  <c r="AL12" i="7"/>
  <c r="AM12" i="7" s="1"/>
  <c r="U67" i="7"/>
  <c r="S11" i="7"/>
  <c r="AE11" i="7" s="1"/>
  <c r="V37" i="7"/>
  <c r="AF58" i="7"/>
  <c r="U61" i="7"/>
  <c r="AF50" i="7"/>
  <c r="AK46" i="7"/>
  <c r="X52" i="7"/>
  <c r="X37" i="7"/>
  <c r="AF24" i="7"/>
  <c r="T43" i="7"/>
  <c r="AL37" i="7"/>
  <c r="AM37" i="7" s="1"/>
  <c r="AG55" i="7"/>
  <c r="V31" i="7"/>
  <c r="AH41" i="7"/>
  <c r="AD41" i="7"/>
  <c r="S47" i="7"/>
  <c r="AE47" i="7" s="1"/>
  <c r="AH40" i="7"/>
  <c r="AK64" i="7"/>
  <c r="AF62" i="7"/>
  <c r="AJ40" i="7"/>
  <c r="U55" i="7"/>
  <c r="X65" i="7"/>
  <c r="AH39" i="7"/>
  <c r="W39" i="4"/>
  <c r="V44" i="7"/>
  <c r="W43" i="4"/>
  <c r="W27" i="4"/>
  <c r="AH64" i="7"/>
  <c r="AL23" i="7"/>
  <c r="AM23" i="7" s="1"/>
  <c r="AL25" i="7"/>
  <c r="AM25" i="7" s="1"/>
  <c r="Z22" i="7"/>
  <c r="AN22" i="7" s="1"/>
  <c r="Z64" i="4"/>
  <c r="AN64" i="4" s="1"/>
  <c r="AE37" i="4"/>
  <c r="X66" i="7"/>
  <c r="AD65" i="7"/>
  <c r="W55" i="4"/>
  <c r="Y57" i="7"/>
  <c r="S36" i="7"/>
  <c r="AE36" i="7" s="1"/>
  <c r="AK42" i="7"/>
  <c r="AL66" i="7"/>
  <c r="AM66" i="7" s="1"/>
  <c r="V35" i="7"/>
  <c r="U59" i="7"/>
  <c r="AK13" i="3"/>
  <c r="AG66" i="7"/>
  <c r="S58" i="7"/>
  <c r="AE58" i="7" s="1"/>
  <c r="X36" i="7"/>
  <c r="W46" i="4"/>
  <c r="V29" i="7"/>
  <c r="AB60" i="7"/>
  <c r="Z46" i="4"/>
  <c r="AN46" i="4" s="1"/>
  <c r="AA28" i="7"/>
  <c r="Y66" i="7"/>
  <c r="S42" i="7"/>
  <c r="AE42" i="7" s="1"/>
  <c r="AA59" i="7"/>
  <c r="AL45" i="7"/>
  <c r="AM45" i="7" s="1"/>
  <c r="AA63" i="7"/>
  <c r="U31" i="7"/>
  <c r="V12" i="7"/>
  <c r="AL11" i="3"/>
  <c r="S23" i="7"/>
  <c r="AE23" i="7" s="1"/>
  <c r="AH24" i="7"/>
  <c r="W7" i="5"/>
  <c r="AA22" i="7"/>
  <c r="Y47" i="7"/>
  <c r="AH58" i="7"/>
  <c r="AF64" i="7"/>
  <c r="AG46" i="7"/>
  <c r="AG39" i="7"/>
  <c r="Z54" i="7"/>
  <c r="AN54" i="7" s="1"/>
  <c r="S61" i="7"/>
  <c r="AE61" i="7" s="1"/>
  <c r="V30" i="7"/>
  <c r="AF23" i="7"/>
  <c r="AJ39" i="7"/>
  <c r="AA20" i="7"/>
  <c r="W14" i="4"/>
  <c r="AK40" i="7"/>
  <c r="AH42" i="7"/>
  <c r="AD12" i="7"/>
  <c r="Y32" i="7"/>
  <c r="AB10" i="5"/>
  <c r="AJ42" i="7"/>
  <c r="AB33" i="7"/>
  <c r="AF8" i="3"/>
  <c r="L31" i="16" s="1"/>
  <c r="AA52" i="7"/>
  <c r="AL55" i="7"/>
  <c r="AM55" i="7" s="1"/>
  <c r="AJ49" i="7"/>
  <c r="AK49" i="7"/>
  <c r="AA39" i="7"/>
  <c r="AF29" i="7"/>
  <c r="AE31" i="7"/>
  <c r="U50" i="7"/>
  <c r="AL40" i="7"/>
  <c r="AM40" i="7" s="1"/>
  <c r="AC10" i="5"/>
  <c r="AL41" i="7"/>
  <c r="AM41" i="7" s="1"/>
  <c r="AA41" i="7"/>
  <c r="AK55" i="7"/>
  <c r="W33" i="4"/>
  <c r="AL18" i="7"/>
  <c r="AM18" i="7" s="1"/>
  <c r="T40" i="7"/>
  <c r="AB36" i="7"/>
  <c r="U64" i="7"/>
  <c r="AB39" i="7"/>
  <c r="AL46" i="7"/>
  <c r="AM46" i="7" s="1"/>
  <c r="X46" i="7"/>
  <c r="AB40" i="7"/>
  <c r="AB23" i="7"/>
  <c r="AA66" i="7"/>
  <c r="AH36" i="7"/>
  <c r="AB28" i="7"/>
  <c r="AE33" i="7"/>
  <c r="AJ58" i="7"/>
  <c r="AA49" i="7"/>
  <c r="AK36" i="7"/>
  <c r="U46" i="7"/>
  <c r="AF63" i="7"/>
  <c r="AB59" i="7"/>
  <c r="AF53" i="7"/>
  <c r="AA23" i="7"/>
  <c r="AB66" i="7"/>
  <c r="Z42" i="4"/>
  <c r="AN42" i="4" s="1"/>
  <c r="AA58" i="7"/>
  <c r="AJ53" i="7"/>
  <c r="U52" i="7"/>
  <c r="AK31" i="7"/>
  <c r="AB21" i="7"/>
  <c r="AB46" i="7"/>
  <c r="S34" i="7"/>
  <c r="AE34" i="7" s="1"/>
  <c r="AL61" i="7"/>
  <c r="AM61" i="7" s="1"/>
  <c r="AG40" i="7"/>
  <c r="Y51" i="7"/>
  <c r="AJ24" i="7"/>
  <c r="V55" i="7"/>
  <c r="U36" i="7"/>
  <c r="S27" i="7"/>
  <c r="AE27" i="7" s="1"/>
  <c r="X61" i="7"/>
  <c r="AH46" i="7"/>
  <c r="AK24" i="7"/>
  <c r="AA21" i="7"/>
  <c r="AD61" i="7"/>
  <c r="N11" i="5"/>
  <c r="Z65" i="4"/>
  <c r="AN65" i="4" s="1"/>
  <c r="Z12" i="4"/>
  <c r="AN12" i="4" s="1"/>
  <c r="X50" i="7"/>
  <c r="Z16" i="4"/>
  <c r="AN16" i="4" s="1"/>
  <c r="Z15" i="7"/>
  <c r="AN15" i="7" s="1"/>
  <c r="AL14" i="3"/>
  <c r="AK12" i="7"/>
  <c r="AB41" i="7"/>
  <c r="S51" i="7"/>
  <c r="Z51" i="7" s="1"/>
  <c r="AN51" i="7" s="1"/>
  <c r="AE39" i="7"/>
  <c r="Z39" i="7"/>
  <c r="AN39" i="7" s="1"/>
  <c r="AJ6" i="5"/>
  <c r="W6" i="5"/>
  <c r="T67" i="7"/>
  <c r="Y67" i="7"/>
  <c r="AL6" i="3"/>
  <c r="AJ7" i="5"/>
  <c r="Y60" i="7"/>
  <c r="T60" i="7"/>
  <c r="S67" i="7"/>
  <c r="AE67" i="7" s="1"/>
  <c r="S59" i="7"/>
  <c r="AE59" i="7" s="1"/>
  <c r="AE9" i="3"/>
  <c r="AE10" i="3"/>
  <c r="T11" i="5"/>
  <c r="Y5" i="5"/>
  <c r="AS5" i="5"/>
  <c r="AI5" i="5"/>
  <c r="AJ46" i="7"/>
  <c r="Y40" i="7"/>
  <c r="X30" i="7"/>
  <c r="AG30" i="7"/>
  <c r="AL30" i="7"/>
  <c r="AM30" i="7" s="1"/>
  <c r="AD30" i="7"/>
  <c r="AL35" i="7"/>
  <c r="AM35" i="7" s="1"/>
  <c r="AD35" i="7"/>
  <c r="X35" i="7"/>
  <c r="AG35" i="7"/>
  <c r="Z33" i="4"/>
  <c r="AN33" i="4" s="1"/>
  <c r="AK63" i="7"/>
  <c r="AJ63" i="7"/>
  <c r="AH63" i="7"/>
  <c r="AK34" i="7"/>
  <c r="AJ34" i="7"/>
  <c r="AH34" i="7"/>
  <c r="Y62" i="7"/>
  <c r="T62" i="7"/>
  <c r="AA48" i="7"/>
  <c r="AK58" i="7"/>
  <c r="AB6" i="5"/>
  <c r="AH48" i="7"/>
  <c r="AJ48" i="7"/>
  <c r="AK48" i="7"/>
  <c r="S24" i="7"/>
  <c r="AE24" i="7" s="1"/>
  <c r="Z51" i="4"/>
  <c r="AN51" i="4" s="1"/>
  <c r="AK16" i="3"/>
  <c r="V62" i="7"/>
  <c r="AA18" i="7"/>
  <c r="Y9" i="5"/>
  <c r="AS9" i="5"/>
  <c r="AI9" i="5"/>
  <c r="V20" i="7"/>
  <c r="Y52" i="7"/>
  <c r="T52" i="7"/>
  <c r="T51" i="7"/>
  <c r="B26" i="5"/>
  <c r="B10" i="5"/>
  <c r="AD10" i="5" s="1"/>
  <c r="Z36" i="4"/>
  <c r="AN36" i="4" s="1"/>
  <c r="U35" i="7"/>
  <c r="AP7" i="3"/>
  <c r="AO7" i="3"/>
  <c r="AK27" i="7"/>
  <c r="AJ27" i="7"/>
  <c r="AH27" i="7"/>
  <c r="B8" i="5"/>
  <c r="AD8" i="5" s="1"/>
  <c r="AF8" i="5" s="1"/>
  <c r="B24" i="5"/>
  <c r="U11" i="7"/>
  <c r="Y20" i="7"/>
  <c r="T20" i="7"/>
  <c r="V50" i="7"/>
  <c r="AH22" i="7"/>
  <c r="AA46" i="7"/>
  <c r="AP11" i="3"/>
  <c r="AO11" i="3"/>
  <c r="Z63" i="4"/>
  <c r="AN63" i="4" s="1"/>
  <c r="AK67" i="7"/>
  <c r="AJ67" i="7"/>
  <c r="AH67" i="7"/>
  <c r="AK56" i="7"/>
  <c r="AJ56" i="7"/>
  <c r="AH56" i="7"/>
  <c r="AA32" i="7"/>
  <c r="AI10" i="5"/>
  <c r="Y10" i="5"/>
  <c r="AS10" i="5"/>
  <c r="AJ22" i="7"/>
  <c r="Z34" i="4"/>
  <c r="AN34" i="4" s="1"/>
  <c r="U28" i="7"/>
  <c r="Y38" i="7"/>
  <c r="T38" i="7"/>
  <c r="U7" i="5"/>
  <c r="AR7" i="5"/>
  <c r="AQ7" i="5"/>
  <c r="AM7" i="5"/>
  <c r="AM23" i="5" s="1"/>
  <c r="AS8" i="5"/>
  <c r="Y8" i="5"/>
  <c r="AI8" i="5"/>
  <c r="X9" i="5"/>
  <c r="T53" i="7"/>
  <c r="Y53" i="7"/>
  <c r="X40" i="7"/>
  <c r="U38" i="7"/>
  <c r="AH12" i="7"/>
  <c r="T48" i="7"/>
  <c r="W48" i="4"/>
  <c r="AH66" i="7"/>
  <c r="AK66" i="7"/>
  <c r="AJ66" i="7"/>
  <c r="W9" i="5"/>
  <c r="AD51" i="7"/>
  <c r="X51" i="7"/>
  <c r="AL51" i="7"/>
  <c r="AM51" i="7" s="1"/>
  <c r="AG51" i="7"/>
  <c r="W50" i="4"/>
  <c r="O11" i="5"/>
  <c r="AK22" i="7"/>
  <c r="X18" i="7"/>
  <c r="AG49" i="7"/>
  <c r="AD49" i="7"/>
  <c r="X49" i="7"/>
  <c r="AL49" i="7"/>
  <c r="AM49" i="7" s="1"/>
  <c r="AB32" i="7"/>
  <c r="Z14" i="4"/>
  <c r="AN14" i="4" s="1"/>
  <c r="X5" i="5"/>
  <c r="J11" i="5"/>
  <c r="AD40" i="7"/>
  <c r="Y25" i="7"/>
  <c r="T25" i="7"/>
  <c r="AK13" i="7"/>
  <c r="AJ13" i="7"/>
  <c r="AH13" i="7"/>
  <c r="AJ12" i="7"/>
  <c r="AL42" i="7"/>
  <c r="AM42" i="7" s="1"/>
  <c r="AG42" i="7"/>
  <c r="AD42" i="7"/>
  <c r="X42" i="7"/>
  <c r="Y48" i="7"/>
  <c r="S20" i="7"/>
  <c r="AE20" i="7" s="1"/>
  <c r="Z18" i="4"/>
  <c r="AN18" i="4" s="1"/>
  <c r="AD21" i="7"/>
  <c r="X21" i="7"/>
  <c r="AL21" i="7"/>
  <c r="AM21" i="7" s="1"/>
  <c r="AG21" i="7"/>
  <c r="Y50" i="7"/>
  <c r="T50" i="7"/>
  <c r="AF16" i="3"/>
  <c r="S31" i="18" s="1"/>
  <c r="Z8" i="5"/>
  <c r="V8" i="5"/>
  <c r="AK50" i="7"/>
  <c r="AJ50" i="7"/>
  <c r="AH50" i="7"/>
  <c r="AE8" i="3"/>
  <c r="AE7" i="3"/>
  <c r="U27" i="7"/>
  <c r="U33" i="7"/>
  <c r="Y63" i="7"/>
  <c r="T63" i="7"/>
  <c r="V33" i="7"/>
  <c r="W45" i="4"/>
  <c r="AK39" i="7"/>
  <c r="AA40" i="7"/>
  <c r="AF28" i="7"/>
  <c r="W60" i="4"/>
  <c r="AK25" i="7"/>
  <c r="AJ25" i="7"/>
  <c r="AH25" i="7"/>
  <c r="Z25" i="7"/>
  <c r="AN25" i="7" s="1"/>
  <c r="Z47" i="4"/>
  <c r="AN47" i="4" s="1"/>
  <c r="AL33" i="7"/>
  <c r="AM33" i="7" s="1"/>
  <c r="AF52" i="7"/>
  <c r="Y59" i="7"/>
  <c r="T57" i="7"/>
  <c r="AF35" i="7"/>
  <c r="Z20" i="4"/>
  <c r="AN20" i="4" s="1"/>
  <c r="S11" i="5"/>
  <c r="AB53" i="7"/>
  <c r="W5" i="5"/>
  <c r="H11" i="5"/>
  <c r="U40" i="7"/>
  <c r="X33" i="7"/>
  <c r="AG60" i="7"/>
  <c r="AD60" i="7"/>
  <c r="X60" i="7"/>
  <c r="AL60" i="7"/>
  <c r="AM60" i="7" s="1"/>
  <c r="Z45" i="4"/>
  <c r="AN45" i="4" s="1"/>
  <c r="AF39" i="7"/>
  <c r="AH55" i="7"/>
  <c r="W53" i="4"/>
  <c r="AK59" i="7"/>
  <c r="AJ59" i="7"/>
  <c r="AH59" i="7"/>
  <c r="AP9" i="3"/>
  <c r="AO9" i="3"/>
  <c r="AP14" i="3"/>
  <c r="AO14" i="3"/>
  <c r="AJ35" i="7"/>
  <c r="AK35" i="7"/>
  <c r="AH35" i="7"/>
  <c r="Y54" i="7"/>
  <c r="T54" i="7"/>
  <c r="Z7" i="5"/>
  <c r="V7" i="5"/>
  <c r="AL5" i="3"/>
  <c r="AG33" i="7"/>
  <c r="Y34" i="7"/>
  <c r="T34" i="7"/>
  <c r="Z44" i="4"/>
  <c r="AN44" i="4" s="1"/>
  <c r="V59" i="7"/>
  <c r="X67" i="7"/>
  <c r="AL67" i="7"/>
  <c r="AM67" i="7" s="1"/>
  <c r="AG67" i="7"/>
  <c r="AD67" i="7"/>
  <c r="AP6" i="3"/>
  <c r="AO6" i="3"/>
  <c r="Z25" i="4"/>
  <c r="AN25" i="4" s="1"/>
  <c r="AJ55" i="7"/>
  <c r="U9" i="5"/>
  <c r="AR9" i="5"/>
  <c r="AQ9" i="5"/>
  <c r="AM9" i="5"/>
  <c r="AM25" i="5" s="1"/>
  <c r="AB38" i="7"/>
  <c r="W28" i="4"/>
  <c r="S62" i="7"/>
  <c r="AE62" i="7" s="1"/>
  <c r="S35" i="7"/>
  <c r="AE35" i="7" s="1"/>
  <c r="AP5" i="3"/>
  <c r="AO5" i="3"/>
  <c r="AB25" i="7"/>
  <c r="Z61" i="4"/>
  <c r="AN61" i="4" s="1"/>
  <c r="Y18" i="7"/>
  <c r="T18" i="7"/>
  <c r="AJ9" i="5"/>
  <c r="AF46" i="7"/>
  <c r="X11" i="7"/>
  <c r="AL11" i="7"/>
  <c r="AM11" i="7" s="1"/>
  <c r="AG11" i="7"/>
  <c r="AD11" i="7"/>
  <c r="AD29" i="7"/>
  <c r="X29" i="7"/>
  <c r="AG29" i="7"/>
  <c r="AL29" i="7"/>
  <c r="AM29" i="7" s="1"/>
  <c r="S46" i="7"/>
  <c r="AE46" i="7" s="1"/>
  <c r="Z6" i="5"/>
  <c r="V6" i="5"/>
  <c r="V23" i="7"/>
  <c r="Y29" i="7"/>
  <c r="T29" i="7"/>
  <c r="W25" i="4"/>
  <c r="Y61" i="7"/>
  <c r="T61" i="7"/>
  <c r="F11" i="5"/>
  <c r="Z5" i="5"/>
  <c r="V5" i="5"/>
  <c r="AR6" i="5"/>
  <c r="U6" i="5"/>
  <c r="AQ6" i="5"/>
  <c r="AM6" i="5"/>
  <c r="AM22" i="5" s="1"/>
  <c r="X26" i="7"/>
  <c r="AA51" i="7"/>
  <c r="AF7" i="3"/>
  <c r="J31" i="16" s="1"/>
  <c r="Y30" i="7"/>
  <c r="T30" i="7"/>
  <c r="B22" i="5"/>
  <c r="B6" i="5"/>
  <c r="AD6" i="5" s="1"/>
  <c r="V21" i="7"/>
  <c r="W41" i="4"/>
  <c r="AP8" i="3"/>
  <c r="AO8" i="3"/>
  <c r="Y49" i="7"/>
  <c r="T49" i="7"/>
  <c r="U18" i="7"/>
  <c r="AC9" i="5"/>
  <c r="U25" i="7"/>
  <c r="AA60" i="7"/>
  <c r="Z48" i="4"/>
  <c r="AN48" i="4" s="1"/>
  <c r="Z31" i="7"/>
  <c r="AN31" i="7" s="1"/>
  <c r="T65" i="7"/>
  <c r="Y65" i="7"/>
  <c r="T22" i="7"/>
  <c r="Y41" i="7"/>
  <c r="T41" i="7"/>
  <c r="S12" i="7"/>
  <c r="AE12" i="7" s="1"/>
  <c r="AG38" i="7"/>
  <c r="AJ8" i="5"/>
  <c r="AJ31" i="7"/>
  <c r="V32" i="7"/>
  <c r="AA29" i="7"/>
  <c r="AG23" i="7"/>
  <c r="AK57" i="7"/>
  <c r="AJ57" i="7"/>
  <c r="AH57" i="7"/>
  <c r="AG32" i="7"/>
  <c r="X32" i="7"/>
  <c r="AL32" i="7"/>
  <c r="AM32" i="7" s="1"/>
  <c r="AD32" i="7"/>
  <c r="AN5" i="5"/>
  <c r="M11" i="5"/>
  <c r="AA67" i="7"/>
  <c r="AL38" i="7"/>
  <c r="AM38" i="7" s="1"/>
  <c r="W24" i="4"/>
  <c r="AD62" i="7"/>
  <c r="AL62" i="7"/>
  <c r="AM62" i="7" s="1"/>
  <c r="AG62" i="7"/>
  <c r="X62" i="7"/>
  <c r="AE14" i="3"/>
  <c r="AE13" i="3"/>
  <c r="AH31" i="7"/>
  <c r="AL26" i="7"/>
  <c r="AM26" i="7" s="1"/>
  <c r="AL57" i="7"/>
  <c r="AM57" i="7" s="1"/>
  <c r="X57" i="7"/>
  <c r="AG57" i="7"/>
  <c r="AD57" i="7"/>
  <c r="S21" i="7"/>
  <c r="AE21" i="7" s="1"/>
  <c r="V40" i="7"/>
  <c r="AG28" i="7"/>
  <c r="AD28" i="7"/>
  <c r="AL28" i="7"/>
  <c r="AM28" i="7" s="1"/>
  <c r="X28" i="7"/>
  <c r="B7" i="5"/>
  <c r="AD7" i="5" s="1"/>
  <c r="B23" i="5"/>
  <c r="W56" i="4"/>
  <c r="AL34" i="7"/>
  <c r="AM34" i="7" s="1"/>
  <c r="AD34" i="7"/>
  <c r="AG34" i="7"/>
  <c r="X34" i="7"/>
  <c r="T23" i="7"/>
  <c r="Y23" i="7"/>
  <c r="AK30" i="7"/>
  <c r="AJ30" i="7"/>
  <c r="AH30" i="7"/>
  <c r="U42" i="7"/>
  <c r="Y45" i="7"/>
  <c r="U5" i="5"/>
  <c r="AR5" i="5"/>
  <c r="L11" i="5"/>
  <c r="AQ5" i="5"/>
  <c r="AM5" i="5"/>
  <c r="AM21" i="5" s="1"/>
  <c r="Y35" i="7"/>
  <c r="T35" i="7"/>
  <c r="AD22" i="7"/>
  <c r="X22" i="7"/>
  <c r="AL22" i="7"/>
  <c r="AM22" i="7" s="1"/>
  <c r="AG22" i="7"/>
  <c r="AJ52" i="7"/>
  <c r="AK52" i="7"/>
  <c r="AH52" i="7"/>
  <c r="U21" i="7"/>
  <c r="AA53" i="7"/>
  <c r="W40" i="4"/>
  <c r="AJ28" i="7"/>
  <c r="AH28" i="7"/>
  <c r="AK28" i="7"/>
  <c r="AF10" i="3"/>
  <c r="S31" i="16" s="1"/>
  <c r="Y21" i="7"/>
  <c r="T21" i="7"/>
  <c r="U19" i="7"/>
  <c r="Z55" i="4"/>
  <c r="AN55" i="4" s="1"/>
  <c r="X31" i="7"/>
  <c r="AL31" i="7"/>
  <c r="AM31" i="7" s="1"/>
  <c r="AG31" i="7"/>
  <c r="AD31" i="7"/>
  <c r="Z62" i="4"/>
  <c r="AN62" i="4" s="1"/>
  <c r="Y42" i="7"/>
  <c r="T42" i="7"/>
  <c r="AG50" i="7"/>
  <c r="AK65" i="7"/>
  <c r="AJ65" i="7"/>
  <c r="AH65" i="7"/>
  <c r="Z65" i="7"/>
  <c r="AN65" i="7" s="1"/>
  <c r="AG24" i="7"/>
  <c r="AD24" i="7"/>
  <c r="X24" i="7"/>
  <c r="AL24" i="7"/>
  <c r="AM24" i="7" s="1"/>
  <c r="AB7" i="5"/>
  <c r="AB29" i="7"/>
  <c r="AF66" i="7"/>
  <c r="AI6" i="5"/>
  <c r="Y6" i="5"/>
  <c r="AS6" i="5"/>
  <c r="AH62" i="7"/>
  <c r="AK62" i="7"/>
  <c r="AJ62" i="7"/>
  <c r="AP12" i="3"/>
  <c r="AO12" i="3"/>
  <c r="AB30" i="7"/>
  <c r="V11" i="7"/>
  <c r="V52" i="7"/>
  <c r="AG48" i="7"/>
  <c r="AD48" i="7"/>
  <c r="X48" i="7"/>
  <c r="AL48" i="7"/>
  <c r="AM48" i="7" s="1"/>
  <c r="Y13" i="7"/>
  <c r="T13" i="7"/>
  <c r="AA38" i="7"/>
  <c r="AL50" i="7"/>
  <c r="AM50" i="7" s="1"/>
  <c r="U60" i="7"/>
  <c r="AB67" i="7"/>
  <c r="W18" i="4"/>
  <c r="W70" i="4"/>
  <c r="AI7" i="5"/>
  <c r="Y7" i="5"/>
  <c r="AS7" i="5"/>
  <c r="AG52" i="7"/>
  <c r="AQ10" i="5"/>
  <c r="U10" i="5"/>
  <c r="AR10" i="5"/>
  <c r="AM10" i="5"/>
  <c r="AM26" i="5" s="1"/>
  <c r="R11" i="5"/>
  <c r="AJ5" i="5"/>
  <c r="AA30" i="7"/>
  <c r="AB18" i="7"/>
  <c r="AH33" i="7"/>
  <c r="Z33" i="7"/>
  <c r="AN33" i="7" s="1"/>
  <c r="AK33" i="7"/>
  <c r="AJ33" i="7"/>
  <c r="AJ38" i="7"/>
  <c r="AH38" i="7"/>
  <c r="AK38" i="7"/>
  <c r="Y24" i="7"/>
  <c r="T55" i="7"/>
  <c r="Y55" i="7"/>
  <c r="AL36" i="7"/>
  <c r="AM36" i="7" s="1"/>
  <c r="Q11" i="5"/>
  <c r="U51" i="7"/>
  <c r="Z49" i="4"/>
  <c r="AN49" i="4" s="1"/>
  <c r="AL52" i="7"/>
  <c r="AM52" i="7" s="1"/>
  <c r="AG47" i="7"/>
  <c r="AD47" i="7"/>
  <c r="X47" i="7"/>
  <c r="AL47" i="7"/>
  <c r="AM47" i="7" s="1"/>
  <c r="T27" i="7"/>
  <c r="Y27" i="7"/>
  <c r="U20" i="7"/>
  <c r="AJ10" i="5"/>
  <c r="AL54" i="7"/>
  <c r="AM54" i="7" s="1"/>
  <c r="AK18" i="7"/>
  <c r="AJ18" i="7"/>
  <c r="AH18" i="7"/>
  <c r="AK21" i="7"/>
  <c r="V18" i="7"/>
  <c r="AL10" i="3"/>
  <c r="AL65" i="7"/>
  <c r="AM65" i="7" s="1"/>
  <c r="AA27" i="7"/>
  <c r="W42" i="4"/>
  <c r="AP15" i="3"/>
  <c r="AO15" i="3"/>
  <c r="K11" i="5"/>
  <c r="AB5" i="5"/>
  <c r="AH54" i="7"/>
  <c r="AD20" i="7"/>
  <c r="AL20" i="7"/>
  <c r="AM20" i="7" s="1"/>
  <c r="AG20" i="7"/>
  <c r="X20" i="7"/>
  <c r="U32" i="7"/>
  <c r="Y11" i="7"/>
  <c r="S32" i="7"/>
  <c r="AE32" i="7" s="1"/>
  <c r="AL64" i="7"/>
  <c r="AM64" i="7" s="1"/>
  <c r="AG64" i="7"/>
  <c r="AD64" i="7"/>
  <c r="X64" i="7"/>
  <c r="W59" i="4"/>
  <c r="AK23" i="7"/>
  <c r="AJ23" i="7"/>
  <c r="AH23" i="7"/>
  <c r="W54" i="4"/>
  <c r="Z10" i="5"/>
  <c r="V10" i="5"/>
  <c r="AP16" i="3"/>
  <c r="AO16" i="3"/>
  <c r="AH53" i="7"/>
  <c r="AJ54" i="7"/>
  <c r="AK45" i="7"/>
  <c r="AJ45" i="7"/>
  <c r="AH45" i="7"/>
  <c r="V41" i="7"/>
  <c r="U66" i="7"/>
  <c r="AE6" i="3"/>
  <c r="AE5" i="3"/>
  <c r="Y46" i="7"/>
  <c r="T46" i="7"/>
  <c r="Y15" i="7"/>
  <c r="T15" i="7"/>
  <c r="AK14" i="3"/>
  <c r="AB52" i="7"/>
  <c r="AH20" i="7"/>
  <c r="AK20" i="7"/>
  <c r="AJ20" i="7"/>
  <c r="AK53" i="7"/>
  <c r="AK54" i="7"/>
  <c r="AK60" i="7"/>
  <c r="AH60" i="7"/>
  <c r="AJ60" i="7"/>
  <c r="U8" i="5"/>
  <c r="AR8" i="5"/>
  <c r="AQ8" i="5"/>
  <c r="AM8" i="5"/>
  <c r="AM24" i="5" s="1"/>
  <c r="AB9" i="5"/>
  <c r="W20" i="4"/>
  <c r="AD59" i="7"/>
  <c r="X59" i="7"/>
  <c r="AL59" i="7"/>
  <c r="AM59" i="7" s="1"/>
  <c r="AG59" i="7"/>
  <c r="Z41" i="7"/>
  <c r="AN41" i="7" s="1"/>
  <c r="AL27" i="7"/>
  <c r="AM27" i="7" s="1"/>
  <c r="AG27" i="7"/>
  <c r="X27" i="7"/>
  <c r="AD27" i="7"/>
  <c r="AL53" i="7"/>
  <c r="AM53" i="7" s="1"/>
  <c r="AF5" i="3"/>
  <c r="C31" i="16" s="1"/>
  <c r="AC5" i="5"/>
  <c r="I11" i="5"/>
  <c r="X41" i="7"/>
  <c r="AK11" i="7"/>
  <c r="AJ11" i="7"/>
  <c r="AH11" i="7"/>
  <c r="S29" i="7"/>
  <c r="AE29" i="7" s="1"/>
  <c r="G11" i="5"/>
  <c r="Y31" i="7"/>
  <c r="T31" i="7"/>
  <c r="W71" i="4"/>
  <c r="AL39" i="7"/>
  <c r="AM39" i="7" s="1"/>
  <c r="AJ14" i="7"/>
  <c r="AK14" i="7"/>
  <c r="AH14" i="7"/>
  <c r="Z14" i="7"/>
  <c r="AN14" i="7" s="1"/>
  <c r="Z74" i="4"/>
  <c r="AN74" i="4" s="1"/>
  <c r="Z66" i="4"/>
  <c r="AN66" i="4" s="1"/>
  <c r="T39" i="7"/>
  <c r="Y39" i="7"/>
  <c r="Y33" i="7"/>
  <c r="X53" i="7"/>
  <c r="AB63" i="7"/>
  <c r="S48" i="7"/>
  <c r="AE48" i="7" s="1"/>
  <c r="U23" i="7"/>
  <c r="Z9" i="5"/>
  <c r="V9" i="5"/>
  <c r="AG41" i="7"/>
  <c r="W74" i="4"/>
  <c r="Y58" i="7"/>
  <c r="T58" i="7"/>
  <c r="AB27" i="7"/>
  <c r="W66" i="4"/>
  <c r="AF32" i="7"/>
  <c r="W57" i="4"/>
  <c r="P11" i="5"/>
  <c r="Y64" i="7"/>
  <c r="W10" i="5"/>
  <c r="AK29" i="7"/>
  <c r="AJ29" i="7"/>
  <c r="AH29" i="7"/>
  <c r="AH32" i="7"/>
  <c r="AK32" i="7"/>
  <c r="AJ32" i="7"/>
  <c r="AG63" i="7"/>
  <c r="X63" i="7"/>
  <c r="AL63" i="7"/>
  <c r="AM63" i="7" s="1"/>
  <c r="AD63" i="7"/>
  <c r="AE15" i="3"/>
  <c r="B9" i="5"/>
  <c r="AD9" i="5" s="1"/>
  <c r="B25" i="5"/>
  <c r="AL58" i="7"/>
  <c r="AM58" i="7" s="1"/>
  <c r="X58" i="7"/>
  <c r="AG58" i="7"/>
  <c r="AD58" i="7"/>
  <c r="W37" i="4"/>
  <c r="Z30" i="4"/>
  <c r="AN30" i="4" s="1"/>
  <c r="X16" i="7"/>
  <c r="AL16" i="7"/>
  <c r="AM16" i="7" s="1"/>
  <c r="AG16" i="7"/>
  <c r="AD16" i="7"/>
  <c r="AL13" i="3"/>
  <c r="Z26" i="4"/>
  <c r="AN26" i="4" s="1"/>
  <c r="AK7" i="3"/>
  <c r="B5" i="5"/>
  <c r="AD5" i="5" s="1"/>
  <c r="AF5" i="5" s="1"/>
  <c r="B21" i="5"/>
  <c r="V67" i="7"/>
  <c r="AP13" i="3"/>
  <c r="AO13" i="3"/>
  <c r="AP10" i="3"/>
  <c r="AO10" i="3"/>
  <c r="S18" i="7"/>
  <c r="AE18" i="7" s="1"/>
  <c r="V36" i="7"/>
  <c r="V63" i="7"/>
  <c r="V26" i="7"/>
  <c r="AF31" i="7"/>
  <c r="AK51" i="7"/>
  <c r="AJ51" i="7"/>
  <c r="AH51" i="7"/>
  <c r="Z17" i="4"/>
  <c r="AN17" i="4" s="1"/>
  <c r="AA33" i="7"/>
  <c r="V66" i="7"/>
  <c r="AF60" i="7"/>
  <c r="W8" i="5"/>
  <c r="U65" i="7"/>
  <c r="AG28" i="3" l="1"/>
  <c r="S32" i="21" s="1"/>
  <c r="T32" i="21" s="1"/>
  <c r="Z73" i="7"/>
  <c r="AN73" i="7" s="1"/>
  <c r="Z74" i="7"/>
  <c r="AN74" i="7" s="1"/>
  <c r="AG25" i="3"/>
  <c r="J32" i="21" s="1"/>
  <c r="I32" i="21" s="1"/>
  <c r="L31" i="21"/>
  <c r="M31" i="21" s="1"/>
  <c r="AG23" i="3"/>
  <c r="C32" i="21" s="1"/>
  <c r="B32" i="21" s="1"/>
  <c r="E31" i="21"/>
  <c r="F31" i="21" s="1"/>
  <c r="Z37" i="7"/>
  <c r="AN37" i="7" s="1"/>
  <c r="Z68" i="7"/>
  <c r="AN68" i="7" s="1"/>
  <c r="AH28" i="3"/>
  <c r="AG27" i="3"/>
  <c r="AH25" i="3"/>
  <c r="AG26" i="3"/>
  <c r="AH23" i="3"/>
  <c r="AG24" i="3"/>
  <c r="W75" i="7"/>
  <c r="C31" i="18"/>
  <c r="B31" i="18" s="1"/>
  <c r="Z75" i="7"/>
  <c r="AN75" i="7" s="1"/>
  <c r="W77" i="7"/>
  <c r="Z77" i="7"/>
  <c r="AN77" i="7" s="1"/>
  <c r="W72" i="7"/>
  <c r="Z66" i="7"/>
  <c r="AN66" i="7" s="1"/>
  <c r="Z13" i="7"/>
  <c r="AN13" i="7" s="1"/>
  <c r="Z50" i="7"/>
  <c r="AN50" i="7" s="1"/>
  <c r="AE76" i="7"/>
  <c r="Z76" i="7"/>
  <c r="AN76" i="7" s="1"/>
  <c r="Z53" i="7"/>
  <c r="AN53" i="7" s="1"/>
  <c r="W67" i="7"/>
  <c r="Z38" i="7"/>
  <c r="AN38" i="7" s="1"/>
  <c r="W45" i="7"/>
  <c r="Z55" i="7"/>
  <c r="AN55" i="7" s="1"/>
  <c r="Z44" i="7"/>
  <c r="AN44" i="7" s="1"/>
  <c r="W68" i="7"/>
  <c r="W69" i="7"/>
  <c r="AE52" i="7"/>
  <c r="AG18" i="3"/>
  <c r="E32" i="19" s="1"/>
  <c r="W29" i="7"/>
  <c r="W25" i="7"/>
  <c r="AG21" i="3"/>
  <c r="Q32" i="19" s="1"/>
  <c r="S31" i="19"/>
  <c r="T31" i="19" s="1"/>
  <c r="AG19" i="3"/>
  <c r="L31" i="19"/>
  <c r="M31" i="19" s="1"/>
  <c r="Z71" i="7"/>
  <c r="AN71" i="7" s="1"/>
  <c r="AG22" i="3"/>
  <c r="AG17" i="3"/>
  <c r="AG20" i="3"/>
  <c r="AW25" i="5"/>
  <c r="BB25" i="5"/>
  <c r="AV25" i="5"/>
  <c r="BA25" i="5"/>
  <c r="AU25" i="5"/>
  <c r="AZ25" i="5"/>
  <c r="AY25" i="5"/>
  <c r="AX25" i="5"/>
  <c r="BC25" i="5"/>
  <c r="BB22" i="5"/>
  <c r="AV22" i="5"/>
  <c r="BA22" i="5"/>
  <c r="AU22" i="5"/>
  <c r="AZ22" i="5"/>
  <c r="AY22" i="5"/>
  <c r="AX22" i="5"/>
  <c r="AW22" i="5"/>
  <c r="BC22" i="5"/>
  <c r="AW23" i="5"/>
  <c r="BB23" i="5"/>
  <c r="BA23" i="5"/>
  <c r="AU23" i="5"/>
  <c r="AZ23" i="5"/>
  <c r="AY23" i="5"/>
  <c r="AX23" i="5"/>
  <c r="AV23" i="5"/>
  <c r="BC23" i="5"/>
  <c r="AW24" i="5"/>
  <c r="BB24" i="5"/>
  <c r="AV24" i="5"/>
  <c r="BA24" i="5"/>
  <c r="AU24" i="5"/>
  <c r="AZ24" i="5"/>
  <c r="AY24" i="5"/>
  <c r="AX24" i="5"/>
  <c r="BC24" i="5"/>
  <c r="BB21" i="5"/>
  <c r="AV21" i="5"/>
  <c r="AU21" i="5"/>
  <c r="AZ21" i="5"/>
  <c r="AY21" i="5"/>
  <c r="AX21" i="5"/>
  <c r="BA21" i="5"/>
  <c r="AW21" i="5"/>
  <c r="BC21" i="5"/>
  <c r="AW26" i="5"/>
  <c r="BB26" i="5"/>
  <c r="AV26" i="5"/>
  <c r="BA26" i="5"/>
  <c r="AU26" i="5"/>
  <c r="AZ26" i="5"/>
  <c r="AY26" i="5"/>
  <c r="AX26" i="5"/>
  <c r="BC26" i="5"/>
  <c r="Z57" i="7"/>
  <c r="AN57" i="7" s="1"/>
  <c r="W33" i="7"/>
  <c r="W50" i="7"/>
  <c r="Z28" i="7"/>
  <c r="AN28" i="7" s="1"/>
  <c r="AE10" i="5"/>
  <c r="AE9" i="5"/>
  <c r="Z17" i="7"/>
  <c r="AN17" i="7" s="1"/>
  <c r="AE6" i="5"/>
  <c r="Z63" i="7"/>
  <c r="AN63" i="7" s="1"/>
  <c r="Z43" i="7"/>
  <c r="AN43" i="7" s="1"/>
  <c r="AF9" i="5"/>
  <c r="AK9" i="5"/>
  <c r="AF6" i="5"/>
  <c r="AK6" i="5"/>
  <c r="AF7" i="5"/>
  <c r="AK7" i="5"/>
  <c r="AF10" i="5"/>
  <c r="AK10" i="5"/>
  <c r="AE69" i="7"/>
  <c r="Z69" i="7"/>
  <c r="AN69" i="7" s="1"/>
  <c r="AE70" i="7"/>
  <c r="Z70" i="7"/>
  <c r="AN70" i="7" s="1"/>
  <c r="Z11" i="7"/>
  <c r="AN11" i="7" s="1"/>
  <c r="AE5" i="5"/>
  <c r="AE7" i="5"/>
  <c r="AE8" i="5"/>
  <c r="AG16" i="3"/>
  <c r="S32" i="18" s="1"/>
  <c r="W30" i="7"/>
  <c r="AG14" i="3"/>
  <c r="AH14" i="3" s="1"/>
  <c r="W55" i="7"/>
  <c r="W53" i="7"/>
  <c r="AH11" i="3"/>
  <c r="AG12" i="3"/>
  <c r="AH12" i="3" s="1"/>
  <c r="W51" i="7"/>
  <c r="W62" i="7"/>
  <c r="W21" i="7"/>
  <c r="W14" i="7"/>
  <c r="Z26" i="7"/>
  <c r="AN26" i="7" s="1"/>
  <c r="W39" i="7"/>
  <c r="AG13" i="3"/>
  <c r="J32" i="18" s="1"/>
  <c r="AG5" i="3"/>
  <c r="AH5" i="3" s="1"/>
  <c r="W42" i="7"/>
  <c r="W48" i="7"/>
  <c r="W65" i="7"/>
  <c r="W13" i="7"/>
  <c r="W37" i="7"/>
  <c r="W12" i="7"/>
  <c r="W54" i="7"/>
  <c r="W56" i="7"/>
  <c r="W64" i="7"/>
  <c r="W31" i="7"/>
  <c r="W11" i="7"/>
  <c r="W59" i="7"/>
  <c r="W17" i="7"/>
  <c r="W27" i="7"/>
  <c r="W19" i="7"/>
  <c r="W60" i="7"/>
  <c r="W63" i="7"/>
  <c r="W52" i="7"/>
  <c r="W38" i="7"/>
  <c r="W16" i="7"/>
  <c r="W34" i="7"/>
  <c r="W18" i="7"/>
  <c r="W57" i="7"/>
  <c r="W58" i="7"/>
  <c r="W23" i="7"/>
  <c r="W46" i="7"/>
  <c r="W24" i="7"/>
  <c r="W49" i="7"/>
  <c r="W15" i="7"/>
  <c r="W66" i="7"/>
  <c r="W61" i="7"/>
  <c r="W20" i="7"/>
  <c r="W41" i="7"/>
  <c r="AE45" i="7"/>
  <c r="AP22" i="5"/>
  <c r="AP26" i="5"/>
  <c r="Z19" i="7"/>
  <c r="AN19" i="7" s="1"/>
  <c r="AN11" i="5"/>
  <c r="AN21" i="5"/>
  <c r="AP24" i="5"/>
  <c r="AP21" i="5"/>
  <c r="AP25" i="5"/>
  <c r="AP23" i="5"/>
  <c r="Z59" i="7"/>
  <c r="AN59" i="7" s="1"/>
  <c r="Z30" i="7"/>
  <c r="AN30" i="7" s="1"/>
  <c r="AG10" i="3"/>
  <c r="Z56" i="7"/>
  <c r="AN56" i="7" s="1"/>
  <c r="AE60" i="7"/>
  <c r="Z29" i="7"/>
  <c r="AN29" i="7" s="1"/>
  <c r="Z40" i="7"/>
  <c r="AN40" i="7" s="1"/>
  <c r="AE51" i="7"/>
  <c r="B31" i="19"/>
  <c r="B31" i="16"/>
  <c r="M31" i="18"/>
  <c r="M31" i="16"/>
  <c r="T31" i="18"/>
  <c r="T31" i="16"/>
  <c r="AL9" i="5"/>
  <c r="AT11" i="5"/>
  <c r="Z23" i="7"/>
  <c r="AN23" i="7" s="1"/>
  <c r="P31" i="18"/>
  <c r="P31" i="19"/>
  <c r="P31" i="16"/>
  <c r="I31" i="18"/>
  <c r="I31" i="16"/>
  <c r="I31" i="19"/>
  <c r="AL10" i="5"/>
  <c r="AL7" i="5"/>
  <c r="Z58" i="7"/>
  <c r="AN58" i="7" s="1"/>
  <c r="Z47" i="7"/>
  <c r="AN47" i="7" s="1"/>
  <c r="Z49" i="7"/>
  <c r="AN49" i="7" s="1"/>
  <c r="AE64" i="7"/>
  <c r="Z27" i="7"/>
  <c r="AN27" i="7" s="1"/>
  <c r="Z16" i="7"/>
  <c r="AN16" i="7" s="1"/>
  <c r="Z36" i="7"/>
  <c r="AN36" i="7" s="1"/>
  <c r="Z67" i="7"/>
  <c r="AN67" i="7" s="1"/>
  <c r="Z42" i="7"/>
  <c r="AN42" i="7" s="1"/>
  <c r="Z24" i="7"/>
  <c r="AN24" i="7" s="1"/>
  <c r="AL6" i="5"/>
  <c r="Z12" i="7"/>
  <c r="AN12" i="7" s="1"/>
  <c r="Z61" i="7"/>
  <c r="AN61" i="7" s="1"/>
  <c r="Z34" i="7"/>
  <c r="AN34" i="7" s="1"/>
  <c r="AI11" i="5"/>
  <c r="AS11" i="5"/>
  <c r="Z20" i="7"/>
  <c r="AN20" i="7" s="1"/>
  <c r="AC11" i="5"/>
  <c r="X11" i="5"/>
  <c r="AK8" i="5"/>
  <c r="AG7" i="3"/>
  <c r="Z46" i="7"/>
  <c r="AN46" i="7" s="1"/>
  <c r="H22" i="5"/>
  <c r="R22" i="5"/>
  <c r="G22" i="5"/>
  <c r="P22" i="5"/>
  <c r="M22" i="5"/>
  <c r="T22" i="5"/>
  <c r="Q22" i="5"/>
  <c r="F22" i="5"/>
  <c r="L22" i="5"/>
  <c r="J22" i="5"/>
  <c r="K22" i="5"/>
  <c r="S22" i="5"/>
  <c r="O22" i="5"/>
  <c r="N22" i="5"/>
  <c r="I22" i="5"/>
  <c r="AE26" i="5"/>
  <c r="AP10" i="5"/>
  <c r="AA10" i="5"/>
  <c r="AO10" i="5"/>
  <c r="AO26" i="5" s="1"/>
  <c r="W11" i="5"/>
  <c r="AE25" i="5"/>
  <c r="AG8" i="3"/>
  <c r="AE23" i="5"/>
  <c r="AG6" i="3"/>
  <c r="AE24" i="5"/>
  <c r="AE22" i="5"/>
  <c r="F25" i="5"/>
  <c r="N25" i="5"/>
  <c r="K25" i="5"/>
  <c r="S25" i="5"/>
  <c r="T25" i="5"/>
  <c r="Q25" i="5"/>
  <c r="G25" i="5"/>
  <c r="I25" i="5"/>
  <c r="L25" i="5"/>
  <c r="R25" i="5"/>
  <c r="P25" i="5"/>
  <c r="J25" i="5"/>
  <c r="H25" i="5"/>
  <c r="O25" i="5"/>
  <c r="M25" i="5"/>
  <c r="AA6" i="5"/>
  <c r="AP6" i="5"/>
  <c r="AO6" i="5"/>
  <c r="AO22" i="5" s="1"/>
  <c r="AB11" i="5"/>
  <c r="AM11" i="5"/>
  <c r="AL8" i="5"/>
  <c r="AO7" i="5"/>
  <c r="AO23" i="5" s="1"/>
  <c r="AA7" i="5"/>
  <c r="AP7" i="5"/>
  <c r="AE21" i="5"/>
  <c r="T21" i="5"/>
  <c r="P21" i="5"/>
  <c r="G21" i="5"/>
  <c r="K21" i="5"/>
  <c r="R21" i="5"/>
  <c r="I21" i="5"/>
  <c r="Q21" i="5"/>
  <c r="L21" i="5"/>
  <c r="M21" i="5"/>
  <c r="F21" i="5"/>
  <c r="S21" i="5"/>
  <c r="H21" i="5"/>
  <c r="J21" i="5"/>
  <c r="O21" i="5"/>
  <c r="N21" i="5"/>
  <c r="Z32" i="7"/>
  <c r="AN32" i="7" s="1"/>
  <c r="AQ11" i="5"/>
  <c r="V11" i="5"/>
  <c r="Z35" i="7"/>
  <c r="AN35" i="7" s="1"/>
  <c r="Z11" i="5"/>
  <c r="AL5" i="5"/>
  <c r="AG15" i="3"/>
  <c r="AR11" i="5"/>
  <c r="P26" i="5"/>
  <c r="H26" i="5"/>
  <c r="Q26" i="5"/>
  <c r="F26" i="5"/>
  <c r="R26" i="5"/>
  <c r="L26" i="5"/>
  <c r="O26" i="5"/>
  <c r="M26" i="5"/>
  <c r="I26" i="5"/>
  <c r="N26" i="5"/>
  <c r="J26" i="5"/>
  <c r="T26" i="5"/>
  <c r="K26" i="5"/>
  <c r="S26" i="5"/>
  <c r="G26" i="5"/>
  <c r="R23" i="5"/>
  <c r="J23" i="5"/>
  <c r="I23" i="5"/>
  <c r="H23" i="5"/>
  <c r="O23" i="5"/>
  <c r="S23" i="5"/>
  <c r="K23" i="5"/>
  <c r="T23" i="5"/>
  <c r="F23" i="5"/>
  <c r="G23" i="5"/>
  <c r="Q23" i="5"/>
  <c r="L23" i="5"/>
  <c r="N23" i="5"/>
  <c r="M23" i="5"/>
  <c r="P23" i="5"/>
  <c r="Q24" i="5"/>
  <c r="J24" i="5"/>
  <c r="H24" i="5"/>
  <c r="M24" i="5"/>
  <c r="K24" i="5"/>
  <c r="L24" i="5"/>
  <c r="N24" i="5"/>
  <c r="R24" i="5"/>
  <c r="P24" i="5"/>
  <c r="F24" i="5"/>
  <c r="I24" i="5"/>
  <c r="T24" i="5"/>
  <c r="O24" i="5"/>
  <c r="S24" i="5"/>
  <c r="G24" i="5"/>
  <c r="AA5" i="5"/>
  <c r="U11" i="5"/>
  <c r="AP5" i="5"/>
  <c r="AO5" i="5"/>
  <c r="AO21" i="5" s="1"/>
  <c r="AG9" i="3"/>
  <c r="AA9" i="5"/>
  <c r="AP9" i="5"/>
  <c r="AO9" i="5"/>
  <c r="AO25" i="5" s="1"/>
  <c r="AD11" i="5"/>
  <c r="Z18" i="7"/>
  <c r="AN18" i="7" s="1"/>
  <c r="Z62" i="7"/>
  <c r="AN62" i="7" s="1"/>
  <c r="Z48" i="7"/>
  <c r="AN48" i="7" s="1"/>
  <c r="Z21" i="7"/>
  <c r="AN21" i="7" s="1"/>
  <c r="Y11" i="5"/>
  <c r="AA8" i="5"/>
  <c r="AP8" i="5"/>
  <c r="AO8" i="5"/>
  <c r="AO24" i="5" s="1"/>
  <c r="AJ11" i="5"/>
  <c r="AK5" i="5"/>
  <c r="AH24" i="3" l="1"/>
  <c r="E32" i="21"/>
  <c r="F32" i="21" s="1"/>
  <c r="AH26" i="3"/>
  <c r="L32" i="21"/>
  <c r="M32" i="21" s="1"/>
  <c r="AH27" i="3"/>
  <c r="Q32" i="21"/>
  <c r="P32" i="21" s="1"/>
  <c r="AG9" i="5"/>
  <c r="AG25" i="5" s="1"/>
  <c r="AH18" i="3"/>
  <c r="AH21" i="3"/>
  <c r="AH20" i="3"/>
  <c r="L32" i="19"/>
  <c r="M32" i="19" s="1"/>
  <c r="AH17" i="3"/>
  <c r="C32" i="19"/>
  <c r="B32" i="19" s="1"/>
  <c r="AH22" i="3"/>
  <c r="S32" i="19"/>
  <c r="T32" i="19" s="1"/>
  <c r="AH19" i="3"/>
  <c r="J32" i="19"/>
  <c r="I32" i="19" s="1"/>
  <c r="AG8" i="5"/>
  <c r="AG24" i="5" s="1"/>
  <c r="AG10" i="5"/>
  <c r="AG26" i="5" s="1"/>
  <c r="L32" i="18"/>
  <c r="M32" i="18" s="1"/>
  <c r="AH16" i="3"/>
  <c r="C32" i="18"/>
  <c r="B32" i="18" s="1"/>
  <c r="AG7" i="5"/>
  <c r="AG23" i="5" s="1"/>
  <c r="AG6" i="5"/>
  <c r="AG22" i="5" s="1"/>
  <c r="C32" i="16"/>
  <c r="B32" i="16" s="1"/>
  <c r="AG5" i="5"/>
  <c r="AG21" i="5" s="1"/>
  <c r="AH13" i="3"/>
  <c r="AH15" i="3"/>
  <c r="Q32" i="18"/>
  <c r="P32" i="18" s="1"/>
  <c r="L32" i="16"/>
  <c r="M32" i="16" s="1"/>
  <c r="T32" i="18"/>
  <c r="S32" i="16"/>
  <c r="T32" i="16" s="1"/>
  <c r="Q32" i="16"/>
  <c r="P32" i="16" s="1"/>
  <c r="J32" i="16"/>
  <c r="I32" i="16" s="1"/>
  <c r="E32" i="16"/>
  <c r="F32" i="16" s="1"/>
  <c r="AH10" i="3"/>
  <c r="AT23" i="5"/>
  <c r="AH9" i="3"/>
  <c r="P32" i="19"/>
  <c r="AT21" i="5"/>
  <c r="AH8" i="3"/>
  <c r="AH6" i="3"/>
  <c r="F32" i="18"/>
  <c r="F32" i="19"/>
  <c r="AH7" i="3"/>
  <c r="I32" i="18"/>
  <c r="W23" i="5"/>
  <c r="AT25" i="5"/>
  <c r="AB21" i="5"/>
  <c r="AD26" i="5"/>
  <c r="AK26" i="5" s="1"/>
  <c r="AT26" i="5"/>
  <c r="AT24" i="5"/>
  <c r="AC21" i="5"/>
  <c r="AT22" i="5"/>
  <c r="AK11" i="5"/>
  <c r="X25" i="5"/>
  <c r="AB22" i="5"/>
  <c r="W25" i="5"/>
  <c r="AC22" i="5"/>
  <c r="X22" i="5"/>
  <c r="AD25" i="5"/>
  <c r="AK25" i="5" s="1"/>
  <c r="AB26" i="5"/>
  <c r="AB24" i="5"/>
  <c r="W26" i="5"/>
  <c r="W24" i="5"/>
  <c r="V26" i="5"/>
  <c r="Z26" i="5"/>
  <c r="AR24" i="5"/>
  <c r="AQ24" i="5"/>
  <c r="U24" i="5"/>
  <c r="AL11" i="5"/>
  <c r="O27" i="5"/>
  <c r="AJ25" i="5"/>
  <c r="J27" i="5"/>
  <c r="X21" i="5"/>
  <c r="U25" i="5"/>
  <c r="AR25" i="5"/>
  <c r="AQ25" i="5"/>
  <c r="AB23" i="5"/>
  <c r="AC25" i="5"/>
  <c r="X24" i="5"/>
  <c r="AQ23" i="5"/>
  <c r="AR23" i="5"/>
  <c r="U23" i="5"/>
  <c r="AJ23" i="5"/>
  <c r="F27" i="5"/>
  <c r="Z21" i="5"/>
  <c r="V21" i="5"/>
  <c r="U22" i="5"/>
  <c r="AQ22" i="5"/>
  <c r="AR22" i="5"/>
  <c r="AO11" i="5"/>
  <c r="M27" i="5"/>
  <c r="AN27" i="5"/>
  <c r="Y25" i="5"/>
  <c r="AS25" i="5"/>
  <c r="AI25" i="5"/>
  <c r="Z22" i="5"/>
  <c r="V22" i="5"/>
  <c r="L27" i="5"/>
  <c r="AQ21" i="5"/>
  <c r="U21" i="5"/>
  <c r="AR21" i="5"/>
  <c r="H27" i="5"/>
  <c r="W21" i="5"/>
  <c r="Q27" i="5"/>
  <c r="AB25" i="5"/>
  <c r="Y22" i="5"/>
  <c r="AI22" i="5"/>
  <c r="AS22" i="5"/>
  <c r="N27" i="5"/>
  <c r="I27" i="5"/>
  <c r="AC23" i="5"/>
  <c r="R27" i="5"/>
  <c r="AJ21" i="5"/>
  <c r="V25" i="5"/>
  <c r="Z25" i="5"/>
  <c r="AD24" i="5"/>
  <c r="AF24" i="5" s="1"/>
  <c r="K27" i="5"/>
  <c r="AD22" i="5"/>
  <c r="AF22" i="5" s="1"/>
  <c r="AD23" i="5"/>
  <c r="AK23" i="5" s="1"/>
  <c r="AS26" i="5"/>
  <c r="AI26" i="5"/>
  <c r="Y26" i="5"/>
  <c r="AC24" i="5"/>
  <c r="AC26" i="5"/>
  <c r="G27" i="5"/>
  <c r="AD21" i="5"/>
  <c r="AJ22" i="5"/>
  <c r="Z23" i="5"/>
  <c r="V23" i="5"/>
  <c r="X23" i="5"/>
  <c r="P27" i="5"/>
  <c r="W22" i="5"/>
  <c r="Y23" i="5"/>
  <c r="AS23" i="5"/>
  <c r="AI23" i="5"/>
  <c r="AP11" i="5"/>
  <c r="Y21" i="5"/>
  <c r="T27" i="5"/>
  <c r="AI21" i="5"/>
  <c r="AS21" i="5"/>
  <c r="S27" i="5"/>
  <c r="AS24" i="5"/>
  <c r="AI24" i="5"/>
  <c r="Y24" i="5"/>
  <c r="Z24" i="5"/>
  <c r="V24" i="5"/>
  <c r="AJ24" i="5"/>
  <c r="U26" i="5"/>
  <c r="AR26" i="5"/>
  <c r="AQ26" i="5"/>
  <c r="AE11" i="5"/>
  <c r="AF11" i="5"/>
  <c r="AA11" i="5"/>
  <c r="X26" i="5"/>
  <c r="AJ26" i="5"/>
  <c r="AE27" i="5"/>
  <c r="AK22" i="5" l="1"/>
  <c r="AH9" i="5"/>
  <c r="AH8" i="5"/>
  <c r="AH7" i="5"/>
  <c r="AF25" i="5"/>
  <c r="AH25" i="5" s="1"/>
  <c r="AH24" i="5"/>
  <c r="AG27" i="5"/>
  <c r="AH5" i="5"/>
  <c r="AG11" i="5"/>
  <c r="AH6" i="5"/>
  <c r="AH22" i="5"/>
  <c r="AH10" i="5"/>
  <c r="AT27" i="5"/>
  <c r="AD27" i="5"/>
  <c r="AF26" i="5"/>
  <c r="AH26" i="5" s="1"/>
  <c r="AF23" i="5"/>
  <c r="AH23" i="5" s="1"/>
  <c r="AK24" i="5"/>
  <c r="AH11" i="5"/>
  <c r="AF21" i="5"/>
  <c r="AS27" i="5"/>
  <c r="AJ27" i="5"/>
  <c r="Y27" i="5"/>
  <c r="AI27" i="5"/>
  <c r="AK21" i="5"/>
  <c r="AK27" i="5" s="1"/>
  <c r="AC27" i="5"/>
  <c r="V27" i="5"/>
  <c r="AA23" i="5"/>
  <c r="Z27" i="5"/>
  <c r="AL21" i="5"/>
  <c r="W27" i="5"/>
  <c r="AH21" i="5"/>
  <c r="AF27" i="5"/>
  <c r="AL23" i="5"/>
  <c r="AM27" i="5"/>
  <c r="AA24" i="5"/>
  <c r="X27" i="5"/>
  <c r="AA26" i="5"/>
  <c r="AB27" i="5"/>
  <c r="AA22" i="5"/>
  <c r="U27" i="5"/>
  <c r="AA21" i="5"/>
  <c r="AQ27" i="5"/>
  <c r="AR27" i="5"/>
  <c r="AL24" i="5"/>
  <c r="AL26" i="5"/>
  <c r="AA25" i="5"/>
  <c r="AL22" i="5"/>
  <c r="AL25" i="5"/>
  <c r="AH27" i="5" l="1"/>
  <c r="AO27" i="5"/>
  <c r="AA27" i="5"/>
  <c r="AP27" i="5"/>
  <c r="AL27" i="5"/>
</calcChain>
</file>

<file path=xl/sharedStrings.xml><?xml version="1.0" encoding="utf-8"?>
<sst xmlns="http://schemas.openxmlformats.org/spreadsheetml/2006/main" count="2583" uniqueCount="415">
  <si>
    <t>fg%</t>
  </si>
  <si>
    <t>ft%</t>
  </si>
  <si>
    <t>oreb</t>
  </si>
  <si>
    <t>dreb</t>
  </si>
  <si>
    <t>foul</t>
  </si>
  <si>
    <t>stl</t>
  </si>
  <si>
    <t>to</t>
  </si>
  <si>
    <t>blk</t>
  </si>
  <si>
    <t>asst</t>
  </si>
  <si>
    <t>min</t>
  </si>
  <si>
    <t>pts</t>
  </si>
  <si>
    <t>#11 G. Bańkowski</t>
  </si>
  <si>
    <t>#13 B. Okaczuk</t>
  </si>
  <si>
    <t>#7 K. Walaszczyk</t>
  </si>
  <si>
    <t>#4 J. Olszewski</t>
  </si>
  <si>
    <t>#35 S. Mrożek</t>
  </si>
  <si>
    <t>#00 M. Burczyński</t>
  </si>
  <si>
    <t>#19 R. Kielczyk</t>
  </si>
  <si>
    <t>#72 T. Kowalczyk</t>
  </si>
  <si>
    <t>Stare Byki</t>
  </si>
  <si>
    <t>#9 S. Saushkin</t>
  </si>
  <si>
    <t>#99 K. Grzegorzak</t>
  </si>
  <si>
    <t>#2 A. Nyckowski</t>
  </si>
  <si>
    <t>#6 D. Reguła</t>
  </si>
  <si>
    <t>#10 P. Targoński</t>
  </si>
  <si>
    <t>Hutnicze Wilki</t>
  </si>
  <si>
    <t>fgm</t>
  </si>
  <si>
    <t>fga</t>
  </si>
  <si>
    <t>3pm</t>
  </si>
  <si>
    <t>3pa</t>
  </si>
  <si>
    <t>ftm</t>
  </si>
  <si>
    <t>fta</t>
  </si>
  <si>
    <t>reb total</t>
  </si>
  <si>
    <t>3p%</t>
  </si>
  <si>
    <t>TS%</t>
  </si>
  <si>
    <t>eval (bez strat)</t>
  </si>
  <si>
    <t>GW</t>
  </si>
  <si>
    <t>#mecz</t>
  </si>
  <si>
    <t>zespół</t>
  </si>
  <si>
    <t>przeciwnik</t>
  </si>
  <si>
    <t>eFG%</t>
  </si>
  <si>
    <t>USG%</t>
  </si>
  <si>
    <t>Points per Shot</t>
  </si>
  <si>
    <t>Defensive Impact</t>
  </si>
  <si>
    <t>STA</t>
  </si>
  <si>
    <t>HUT</t>
  </si>
  <si>
    <t>Bycza Pułapka</t>
  </si>
  <si>
    <t>BYP</t>
  </si>
  <si>
    <t>Łodzie Podwodne</t>
  </si>
  <si>
    <t>ŁOD</t>
  </si>
  <si>
    <t>Koniki Polne Łąki</t>
  </si>
  <si>
    <t>KON</t>
  </si>
  <si>
    <t>Wilki Radzymin</t>
  </si>
  <si>
    <t>WIL</t>
  </si>
  <si>
    <t>Zespół</t>
  </si>
  <si>
    <t>Skrót</t>
  </si>
  <si>
    <t>H/A</t>
  </si>
  <si>
    <t>H</t>
  </si>
  <si>
    <t>A</t>
  </si>
  <si>
    <t>Kolumna1</t>
  </si>
  <si>
    <t>FTr</t>
  </si>
  <si>
    <t>Free Throw Rate</t>
  </si>
  <si>
    <t xml:space="preserve">3PAr </t>
  </si>
  <si>
    <t>3pt attempt rate</t>
  </si>
  <si>
    <t>GmSc</t>
  </si>
  <si>
    <t>PpS</t>
  </si>
  <si>
    <t>EVAL</t>
  </si>
  <si>
    <t>EVAL (bez strat)</t>
  </si>
  <si>
    <t>Player Game Score</t>
  </si>
  <si>
    <t>#82 Ł. Sulejewski</t>
  </si>
  <si>
    <t>#47 P. Wołczyński</t>
  </si>
  <si>
    <t>#9 J. Kurek</t>
  </si>
  <si>
    <t>#0 A. Stańczuk</t>
  </si>
  <si>
    <t>#7 R. Mućka</t>
  </si>
  <si>
    <t>#24 J. Warda</t>
  </si>
  <si>
    <t>#34 Ł. Flaga</t>
  </si>
  <si>
    <t>#10 P. Piotrowski</t>
  </si>
  <si>
    <t>#11 S. Gąsiorowski</t>
  </si>
  <si>
    <t>#5 F. Gąsiorowski</t>
  </si>
  <si>
    <t>#2 T. Prażmowski</t>
  </si>
  <si>
    <t>#13 M. Leśniak</t>
  </si>
  <si>
    <t>#17 K. Bereda</t>
  </si>
  <si>
    <t>#9 M. Łukasiuk</t>
  </si>
  <si>
    <t>#7 M. Mąkowski</t>
  </si>
  <si>
    <t>#3 D. Hentosz</t>
  </si>
  <si>
    <t>#15 A. Franko</t>
  </si>
  <si>
    <t>#1 M. Matusik</t>
  </si>
  <si>
    <t>#77 D. Więcław</t>
  </si>
  <si>
    <t>#8 D. Wardak</t>
  </si>
  <si>
    <t>#6 A. Godlewski</t>
  </si>
  <si>
    <t>#27 P. Makieła</t>
  </si>
  <si>
    <t>#14 Ł. Bułanowski</t>
  </si>
  <si>
    <t>#4 P. Kaszuba</t>
  </si>
  <si>
    <t>#10 D. Sobański</t>
  </si>
  <si>
    <t>#21 W. Sienkowski</t>
  </si>
  <si>
    <t>#72 M. Karczmarczyk</t>
  </si>
  <si>
    <t>#34 M. Nagrodzki</t>
  </si>
  <si>
    <t>#77 J. Karolczuk</t>
  </si>
  <si>
    <t>#6 K. Kondeja</t>
  </si>
  <si>
    <t>#17 G. Jusiński</t>
  </si>
  <si>
    <t>Suma</t>
  </si>
  <si>
    <t>DI</t>
  </si>
  <si>
    <t>DA</t>
  </si>
  <si>
    <t>Defensive Activity</t>
  </si>
  <si>
    <t>DP40</t>
  </si>
  <si>
    <t>Defensive Plays per 40min</t>
  </si>
  <si>
    <t>Defensive Efficiency per min</t>
  </si>
  <si>
    <t>DEpM</t>
  </si>
  <si>
    <t>Ilość stl + blk na tle zespołu</t>
  </si>
  <si>
    <t>stl + blk + 0,5*dreb</t>
  </si>
  <si>
    <t>by John Hollinger</t>
  </si>
  <si>
    <t>(stl+blk)/40min</t>
  </si>
  <si>
    <t>I. Nazwisko</t>
  </si>
  <si>
    <t>Kolumna2</t>
  </si>
  <si>
    <t>Assist per 40min</t>
  </si>
  <si>
    <t>A/40</t>
  </si>
  <si>
    <t>Rebs per 40min</t>
  </si>
  <si>
    <t>Reb/40</t>
  </si>
  <si>
    <t>Pts/40</t>
  </si>
  <si>
    <t>Points per 40min</t>
  </si>
  <si>
    <t>AST%</t>
  </si>
  <si>
    <t>% FG Assisted</t>
  </si>
  <si>
    <t>Ast/FGM</t>
  </si>
  <si>
    <t>ASTR</t>
  </si>
  <si>
    <t>Kolumna3</t>
  </si>
  <si>
    <t>Posiadania</t>
  </si>
  <si>
    <t>Poss</t>
  </si>
  <si>
    <t>Offensive Rating</t>
  </si>
  <si>
    <t>Defensive Rating</t>
  </si>
  <si>
    <t>Tempo Meczu</t>
  </si>
  <si>
    <t>Asysty / Posiadania *100</t>
  </si>
  <si>
    <t>Assist per 100 poss</t>
  </si>
  <si>
    <t>Net Rating</t>
  </si>
  <si>
    <t>Pace</t>
  </si>
  <si>
    <t>Drating</t>
  </si>
  <si>
    <t>Orating</t>
  </si>
  <si>
    <t>ORB%</t>
  </si>
  <si>
    <t>DRB%</t>
  </si>
  <si>
    <t>TRB%</t>
  </si>
  <si>
    <t>RebDiff</t>
  </si>
  <si>
    <t>OR.R</t>
  </si>
  <si>
    <t>OREB Ratio</t>
  </si>
  <si>
    <t>Jaki % rzutów niecelnych zbieram w ataku</t>
  </si>
  <si>
    <t>RPA</t>
  </si>
  <si>
    <t>Rebound Points Added</t>
  </si>
  <si>
    <t>oreb*1,1 + dreb*0,3</t>
  </si>
  <si>
    <t>GmScore</t>
  </si>
  <si>
    <t>SQI</t>
  </si>
  <si>
    <t>Shtg Quality Index</t>
  </si>
  <si>
    <t>Played</t>
  </si>
  <si>
    <t>played?</t>
  </si>
  <si>
    <t>played</t>
  </si>
  <si>
    <t>Śr Tempo meczu</t>
  </si>
  <si>
    <t>Net RTG</t>
  </si>
  <si>
    <t>0,7*efg% + 0,3*AST%</t>
  </si>
  <si>
    <t>Game Score</t>
  </si>
  <si>
    <t>Średnie:</t>
  </si>
  <si>
    <t>sumy</t>
  </si>
  <si>
    <t>średnie</t>
  </si>
  <si>
    <t>Played?</t>
  </si>
  <si>
    <t>G. Bańkowski</t>
  </si>
  <si>
    <t>B. Okaczuk</t>
  </si>
  <si>
    <t>K. Walaszczyk</t>
  </si>
  <si>
    <t>J. Olszewski</t>
  </si>
  <si>
    <t>S. Mrożek</t>
  </si>
  <si>
    <t>M. Burczyński</t>
  </si>
  <si>
    <t>R. Kielczyk</t>
  </si>
  <si>
    <t>T. Kowalczyk</t>
  </si>
  <si>
    <t>S. Saushkin</t>
  </si>
  <si>
    <t>K. Grzegorzak</t>
  </si>
  <si>
    <t>A. Nyckowski</t>
  </si>
  <si>
    <t>D. Reguła</t>
  </si>
  <si>
    <t>P. Targoński</t>
  </si>
  <si>
    <t>Ł. Sulejewski</t>
  </si>
  <si>
    <t>P. Wołczyński</t>
  </si>
  <si>
    <t>J. Kurek</t>
  </si>
  <si>
    <t>A. Stańczuk</t>
  </si>
  <si>
    <t>R. Mućka</t>
  </si>
  <si>
    <t>J. Warda</t>
  </si>
  <si>
    <t>Ł. Flaga</t>
  </si>
  <si>
    <t>P. Piotrowski</t>
  </si>
  <si>
    <t>S. Gąsiorowski</t>
  </si>
  <si>
    <t>F. Gąsiorowski</t>
  </si>
  <si>
    <t>T. Prażmowski</t>
  </si>
  <si>
    <t>M. Leśniak</t>
  </si>
  <si>
    <t>K. Bereda</t>
  </si>
  <si>
    <t>M. Łukasiuk</t>
  </si>
  <si>
    <t>M. Mąkowski</t>
  </si>
  <si>
    <t>D. Hentosz</t>
  </si>
  <si>
    <t>A. Franko</t>
  </si>
  <si>
    <t>M. Matusik</t>
  </si>
  <si>
    <t>D. Więcław</t>
  </si>
  <si>
    <t>D. Wardak</t>
  </si>
  <si>
    <t>A. Godlewski</t>
  </si>
  <si>
    <t>P. Makieła</t>
  </si>
  <si>
    <t>Ł. Bułanowski</t>
  </si>
  <si>
    <t>P. Kaszuba</t>
  </si>
  <si>
    <t>D. Sobański</t>
  </si>
  <si>
    <t>W. Sienkowski</t>
  </si>
  <si>
    <t>M. Karczmarczyk</t>
  </si>
  <si>
    <t>M. Nagrodzki</t>
  </si>
  <si>
    <t>J. Karolczuk</t>
  </si>
  <si>
    <t>K. Kondeja</t>
  </si>
  <si>
    <t>G. Jusiński</t>
  </si>
  <si>
    <t>L. Prokopczuk</t>
  </si>
  <si>
    <t>J. Radomski</t>
  </si>
  <si>
    <t>T. Rosłon</t>
  </si>
  <si>
    <t>P. Michalski</t>
  </si>
  <si>
    <t>B. Sanner</t>
  </si>
  <si>
    <t>Ł. Całka</t>
  </si>
  <si>
    <t>A. Sikora</t>
  </si>
  <si>
    <t>M. Bartosiewicz</t>
  </si>
  <si>
    <t>P. Gawryś</t>
  </si>
  <si>
    <t>A. Rostkowski</t>
  </si>
  <si>
    <t>J. Filipiak</t>
  </si>
  <si>
    <t>C. Le Jean</t>
  </si>
  <si>
    <t>R. Machvudzi</t>
  </si>
  <si>
    <t>D. Newteruk</t>
  </si>
  <si>
    <t>M. Stanazenko</t>
  </si>
  <si>
    <t>I. Richard</t>
  </si>
  <si>
    <t>S. Gonchar</t>
  </si>
  <si>
    <t>ID</t>
  </si>
  <si>
    <t>Suma końcowa</t>
  </si>
  <si>
    <t>Suma z 3pm</t>
  </si>
  <si>
    <t>Wartości</t>
  </si>
  <si>
    <t>Suma z 3p%</t>
  </si>
  <si>
    <t>#33 K. Walaszczyk</t>
  </si>
  <si>
    <t>#55 F. Firas</t>
  </si>
  <si>
    <t>GmSc/40</t>
  </si>
  <si>
    <t>EVAL/40</t>
  </si>
  <si>
    <t>F. Firas</t>
  </si>
  <si>
    <t>Czy jest</t>
  </si>
  <si>
    <t>Suma z ftm</t>
  </si>
  <si>
    <t>Suma z foul</t>
  </si>
  <si>
    <t>Suma z stl</t>
  </si>
  <si>
    <t>Suma z pts</t>
  </si>
  <si>
    <t>I.Nazw[ZES]</t>
  </si>
  <si>
    <t>J. Olszewski [STA]</t>
  </si>
  <si>
    <t>F. Firas [STA]</t>
  </si>
  <si>
    <t>K. Walaszczyk [STA]</t>
  </si>
  <si>
    <t>B. Okaczuk [STA]</t>
  </si>
  <si>
    <t>G. Bańkowski [STA]</t>
  </si>
  <si>
    <t>Ł. Bułanowski [WIL]</t>
  </si>
  <si>
    <t>D. Sobański [WIL]</t>
  </si>
  <si>
    <t>M. Karczmarczyk [WIL]</t>
  </si>
  <si>
    <t>J. Karolczuk [WIL]</t>
  </si>
  <si>
    <t>S. Gąsiorowski [ŁOD]</t>
  </si>
  <si>
    <t>Ł. Sulejewski [BYP]</t>
  </si>
  <si>
    <t>D. Hentosz [KON]</t>
  </si>
  <si>
    <t>S. Saushkin [HUT]</t>
  </si>
  <si>
    <t>K. Grzegorzak [HUT]</t>
  </si>
  <si>
    <t>T. Prażmowski [ŁOD]</t>
  </si>
  <si>
    <t>K. Bereda [ŁOD]</t>
  </si>
  <si>
    <t>M. Leśniak [ŁOD]</t>
  </si>
  <si>
    <t>M. Łukasiuk [ŁOD]</t>
  </si>
  <si>
    <t>J. Kurek [BYP]</t>
  </si>
  <si>
    <t>M. Mąkowski [ŁOD]</t>
  </si>
  <si>
    <t>M. Matusik [KON]</t>
  </si>
  <si>
    <t>D. Więcław [KON]</t>
  </si>
  <si>
    <t>R. Mućka [BYP]</t>
  </si>
  <si>
    <t>J. Warda [BYP]</t>
  </si>
  <si>
    <t>Ł. Flaga [BYP]</t>
  </si>
  <si>
    <t>P. Piotrowski [BYP]</t>
  </si>
  <si>
    <t>Suma z reb total</t>
  </si>
  <si>
    <t>Suma z asst</t>
  </si>
  <si>
    <t>Suma z blk</t>
  </si>
  <si>
    <t>Suma z EVAL</t>
  </si>
  <si>
    <t>STATYSTYKI INDYWIDUALNE</t>
  </si>
  <si>
    <t>GŁÓWNE</t>
  </si>
  <si>
    <t>Suma z fg%</t>
  </si>
  <si>
    <t>Suma z TS%</t>
  </si>
  <si>
    <t>Suma z PpS</t>
  </si>
  <si>
    <t>Suma z USG%</t>
  </si>
  <si>
    <t>Suma z GmSc</t>
  </si>
  <si>
    <t>Suma z DEpM</t>
  </si>
  <si>
    <t>Suma z DP40</t>
  </si>
  <si>
    <t>Suma z EVAL/40</t>
  </si>
  <si>
    <t>RZUTOWE</t>
  </si>
  <si>
    <t>POZOSTAŁE</t>
  </si>
  <si>
    <t>Suma z eval (bez strat)</t>
  </si>
  <si>
    <t>Celne</t>
  </si>
  <si>
    <t>Oddane</t>
  </si>
  <si>
    <t>Skuteczność %</t>
  </si>
  <si>
    <t>Suma z eFG%</t>
  </si>
  <si>
    <t>Suma z Pace</t>
  </si>
  <si>
    <t>Suma z Drating</t>
  </si>
  <si>
    <t>Suma z Orating</t>
  </si>
  <si>
    <t>STATYSTYKI ZESPOŁOWE</t>
  </si>
  <si>
    <t>PUNKTOWE</t>
  </si>
  <si>
    <t>2p%</t>
  </si>
  <si>
    <t>2pm</t>
  </si>
  <si>
    <t>2pa</t>
  </si>
  <si>
    <t>2pAr</t>
  </si>
  <si>
    <t>Suma z AST%</t>
  </si>
  <si>
    <t>Suma z TRB%</t>
  </si>
  <si>
    <t>Suma z Poss</t>
  </si>
  <si>
    <t>Ofensywne</t>
  </si>
  <si>
    <t>Defensywne</t>
  </si>
  <si>
    <t>Rzuty za 3</t>
  </si>
  <si>
    <t>Rzuty za 2</t>
  </si>
  <si>
    <t>Rzuty Osobiste</t>
  </si>
  <si>
    <t>INNE WAŻNE</t>
  </si>
  <si>
    <t>PUNKTY</t>
  </si>
  <si>
    <t xml:space="preserve">RZUTY Z GRY </t>
  </si>
  <si>
    <t>CELNE</t>
  </si>
  <si>
    <t>ODDANE</t>
  </si>
  <si>
    <t>RZUTY ZA 3</t>
  </si>
  <si>
    <t>RZUTY OSOBISTE</t>
  </si>
  <si>
    <t>ZBIÓRKI ATAK</t>
  </si>
  <si>
    <t>ZBIÓRKI OBRONA</t>
  </si>
  <si>
    <t>ZBIÓRKI SUMA</t>
  </si>
  <si>
    <t>ASYSTY</t>
  </si>
  <si>
    <t>PRZECHWYTY</t>
  </si>
  <si>
    <t>BLOKI</t>
  </si>
  <si>
    <t>TRUE SHOOTING %</t>
  </si>
  <si>
    <t>OFFENSIVE RATING</t>
  </si>
  <si>
    <t>DEFENSIVE RATING</t>
  </si>
  <si>
    <t>POSIADANIA</t>
  </si>
  <si>
    <t>KOLEJKA</t>
  </si>
  <si>
    <t>SKUTECZNOŚĆ</t>
  </si>
  <si>
    <t>ZA2</t>
  </si>
  <si>
    <t>ZA3</t>
  </si>
  <si>
    <t>ZA1</t>
  </si>
  <si>
    <t>2P%</t>
  </si>
  <si>
    <t>Lets.Sport</t>
  </si>
  <si>
    <t>Kolejka:</t>
  </si>
  <si>
    <t xml:space="preserve"> </t>
  </si>
  <si>
    <t>#71 L. Prokopczuk</t>
  </si>
  <si>
    <t>L. Prokopczuk [KON]</t>
  </si>
  <si>
    <t>szukaj</t>
  </si>
  <si>
    <t>#99 S. Saushkin</t>
  </si>
  <si>
    <t>#23 A. Zverev</t>
  </si>
  <si>
    <t>#5 D. Newteruk</t>
  </si>
  <si>
    <t>#11 B. Kichuk</t>
  </si>
  <si>
    <t>#4 S. Gonchar</t>
  </si>
  <si>
    <t>#34 K. Mikolaj</t>
  </si>
  <si>
    <t>#22 V. Kurshynov</t>
  </si>
  <si>
    <t>A. Zverev</t>
  </si>
  <si>
    <t>B. Kichuk</t>
  </si>
  <si>
    <t>K. Mikolaj</t>
  </si>
  <si>
    <t>V. Kurshynov</t>
  </si>
  <si>
    <t>#12 P. Kozlowski</t>
  </si>
  <si>
    <t>P. Kozlowski</t>
  </si>
  <si>
    <t>#11 C. Mavity</t>
  </si>
  <si>
    <t>#17 M. Karczmarczyk</t>
  </si>
  <si>
    <t>#5 B. Sanner</t>
  </si>
  <si>
    <t>#76 A. Sikora</t>
  </si>
  <si>
    <t>#48 P. Michalski</t>
  </si>
  <si>
    <t>#12 M. Bartosiewicz</t>
  </si>
  <si>
    <t>#6 P. Gawryś</t>
  </si>
  <si>
    <t>P. Kozlowski [BYP]</t>
  </si>
  <si>
    <t>S. Gonchar [HUT]</t>
  </si>
  <si>
    <t>B. Kichuk [HUT]</t>
  </si>
  <si>
    <t>W. Sienkowski [WIL]</t>
  </si>
  <si>
    <t>V. Kurshynov [HUT]</t>
  </si>
  <si>
    <t>C. Mavity</t>
  </si>
  <si>
    <t>Q1</t>
  </si>
  <si>
    <t>Q2</t>
  </si>
  <si>
    <t>Q3</t>
  </si>
  <si>
    <t>Q4</t>
  </si>
  <si>
    <t>O1</t>
  </si>
  <si>
    <t>O2</t>
  </si>
  <si>
    <t>O3</t>
  </si>
  <si>
    <t>O4</t>
  </si>
  <si>
    <t>pts OPP</t>
  </si>
  <si>
    <t>C. Mavity [WIL]</t>
  </si>
  <si>
    <t>Zdobywane</t>
  </si>
  <si>
    <t>Tracone</t>
  </si>
  <si>
    <t>Kwarta 1</t>
  </si>
  <si>
    <t>Kwarta 2</t>
  </si>
  <si>
    <t>Kwarta 3</t>
  </si>
  <si>
    <t>Kwarta 4</t>
  </si>
  <si>
    <t>%Q1</t>
  </si>
  <si>
    <t>%Q2</t>
  </si>
  <si>
    <t>%Q3</t>
  </si>
  <si>
    <t>%Q4</t>
  </si>
  <si>
    <t>%O1</t>
  </si>
  <si>
    <t>%O2</t>
  </si>
  <si>
    <t>%O3</t>
  </si>
  <si>
    <t>%O4</t>
  </si>
  <si>
    <t>Suma z %O1</t>
  </si>
  <si>
    <t>Suma z %O2</t>
  </si>
  <si>
    <t>Suma z %O3</t>
  </si>
  <si>
    <t>Suma z %O4</t>
  </si>
  <si>
    <t>KWARTY</t>
  </si>
  <si>
    <t>#39 P. Durka</t>
  </si>
  <si>
    <t>#16 F. Szymor</t>
  </si>
  <si>
    <t>#18 G. Jusiński</t>
  </si>
  <si>
    <t>#17 F. Siemiątkowski</t>
  </si>
  <si>
    <t>#15 B. Konwicki</t>
  </si>
  <si>
    <t>#2 B. Kichuk</t>
  </si>
  <si>
    <t>#14 K. Grzegorzak</t>
  </si>
  <si>
    <t>#34 M. Kutz</t>
  </si>
  <si>
    <t>#0 V. Kurshynov</t>
  </si>
  <si>
    <t>#11 W. Pyszyński</t>
  </si>
  <si>
    <t>P. Durka</t>
  </si>
  <si>
    <t>F. Szymor</t>
  </si>
  <si>
    <t>F. Siemiątkowski</t>
  </si>
  <si>
    <t>B. Konwicki</t>
  </si>
  <si>
    <t>M. Kutz</t>
  </si>
  <si>
    <t>W. Pyszyński</t>
  </si>
  <si>
    <t>(Wiele elementów)</t>
  </si>
  <si>
    <t>T. Kowalczyk [STA]</t>
  </si>
  <si>
    <t>#11 T. Gortat</t>
  </si>
  <si>
    <t>#21 J. Radomski</t>
  </si>
  <si>
    <t>#7 V. Kurshynov</t>
  </si>
  <si>
    <t>T. Gortat</t>
  </si>
  <si>
    <t>P. Durka [BYP]</t>
  </si>
  <si>
    <t>P. Targoński [HUT]</t>
  </si>
  <si>
    <t>F. Siemiątkowski [ŁOD]</t>
  </si>
  <si>
    <t>D. Reguła [HUT]</t>
  </si>
  <si>
    <t>A. Sikora [WIL]</t>
  </si>
  <si>
    <t>#3 P. Roguski</t>
  </si>
  <si>
    <t>#89 P. Roguski</t>
  </si>
  <si>
    <t>P. Roguski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</si>
</sst>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36"/>
      <color theme="0" tint="-0.249977111117893"/>
      <name val="Calibri"/>
      <family val="2"/>
      <charset val="238"/>
      <scheme val="minor"/>
    </font>
    <font>
      <b/>
      <sz val="36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i/>
      <sz val="36"/>
      <color theme="0"/>
      <name val="Calibri"/>
      <family val="2"/>
      <charset val="238"/>
      <scheme val="minor"/>
    </font>
    <font>
      <sz val="36"/>
      <color theme="0"/>
      <name val="Calibri"/>
      <family val="2"/>
      <charset val="238"/>
      <scheme val="minor"/>
    </font>
    <font>
      <sz val="16"/>
      <color theme="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0" fillId="2" borderId="2" xfId="0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9" fontId="0" fillId="0" borderId="2" xfId="1" applyFont="1" applyBorder="1"/>
    <xf numFmtId="2" fontId="0" fillId="0" borderId="2" xfId="0" applyNumberFormat="1" applyBorder="1"/>
    <xf numFmtId="164" fontId="0" fillId="0" borderId="1" xfId="0" applyNumberFormat="1" applyBorder="1"/>
    <xf numFmtId="0" fontId="0" fillId="2" borderId="3" xfId="0" applyFill="1" applyBorder="1"/>
    <xf numFmtId="9" fontId="0" fillId="0" borderId="0" xfId="1" applyFont="1" applyBorder="1"/>
    <xf numFmtId="9" fontId="0" fillId="0" borderId="3" xfId="1" applyFont="1" applyBorder="1"/>
    <xf numFmtId="2" fontId="0" fillId="0" borderId="3" xfId="0" applyNumberFormat="1" applyBorder="1"/>
    <xf numFmtId="164" fontId="0" fillId="0" borderId="4" xfId="0" applyNumberFormat="1" applyBorder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/>
    <xf numFmtId="164" fontId="0" fillId="0" borderId="5" xfId="0" applyNumberFormat="1" applyBorder="1"/>
    <xf numFmtId="9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0" fontId="3" fillId="0" borderId="0" xfId="0" applyFont="1" applyAlignment="1">
      <alignment wrapText="1"/>
    </xf>
    <xf numFmtId="9" fontId="3" fillId="0" borderId="0" xfId="1" applyFont="1" applyAlignment="1">
      <alignment wrapText="1"/>
    </xf>
    <xf numFmtId="166" fontId="0" fillId="0" borderId="0" xfId="1" applyNumberFormat="1" applyFont="1"/>
    <xf numFmtId="2" fontId="0" fillId="0" borderId="0" xfId="1" applyNumberFormat="1" applyFont="1"/>
    <xf numFmtId="164" fontId="0" fillId="0" borderId="0" xfId="1" applyNumberFormat="1" applyFont="1" applyBorder="1"/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0" borderId="6" xfId="0" applyFont="1" applyBorder="1"/>
    <xf numFmtId="0" fontId="0" fillId="0" borderId="6" xfId="0" applyBorder="1"/>
    <xf numFmtId="0" fontId="0" fillId="2" borderId="7" xfId="0" applyFill="1" applyBorder="1"/>
    <xf numFmtId="9" fontId="0" fillId="0" borderId="6" xfId="1" applyFont="1" applyBorder="1"/>
    <xf numFmtId="9" fontId="0" fillId="0" borderId="7" xfId="1" applyFont="1" applyBorder="1"/>
    <xf numFmtId="164" fontId="0" fillId="0" borderId="6" xfId="1" applyNumberFormat="1" applyFont="1" applyBorder="1"/>
    <xf numFmtId="164" fontId="0" fillId="0" borderId="6" xfId="0" applyNumberFormat="1" applyBorder="1"/>
    <xf numFmtId="2" fontId="0" fillId="0" borderId="7" xfId="0" applyNumberFormat="1" applyBorder="1"/>
    <xf numFmtId="164" fontId="0" fillId="0" borderId="8" xfId="0" applyNumberFormat="1" applyBorder="1"/>
    <xf numFmtId="0" fontId="2" fillId="2" borderId="2" xfId="0" applyFont="1" applyFill="1" applyBorder="1"/>
    <xf numFmtId="0" fontId="2" fillId="0" borderId="2" xfId="0" applyFont="1" applyBorder="1"/>
    <xf numFmtId="0" fontId="2" fillId="0" borderId="7" xfId="0" applyFont="1" applyBorder="1"/>
    <xf numFmtId="0" fontId="5" fillId="3" borderId="9" xfId="0" applyFont="1" applyFill="1" applyBorder="1"/>
    <xf numFmtId="9" fontId="5" fillId="3" borderId="9" xfId="1" applyFont="1" applyFill="1" applyBorder="1"/>
    <xf numFmtId="0" fontId="5" fillId="3" borderId="10" xfId="0" applyFont="1" applyFill="1" applyBorder="1"/>
    <xf numFmtId="0" fontId="2" fillId="2" borderId="0" xfId="0" applyFont="1" applyFill="1"/>
    <xf numFmtId="2" fontId="0" fillId="0" borderId="6" xfId="0" applyNumberFormat="1" applyBorder="1"/>
    <xf numFmtId="9" fontId="0" fillId="0" borderId="0" xfId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pivotButton="1"/>
    <xf numFmtId="1" fontId="0" fillId="0" borderId="0" xfId="1" applyNumberFormat="1" applyFont="1"/>
    <xf numFmtId="49" fontId="0" fillId="0" borderId="0" xfId="0" applyNumberFormat="1"/>
    <xf numFmtId="0" fontId="0" fillId="7" borderId="0" xfId="0" applyFill="1"/>
    <xf numFmtId="0" fontId="6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165" fontId="0" fillId="0" borderId="0" xfId="0" applyNumberFormat="1"/>
    <xf numFmtId="166" fontId="0" fillId="0" borderId="0" xfId="0" applyNumberFormat="1"/>
    <xf numFmtId="9" fontId="0" fillId="0" borderId="6" xfId="0" applyNumberFormat="1" applyBorder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3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" fontId="2" fillId="0" borderId="11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64" fontId="0" fillId="7" borderId="0" xfId="0" applyNumberFormat="1" applyFill="1"/>
    <xf numFmtId="0" fontId="0" fillId="0" borderId="0" xfId="0" applyNumberFormat="1"/>
  </cellXfs>
  <cellStyles count="2">
    <cellStyle name="Normalny" xfId="0" builtinId="0"/>
    <cellStyle name="Procentowy" xfId="1" builtinId="5"/>
  </cellStyles>
  <dxfs count="4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64" formatCode="0.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" formatCode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4" formatCode="0.0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4" formatCode="0.0"/>
      <border diagonalUp="0" diagonalDown="0" outline="0">
        <left/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0.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164" formatCode="0.0"/>
    </dxf>
    <dxf>
      <numFmt numFmtId="0" formatCode="General"/>
    </dxf>
    <dxf>
      <numFmt numFmtId="1" formatCode="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</dxf>
    <dxf>
      <numFmt numFmtId="30" formatCode="@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" formatCode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5FBFF"/>
      <color rgb="FFFFB9B9"/>
      <color rgb="FFFFE7E7"/>
      <color rgb="FFF3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4 kolejka public.xlsx]DBI główne!Tabela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Punkty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główne'!$A$5:$A$15</c:f>
              <c:strCache>
                <c:ptCount val="10"/>
                <c:pt idx="0">
                  <c:v>F. Siemiątkowski [ŁOD]</c:v>
                </c:pt>
                <c:pt idx="1">
                  <c:v>Ł. Sulejewski [BYP]</c:v>
                </c:pt>
                <c:pt idx="2">
                  <c:v>G. Bańkowski [STA]</c:v>
                </c:pt>
                <c:pt idx="3">
                  <c:v>K. Grzegorzak [HUT]</c:v>
                </c:pt>
                <c:pt idx="4">
                  <c:v>B. Kichuk [HUT]</c:v>
                </c:pt>
                <c:pt idx="5">
                  <c:v>C. Mavity [WIL]</c:v>
                </c:pt>
                <c:pt idx="6">
                  <c:v>D. Reguła [HUT]</c:v>
                </c:pt>
                <c:pt idx="7">
                  <c:v>S. Saushkin [HUT]</c:v>
                </c:pt>
                <c:pt idx="8">
                  <c:v>D. Hentosz [KON]</c:v>
                </c:pt>
                <c:pt idx="9">
                  <c:v>S. Gąsiorowski [ŁOD]</c:v>
                </c:pt>
              </c:strCache>
            </c:strRef>
          </c:cat>
          <c:val>
            <c:numRef>
              <c:f>'DBI główne'!$B$5:$B$15</c:f>
              <c:numCache>
                <c:formatCode>0.0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12.25</c:v>
                </c:pt>
                <c:pt idx="3">
                  <c:v>13.666666666666666</c:v>
                </c:pt>
                <c:pt idx="4">
                  <c:v>14</c:v>
                </c:pt>
                <c:pt idx="5">
                  <c:v>17.25</c:v>
                </c:pt>
                <c:pt idx="6">
                  <c:v>20.5</c:v>
                </c:pt>
                <c:pt idx="7">
                  <c:v>20.5</c:v>
                </c:pt>
                <c:pt idx="8">
                  <c:v>21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C-4B5F-8992-366AE00F1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6128623"/>
        <c:axId val="1216135823"/>
      </c:barChart>
      <c:catAx>
        <c:axId val="121612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135823"/>
        <c:crosses val="autoZero"/>
        <c:auto val="1"/>
        <c:lblAlgn val="ctr"/>
        <c:lblOffset val="100"/>
        <c:noMultiLvlLbl val="0"/>
      </c:catAx>
      <c:valAx>
        <c:axId val="121613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12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4 kolejka public.xlsx]DBI główne!Tabela przestawna2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Zbiórki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główne'!$D$5:$D$15</c:f>
              <c:strCache>
                <c:ptCount val="10"/>
                <c:pt idx="0">
                  <c:v>F. Firas [STA]</c:v>
                </c:pt>
                <c:pt idx="1">
                  <c:v>M. Mąkowski [ŁOD]</c:v>
                </c:pt>
                <c:pt idx="2">
                  <c:v>Ł. Bułanowski [WIL]</c:v>
                </c:pt>
                <c:pt idx="3">
                  <c:v>C. Mavity [WIL]</c:v>
                </c:pt>
                <c:pt idx="4">
                  <c:v>D. Hentosz [KON]</c:v>
                </c:pt>
                <c:pt idx="5">
                  <c:v>G. Bańkowski [STA]</c:v>
                </c:pt>
                <c:pt idx="6">
                  <c:v>K. Grzegorzak [HUT]</c:v>
                </c:pt>
                <c:pt idx="7">
                  <c:v>L. Prokopczuk [KON]</c:v>
                </c:pt>
                <c:pt idx="8">
                  <c:v>P. Durka [BYP]</c:v>
                </c:pt>
                <c:pt idx="9">
                  <c:v>P. Targoński [HUT]</c:v>
                </c:pt>
              </c:strCache>
            </c:strRef>
          </c:cat>
          <c:val>
            <c:numRef>
              <c:f>'DBI główne'!$E$5:$E$15</c:f>
              <c:numCache>
                <c:formatCode>0.0</c:formatCode>
                <c:ptCount val="10"/>
                <c:pt idx="0">
                  <c:v>7.666666666666667</c:v>
                </c:pt>
                <c:pt idx="1">
                  <c:v>8.3333333333333339</c:v>
                </c:pt>
                <c:pt idx="2">
                  <c:v>8.6666666666666661</c:v>
                </c:pt>
                <c:pt idx="3">
                  <c:v>9.25</c:v>
                </c:pt>
                <c:pt idx="4">
                  <c:v>9.25</c:v>
                </c:pt>
                <c:pt idx="5">
                  <c:v>9.75</c:v>
                </c:pt>
                <c:pt idx="6">
                  <c:v>10</c:v>
                </c:pt>
                <c:pt idx="7">
                  <c:v>10.333333333333334</c:v>
                </c:pt>
                <c:pt idx="8">
                  <c:v>13.5</c:v>
                </c:pt>
                <c:pt idx="9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9-493B-958C-B5D5149426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882751"/>
        <c:axId val="368885151"/>
      </c:barChart>
      <c:catAx>
        <c:axId val="368882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885151"/>
        <c:crosses val="autoZero"/>
        <c:auto val="1"/>
        <c:lblAlgn val="ctr"/>
        <c:lblOffset val="100"/>
        <c:noMultiLvlLbl val="0"/>
      </c:catAx>
      <c:valAx>
        <c:axId val="36888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88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[statystyki liga 5x5 4 kolejka public.xlsx]DBI główne!Tabela przestawna3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Asysty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główne'!$G$5:$G$16</c:f>
              <c:strCache>
                <c:ptCount val="11"/>
                <c:pt idx="0">
                  <c:v>D. Sobański [WIL]</c:v>
                </c:pt>
                <c:pt idx="1">
                  <c:v>C. Mavity [WIL]</c:v>
                </c:pt>
                <c:pt idx="2">
                  <c:v>K. Grzegorzak [HUT]</c:v>
                </c:pt>
                <c:pt idx="3">
                  <c:v>B. Kichuk [HUT]</c:v>
                </c:pt>
                <c:pt idx="4">
                  <c:v>M. Łukasiuk [ŁOD]</c:v>
                </c:pt>
                <c:pt idx="5">
                  <c:v>B. Okaczuk [STA]</c:v>
                </c:pt>
                <c:pt idx="6">
                  <c:v>T. Prażmowski [ŁOD]</c:v>
                </c:pt>
                <c:pt idx="7">
                  <c:v>M. Matusik [KON]</c:v>
                </c:pt>
                <c:pt idx="8">
                  <c:v>P. Targoński [HUT]</c:v>
                </c:pt>
                <c:pt idx="9">
                  <c:v>S. Gonchar [HUT]</c:v>
                </c:pt>
                <c:pt idx="10">
                  <c:v>S. Saushkin [HUT]</c:v>
                </c:pt>
              </c:strCache>
            </c:strRef>
          </c:cat>
          <c:val>
            <c:numRef>
              <c:f>'DBI główne'!$H$5:$H$16</c:f>
              <c:numCache>
                <c:formatCode>0.0</c:formatCode>
                <c:ptCount val="11"/>
                <c:pt idx="0">
                  <c:v>2.75</c:v>
                </c:pt>
                <c:pt idx="1">
                  <c:v>2.75</c:v>
                </c:pt>
                <c:pt idx="2">
                  <c:v>3</c:v>
                </c:pt>
                <c:pt idx="3">
                  <c:v>3</c:v>
                </c:pt>
                <c:pt idx="4">
                  <c:v>3.25</c:v>
                </c:pt>
                <c:pt idx="5">
                  <c:v>3.3333333333333335</c:v>
                </c:pt>
                <c:pt idx="6">
                  <c:v>3.75</c:v>
                </c:pt>
                <c:pt idx="7">
                  <c:v>4.25</c:v>
                </c:pt>
                <c:pt idx="8">
                  <c:v>4.5</c:v>
                </c:pt>
                <c:pt idx="9">
                  <c:v>4.5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[statystyki liga 5x5 4 kolejka public.xlsx]DBI główne!Tabela przestawna4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Przechwyty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główne'!$J$5:$J$16</c:f>
              <c:strCache>
                <c:ptCount val="11"/>
                <c:pt idx="0">
                  <c:v>S. Gąsiorowski [ŁOD]</c:v>
                </c:pt>
                <c:pt idx="1">
                  <c:v>P. Kozlowski [BYP]</c:v>
                </c:pt>
                <c:pt idx="2">
                  <c:v>V. Kurshynov [HUT]</c:v>
                </c:pt>
                <c:pt idx="3">
                  <c:v>M. Leśniak [ŁOD]</c:v>
                </c:pt>
                <c:pt idx="4">
                  <c:v>K. Bereda [ŁOD]</c:v>
                </c:pt>
                <c:pt idx="5">
                  <c:v>F. Siemiątkowski [ŁOD]</c:v>
                </c:pt>
                <c:pt idx="6">
                  <c:v>K. Grzegorzak [HUT]</c:v>
                </c:pt>
                <c:pt idx="7">
                  <c:v>L. Prokopczuk [KON]</c:v>
                </c:pt>
                <c:pt idx="8">
                  <c:v>Ł. Bułanowski [WIL]</c:v>
                </c:pt>
                <c:pt idx="9">
                  <c:v>C. Mavity [WIL]</c:v>
                </c:pt>
                <c:pt idx="10">
                  <c:v>S. Saushkin [HUT]</c:v>
                </c:pt>
              </c:strCache>
            </c:strRef>
          </c:cat>
          <c:val>
            <c:numRef>
              <c:f>'DBI główne'!$K$5:$K$16</c:f>
              <c:numCache>
                <c:formatCode>0.0</c:formatCode>
                <c:ptCount val="11"/>
                <c:pt idx="0">
                  <c:v>2.3333333333333335</c:v>
                </c:pt>
                <c:pt idx="1">
                  <c:v>2.3333333333333335</c:v>
                </c:pt>
                <c:pt idx="2">
                  <c:v>2.3333333333333335</c:v>
                </c:pt>
                <c:pt idx="3">
                  <c:v>2.75</c:v>
                </c:pt>
                <c:pt idx="4">
                  <c:v>3</c:v>
                </c:pt>
                <c:pt idx="5">
                  <c:v>3</c:v>
                </c:pt>
                <c:pt idx="6">
                  <c:v>3.3333333333333335</c:v>
                </c:pt>
                <c:pt idx="7">
                  <c:v>3.3333333333333335</c:v>
                </c:pt>
                <c:pt idx="8">
                  <c:v>3.6666666666666665</c:v>
                </c:pt>
                <c:pt idx="9">
                  <c:v>4.5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[statystyki liga 5x5 4 kolejka public.xlsx]DBI główne!Tabela przestawna5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Bloki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główne'!$M$5:$M$16</c:f>
              <c:strCache>
                <c:ptCount val="11"/>
                <c:pt idx="0">
                  <c:v>C. Mavity [WIL]</c:v>
                </c:pt>
                <c:pt idx="1">
                  <c:v>M. Matusik [KON]</c:v>
                </c:pt>
                <c:pt idx="2">
                  <c:v>Ł. Flaga [BYP]</c:v>
                </c:pt>
                <c:pt idx="3">
                  <c:v>D. Hentosz [KON]</c:v>
                </c:pt>
                <c:pt idx="4">
                  <c:v>J. Karolczuk [WIL]</c:v>
                </c:pt>
                <c:pt idx="5">
                  <c:v>J. Kurek [BYP]</c:v>
                </c:pt>
                <c:pt idx="6">
                  <c:v>Ł. Bułanowski [WIL]</c:v>
                </c:pt>
                <c:pt idx="7">
                  <c:v>S. Gąsiorowski [ŁOD]</c:v>
                </c:pt>
                <c:pt idx="8">
                  <c:v>G. Bańkowski [STA]</c:v>
                </c:pt>
                <c:pt idx="9">
                  <c:v>P. Kozlowski [BYP]</c:v>
                </c:pt>
                <c:pt idx="10">
                  <c:v>P. Durka [BYP]</c:v>
                </c:pt>
              </c:strCache>
            </c:strRef>
          </c:cat>
          <c:val>
            <c:numRef>
              <c:f>'DBI główne'!$N$5:$N$16</c:f>
              <c:numCache>
                <c:formatCode>0.0</c:formatCode>
                <c:ptCount val="11"/>
                <c:pt idx="0">
                  <c:v>0.75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1.25</c:v>
                </c:pt>
                <c:pt idx="9">
                  <c:v>1.3333333333333333</c:v>
                </c:pt>
                <c:pt idx="1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główne!Tabela przestawna6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główne'!$P$5:$P$15</c:f>
              <c:strCache>
                <c:ptCount val="10"/>
                <c:pt idx="0">
                  <c:v>Ł. Bułanowski [WIL]</c:v>
                </c:pt>
                <c:pt idx="1">
                  <c:v>G. Bańkowski [STA]</c:v>
                </c:pt>
                <c:pt idx="2">
                  <c:v>P. Durka [BYP]</c:v>
                </c:pt>
                <c:pt idx="3">
                  <c:v>L. Prokopczuk [KON]</c:v>
                </c:pt>
                <c:pt idx="4">
                  <c:v>D. Hentosz [KON]</c:v>
                </c:pt>
                <c:pt idx="5">
                  <c:v>K. Grzegorzak [HUT]</c:v>
                </c:pt>
                <c:pt idx="6">
                  <c:v>P. Targoński [HUT]</c:v>
                </c:pt>
                <c:pt idx="7">
                  <c:v>S. Gąsiorowski [ŁOD]</c:v>
                </c:pt>
                <c:pt idx="8">
                  <c:v>C. Mavity [WIL]</c:v>
                </c:pt>
                <c:pt idx="9">
                  <c:v>S. Saushkin [HUT]</c:v>
                </c:pt>
              </c:strCache>
            </c:strRef>
          </c:cat>
          <c:val>
            <c:numRef>
              <c:f>'DBI główne'!$Q$5:$Q$15</c:f>
              <c:numCache>
                <c:formatCode>0.0</c:formatCode>
                <c:ptCount val="10"/>
                <c:pt idx="0">
                  <c:v>16.333333333333332</c:v>
                </c:pt>
                <c:pt idx="1">
                  <c:v>16.5</c:v>
                </c:pt>
                <c:pt idx="2">
                  <c:v>16.5</c:v>
                </c:pt>
                <c:pt idx="3">
                  <c:v>19.666666666666668</c:v>
                </c:pt>
                <c:pt idx="4">
                  <c:v>19.75</c:v>
                </c:pt>
                <c:pt idx="5">
                  <c:v>20.333333333333332</c:v>
                </c:pt>
                <c:pt idx="6">
                  <c:v>24</c:v>
                </c:pt>
                <c:pt idx="7">
                  <c:v>24.000000000000004</c:v>
                </c:pt>
                <c:pt idx="8">
                  <c:v>25.25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rzutowe!Tabela przestawna7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Celne rzuty za 3pkt.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rzutowe'!$A$5:$A$21</c:f>
              <c:strCache>
                <c:ptCount val="16"/>
                <c:pt idx="0">
                  <c:v>Ł. Sulejewski [BYP]</c:v>
                </c:pt>
                <c:pt idx="1">
                  <c:v>M. Łukasiuk [ŁOD]</c:v>
                </c:pt>
                <c:pt idx="2">
                  <c:v>F. Siemiątkowski [ŁOD]</c:v>
                </c:pt>
                <c:pt idx="3">
                  <c:v>M. Matusik [KON]</c:v>
                </c:pt>
                <c:pt idx="4">
                  <c:v>J. Warda [BYP]</c:v>
                </c:pt>
                <c:pt idx="5">
                  <c:v>B. Kichuk [HUT]</c:v>
                </c:pt>
                <c:pt idx="6">
                  <c:v>T. Prażmowski [ŁOD]</c:v>
                </c:pt>
                <c:pt idx="7">
                  <c:v>K. Walaszczyk [STA]</c:v>
                </c:pt>
                <c:pt idx="8">
                  <c:v>W. Sienkowski [WIL]</c:v>
                </c:pt>
                <c:pt idx="9">
                  <c:v>K. Bereda [ŁOD]</c:v>
                </c:pt>
                <c:pt idx="10">
                  <c:v>C. Mavity [WIL]</c:v>
                </c:pt>
                <c:pt idx="11">
                  <c:v>K. Grzegorzak [HUT]</c:v>
                </c:pt>
                <c:pt idx="12">
                  <c:v>M. Leśniak [ŁOD]</c:v>
                </c:pt>
                <c:pt idx="13">
                  <c:v>L. Prokopczuk [KON]</c:v>
                </c:pt>
                <c:pt idx="14">
                  <c:v>D. Hentosz [KON]</c:v>
                </c:pt>
                <c:pt idx="15">
                  <c:v>D. Reguła [HUT]</c:v>
                </c:pt>
              </c:strCache>
            </c:strRef>
          </c:cat>
          <c:val>
            <c:numRef>
              <c:f>'DBI rzutowe'!$B$5:$B$21</c:f>
              <c:numCache>
                <c:formatCode>0.0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1.25</c:v>
                </c:pt>
                <c:pt idx="8">
                  <c:v>1.25</c:v>
                </c:pt>
                <c:pt idx="9">
                  <c:v>1.5</c:v>
                </c:pt>
                <c:pt idx="10">
                  <c:v>1.5</c:v>
                </c:pt>
                <c:pt idx="11">
                  <c:v>1.6666666666666667</c:v>
                </c:pt>
                <c:pt idx="12">
                  <c:v>2</c:v>
                </c:pt>
                <c:pt idx="13">
                  <c:v>2.6666666666666665</c:v>
                </c:pt>
                <c:pt idx="14">
                  <c:v>2.75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rzutowe!Tabela przestawna9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Celne rzuty osobiste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rzutowe'!$D$5:$D$15</c:f>
              <c:strCache>
                <c:ptCount val="10"/>
                <c:pt idx="0">
                  <c:v>T. Prażmowski [ŁOD]</c:v>
                </c:pt>
                <c:pt idx="1">
                  <c:v>C. Mavity [WIL]</c:v>
                </c:pt>
                <c:pt idx="2">
                  <c:v>M. Mąkowski [ŁOD]</c:v>
                </c:pt>
                <c:pt idx="3">
                  <c:v>R. Mućka [BYP]</c:v>
                </c:pt>
                <c:pt idx="4">
                  <c:v>F. Firas [STA]</c:v>
                </c:pt>
                <c:pt idx="5">
                  <c:v>Ł. Sulejewski [BYP]</c:v>
                </c:pt>
                <c:pt idx="6">
                  <c:v>D. Więcław [KON]</c:v>
                </c:pt>
                <c:pt idx="7">
                  <c:v>B. Okaczuk [STA]</c:v>
                </c:pt>
                <c:pt idx="8">
                  <c:v>D. Hentosz [KON]</c:v>
                </c:pt>
                <c:pt idx="9">
                  <c:v>S. Gąsiorowski [ŁOD]</c:v>
                </c:pt>
              </c:strCache>
            </c:strRef>
          </c:cat>
          <c:val>
            <c:numRef>
              <c:f>'DBI rzutowe'!$E$5:$E$15</c:f>
              <c:numCache>
                <c:formatCode>0.0</c:formatCode>
                <c:ptCount val="10"/>
                <c:pt idx="0">
                  <c:v>1.25</c:v>
                </c:pt>
                <c:pt idx="1">
                  <c:v>1.25</c:v>
                </c:pt>
                <c:pt idx="2">
                  <c:v>1.3333333333333333</c:v>
                </c:pt>
                <c:pt idx="3">
                  <c:v>1.3333333333333333</c:v>
                </c:pt>
                <c:pt idx="4">
                  <c:v>1.3333333333333333</c:v>
                </c:pt>
                <c:pt idx="5">
                  <c:v>1.5</c:v>
                </c:pt>
                <c:pt idx="6">
                  <c:v>2</c:v>
                </c:pt>
                <c:pt idx="7">
                  <c:v>2.6666666666666665</c:v>
                </c:pt>
                <c:pt idx="8">
                  <c:v>3.25</c:v>
                </c:pt>
                <c:pt idx="9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rzutowe!Tabela przestawna10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z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rzutowe'!$G$5:$G$15</c:f>
              <c:strCache>
                <c:ptCount val="10"/>
                <c:pt idx="0">
                  <c:v>B. Kichuk [HUT]</c:v>
                </c:pt>
                <c:pt idx="1">
                  <c:v>K. Grzegorzak [HUT]</c:v>
                </c:pt>
                <c:pt idx="2">
                  <c:v>L. Prokopczuk [KON]</c:v>
                </c:pt>
                <c:pt idx="3">
                  <c:v>G. Bańkowski [STA]</c:v>
                </c:pt>
                <c:pt idx="4">
                  <c:v>C. Mavity [WIL]</c:v>
                </c:pt>
                <c:pt idx="5">
                  <c:v>Ł. Bułanowski [WIL]</c:v>
                </c:pt>
                <c:pt idx="6">
                  <c:v>J. Kurek [BYP]</c:v>
                </c:pt>
                <c:pt idx="7">
                  <c:v>S. Gąsiorowski [ŁOD]</c:v>
                </c:pt>
                <c:pt idx="8">
                  <c:v>S. Saushkin [HUT]</c:v>
                </c:pt>
                <c:pt idx="9">
                  <c:v>A. Sikora [WIL]</c:v>
                </c:pt>
              </c:strCache>
            </c:strRef>
          </c:cat>
          <c:val>
            <c:numRef>
              <c:f>'DBI rzutowe'!$H$5:$H$15</c:f>
              <c:numCache>
                <c:formatCode>0.0%</c:formatCode>
                <c:ptCount val="10"/>
                <c:pt idx="0">
                  <c:v>0.38709677419354838</c:v>
                </c:pt>
                <c:pt idx="1">
                  <c:v>0.39534883720930231</c:v>
                </c:pt>
                <c:pt idx="2">
                  <c:v>0.39999999999999997</c:v>
                </c:pt>
                <c:pt idx="3">
                  <c:v>0.45098039215686275</c:v>
                </c:pt>
                <c:pt idx="4">
                  <c:v>0.453125</c:v>
                </c:pt>
                <c:pt idx="5">
                  <c:v>0.47058823529411759</c:v>
                </c:pt>
                <c:pt idx="6">
                  <c:v>0.5</c:v>
                </c:pt>
                <c:pt idx="7">
                  <c:v>0.51785714285714279</c:v>
                </c:pt>
                <c:pt idx="8">
                  <c:v>0.54054054054054057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rzutowe!Tabela przestawna11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True Shooting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rzutowe'!$J$5:$J$15</c:f>
              <c:strCache>
                <c:ptCount val="10"/>
                <c:pt idx="0">
                  <c:v>D. Hentosz [KON]</c:v>
                </c:pt>
                <c:pt idx="1">
                  <c:v>K. Grzegorzak [HUT]</c:v>
                </c:pt>
                <c:pt idx="2">
                  <c:v>G. Bańkowski [STA]</c:v>
                </c:pt>
                <c:pt idx="3">
                  <c:v>Ł. Bułanowski [WIL]</c:v>
                </c:pt>
                <c:pt idx="4">
                  <c:v>C. Mavity [WIL]</c:v>
                </c:pt>
                <c:pt idx="5">
                  <c:v>S. Saushkin [HUT]</c:v>
                </c:pt>
                <c:pt idx="6">
                  <c:v>S. Gąsiorowski [ŁOD]</c:v>
                </c:pt>
                <c:pt idx="7">
                  <c:v>L. Prokopczuk [KON]</c:v>
                </c:pt>
                <c:pt idx="8">
                  <c:v>J. Kurek [BYP]</c:v>
                </c:pt>
                <c:pt idx="9">
                  <c:v>A. Sikora [WIL]</c:v>
                </c:pt>
              </c:strCache>
            </c:strRef>
          </c:cat>
          <c:val>
            <c:numRef>
              <c:f>'DBI rzutowe'!$K$5:$K$15</c:f>
              <c:numCache>
                <c:formatCode>0.0%</c:formatCode>
                <c:ptCount val="10"/>
                <c:pt idx="0">
                  <c:v>0.45045045045045046</c:v>
                </c:pt>
                <c:pt idx="1">
                  <c:v>0.45353982300884954</c:v>
                </c:pt>
                <c:pt idx="2">
                  <c:v>0.47224363916730916</c:v>
                </c:pt>
                <c:pt idx="3">
                  <c:v>0.4837067209775967</c:v>
                </c:pt>
                <c:pt idx="4">
                  <c:v>0.5143112701252236</c:v>
                </c:pt>
                <c:pt idx="5">
                  <c:v>0.53496868475991644</c:v>
                </c:pt>
                <c:pt idx="6">
                  <c:v>0.54086538461538458</c:v>
                </c:pt>
                <c:pt idx="7">
                  <c:v>0.55031446540880502</c:v>
                </c:pt>
                <c:pt idx="8">
                  <c:v>0.60728744939271251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rzutowe!Tabela przestawna12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za 3pkt.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rzutowe'!$M$5:$M$17</c:f>
              <c:strCache>
                <c:ptCount val="12"/>
                <c:pt idx="0">
                  <c:v>M. Łukasiuk [ŁOD]</c:v>
                </c:pt>
                <c:pt idx="1">
                  <c:v>G. Bańkowski [STA]</c:v>
                </c:pt>
                <c:pt idx="2">
                  <c:v>R. Mućka [BYP]</c:v>
                </c:pt>
                <c:pt idx="3">
                  <c:v>W. Sienkowski [WIL]</c:v>
                </c:pt>
                <c:pt idx="4">
                  <c:v>K. Bereda [ŁOD]</c:v>
                </c:pt>
                <c:pt idx="5">
                  <c:v>C. Mavity [WIL]</c:v>
                </c:pt>
                <c:pt idx="6">
                  <c:v>T. Prażmowski [ŁOD]</c:v>
                </c:pt>
                <c:pt idx="7">
                  <c:v>J. Kurek [BYP]</c:v>
                </c:pt>
                <c:pt idx="8">
                  <c:v>L. Prokopczuk [KON]</c:v>
                </c:pt>
                <c:pt idx="9">
                  <c:v>Ł. Flaga [BYP]</c:v>
                </c:pt>
                <c:pt idx="10">
                  <c:v>P. Kozlowski [BYP]</c:v>
                </c:pt>
                <c:pt idx="11">
                  <c:v>M. Mąkowski [ŁOD]</c:v>
                </c:pt>
              </c:strCache>
            </c:strRef>
          </c:cat>
          <c:val>
            <c:numRef>
              <c:f>'DBI rzutowe'!$N$5:$N$17</c:f>
              <c:numCache>
                <c:formatCode>0%</c:formatCode>
                <c:ptCount val="12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0.35714285714285715</c:v>
                </c:pt>
                <c:pt idx="4">
                  <c:v>0.375</c:v>
                </c:pt>
                <c:pt idx="5">
                  <c:v>0.375</c:v>
                </c:pt>
                <c:pt idx="6">
                  <c:v>0.4</c:v>
                </c:pt>
                <c:pt idx="7">
                  <c:v>0.42857142857142855</c:v>
                </c:pt>
                <c:pt idx="8">
                  <c:v>0.47058823529411759</c:v>
                </c:pt>
                <c:pt idx="9">
                  <c:v>0.5</c:v>
                </c:pt>
                <c:pt idx="10">
                  <c:v>0.5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rzutowe!Tabela przestawna13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Points per Shot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ysClr val="window" lastClr="FFFFFF">
              <a:lumMod val="75000"/>
            </a:sys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rzutowe'!$P$5:$P$15</c:f>
              <c:strCache>
                <c:ptCount val="10"/>
                <c:pt idx="0">
                  <c:v>B. Okaczuk [STA]</c:v>
                </c:pt>
                <c:pt idx="1">
                  <c:v>K. Bereda [ŁOD]</c:v>
                </c:pt>
                <c:pt idx="2">
                  <c:v>D. Hentosz [KON]</c:v>
                </c:pt>
                <c:pt idx="3">
                  <c:v>C. Mavity [WIL]</c:v>
                </c:pt>
                <c:pt idx="4">
                  <c:v>S. Saushkin [HUT]</c:v>
                </c:pt>
                <c:pt idx="5">
                  <c:v>Ł. Bułanowski [WIL]</c:v>
                </c:pt>
                <c:pt idx="6">
                  <c:v>L. Prokopczuk [KON]</c:v>
                </c:pt>
                <c:pt idx="7">
                  <c:v>S. Gąsiorowski [ŁOD]</c:v>
                </c:pt>
                <c:pt idx="8">
                  <c:v>J. Kurek [BYP]</c:v>
                </c:pt>
                <c:pt idx="9">
                  <c:v>A. Sikora [WIL]</c:v>
                </c:pt>
              </c:strCache>
            </c:strRef>
          </c:cat>
          <c:val>
            <c:numRef>
              <c:f>'DBI rzutowe'!$Q$5:$Q$15</c:f>
              <c:numCache>
                <c:formatCode>0.00</c:formatCode>
                <c:ptCount val="10"/>
                <c:pt idx="0">
                  <c:v>0.96153846153846168</c:v>
                </c:pt>
                <c:pt idx="1">
                  <c:v>1</c:v>
                </c:pt>
                <c:pt idx="2">
                  <c:v>1</c:v>
                </c:pt>
                <c:pt idx="3">
                  <c:v>1.078125</c:v>
                </c:pt>
                <c:pt idx="4">
                  <c:v>1.1081081081081081</c:v>
                </c:pt>
                <c:pt idx="5">
                  <c:v>1.1176470588235292</c:v>
                </c:pt>
                <c:pt idx="6">
                  <c:v>1.1199999999999999</c:v>
                </c:pt>
                <c:pt idx="7">
                  <c:v>1.2857142857142856</c:v>
                </c:pt>
                <c:pt idx="8">
                  <c:v>1.3333333333333333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pozostałe!Tabela przestawna14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Usage%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pozostałe'!$A$5:$A$15</c:f>
              <c:strCache>
                <c:ptCount val="10"/>
                <c:pt idx="0">
                  <c:v>G. Bańkowski [STA]</c:v>
                </c:pt>
                <c:pt idx="1">
                  <c:v>K. Grzegorzak [HUT]</c:v>
                </c:pt>
                <c:pt idx="2">
                  <c:v>D. Sobański [WIL]</c:v>
                </c:pt>
                <c:pt idx="3">
                  <c:v>B. Kichuk [HUT]</c:v>
                </c:pt>
                <c:pt idx="4">
                  <c:v>C. Mavity [WIL]</c:v>
                </c:pt>
                <c:pt idx="5">
                  <c:v>S. Saushkin [HUT]</c:v>
                </c:pt>
                <c:pt idx="6">
                  <c:v>S. Gąsiorowski [ŁOD]</c:v>
                </c:pt>
                <c:pt idx="7">
                  <c:v>Ł. Sulejewski [BYP]</c:v>
                </c:pt>
                <c:pt idx="8">
                  <c:v>D. Hentosz [KON]</c:v>
                </c:pt>
                <c:pt idx="9">
                  <c:v>D. Reguła [HUT]</c:v>
                </c:pt>
              </c:strCache>
            </c:strRef>
          </c:cat>
          <c:val>
            <c:numRef>
              <c:f>'DBI pozostałe'!$B$5:$B$15</c:f>
              <c:numCache>
                <c:formatCode>0.0%</c:formatCode>
                <c:ptCount val="10"/>
                <c:pt idx="0">
                  <c:v>0.18502710084030766</c:v>
                </c:pt>
                <c:pt idx="1">
                  <c:v>0.20207351163955387</c:v>
                </c:pt>
                <c:pt idx="2">
                  <c:v>0.21790637585396991</c:v>
                </c:pt>
                <c:pt idx="3">
                  <c:v>0.21997303764844856</c:v>
                </c:pt>
                <c:pt idx="4">
                  <c:v>0.2220606504951726</c:v>
                </c:pt>
                <c:pt idx="5">
                  <c:v>0.24992741434356858</c:v>
                </c:pt>
                <c:pt idx="6">
                  <c:v>0.28611900107024085</c:v>
                </c:pt>
                <c:pt idx="7">
                  <c:v>0.28839296740909642</c:v>
                </c:pt>
                <c:pt idx="8">
                  <c:v>0.33533371820253155</c:v>
                </c:pt>
                <c:pt idx="9">
                  <c:v>0.43567332792792546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pozostałe!Tabela przestawna15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Player GameScore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pozostałe'!$D$5:$D$15</c:f>
              <c:strCache>
                <c:ptCount val="10"/>
                <c:pt idx="0">
                  <c:v>B. Kichuk [HUT]</c:v>
                </c:pt>
                <c:pt idx="1">
                  <c:v>G. Bańkowski [STA]</c:v>
                </c:pt>
                <c:pt idx="2">
                  <c:v>Ł. Bułanowski [WIL]</c:v>
                </c:pt>
                <c:pt idx="3">
                  <c:v>L. Prokopczuk [KON]</c:v>
                </c:pt>
                <c:pt idx="4">
                  <c:v>P. Targoński [HUT]</c:v>
                </c:pt>
                <c:pt idx="5">
                  <c:v>K. Grzegorzak [HUT]</c:v>
                </c:pt>
                <c:pt idx="6">
                  <c:v>D. Hentosz [KON]</c:v>
                </c:pt>
                <c:pt idx="7">
                  <c:v>C. Mavity [WIL]</c:v>
                </c:pt>
                <c:pt idx="8">
                  <c:v>S. Gąsiorowski [ŁOD]</c:v>
                </c:pt>
                <c:pt idx="9">
                  <c:v>S. Saushkin [HUT]</c:v>
                </c:pt>
              </c:strCache>
            </c:strRef>
          </c:cat>
          <c:val>
            <c:numRef>
              <c:f>'DBI pozostałe'!$E$5:$E$15</c:f>
              <c:numCache>
                <c:formatCode>0.0</c:formatCode>
                <c:ptCount val="10"/>
                <c:pt idx="0">
                  <c:v>10.149999999999999</c:v>
                </c:pt>
                <c:pt idx="1">
                  <c:v>11.250000000000004</c:v>
                </c:pt>
                <c:pt idx="2">
                  <c:v>11.533333333333331</c:v>
                </c:pt>
                <c:pt idx="3">
                  <c:v>13.066666666666668</c:v>
                </c:pt>
                <c:pt idx="4">
                  <c:v>14.45</c:v>
                </c:pt>
                <c:pt idx="5">
                  <c:v>14.866666666666667</c:v>
                </c:pt>
                <c:pt idx="6">
                  <c:v>15.499999999999998</c:v>
                </c:pt>
                <c:pt idx="7">
                  <c:v>19.374999999999996</c:v>
                </c:pt>
                <c:pt idx="8">
                  <c:v>20.8</c:v>
                </c:pt>
                <c:pt idx="9">
                  <c:v>23.400000000000002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pozostałe!Tabela przestawna16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Efficiency per minute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pozostałe'!$G$5:$G$15</c:f>
              <c:strCache>
                <c:ptCount val="10"/>
                <c:pt idx="0">
                  <c:v>P. Piotrowski [BYP]</c:v>
                </c:pt>
                <c:pt idx="1">
                  <c:v>Ł. Flaga [BYP]</c:v>
                </c:pt>
                <c:pt idx="2">
                  <c:v>F. Firas [STA]</c:v>
                </c:pt>
                <c:pt idx="3">
                  <c:v>S. Saushkin [HUT]</c:v>
                </c:pt>
                <c:pt idx="4">
                  <c:v>L. Prokopczuk [KON]</c:v>
                </c:pt>
                <c:pt idx="5">
                  <c:v>C. Mavity [WIL]</c:v>
                </c:pt>
                <c:pt idx="6">
                  <c:v>P. Kozlowski [BYP]</c:v>
                </c:pt>
                <c:pt idx="7">
                  <c:v>K. Bereda [ŁOD]</c:v>
                </c:pt>
                <c:pt idx="8">
                  <c:v>P. Durka [BYP]</c:v>
                </c:pt>
                <c:pt idx="9">
                  <c:v>Ł. Bułanowski [WIL]</c:v>
                </c:pt>
              </c:strCache>
            </c:strRef>
          </c:cat>
          <c:val>
            <c:numRef>
              <c:f>'DBI pozostałe'!$H$5:$H$15</c:f>
              <c:numCache>
                <c:formatCode>0.000</c:formatCode>
                <c:ptCount val="10"/>
                <c:pt idx="0">
                  <c:v>0.2</c:v>
                </c:pt>
                <c:pt idx="1">
                  <c:v>0.20114942528735633</c:v>
                </c:pt>
                <c:pt idx="2">
                  <c:v>0.20588235294117646</c:v>
                </c:pt>
                <c:pt idx="3">
                  <c:v>0.21794871794871795</c:v>
                </c:pt>
                <c:pt idx="4">
                  <c:v>0.23039215686274511</c:v>
                </c:pt>
                <c:pt idx="5">
                  <c:v>0.24647887323943662</c:v>
                </c:pt>
                <c:pt idx="6">
                  <c:v>0.25675675675675674</c:v>
                </c:pt>
                <c:pt idx="7">
                  <c:v>0.27380952380952384</c:v>
                </c:pt>
                <c:pt idx="8">
                  <c:v>0.31914893617021278</c:v>
                </c:pt>
                <c:pt idx="9">
                  <c:v>0.39655172413793105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pozostałe!Tabela przestawna17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Plays / 40min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pozostałe'!$J$5:$J$15</c:f>
              <c:strCache>
                <c:ptCount val="10"/>
                <c:pt idx="0">
                  <c:v>J. Karolczuk [WIL]</c:v>
                </c:pt>
                <c:pt idx="1">
                  <c:v>S. Gąsiorowski [ŁOD]</c:v>
                </c:pt>
                <c:pt idx="2">
                  <c:v>V. Kurshynov [HUT]</c:v>
                </c:pt>
                <c:pt idx="3">
                  <c:v>F. Siemiątkowski [ŁOD]</c:v>
                </c:pt>
                <c:pt idx="4">
                  <c:v>P. Durka [BYP]</c:v>
                </c:pt>
                <c:pt idx="5">
                  <c:v>C. Mavity [WIL]</c:v>
                </c:pt>
                <c:pt idx="6">
                  <c:v>P. Kozlowski [BYP]</c:v>
                </c:pt>
                <c:pt idx="7">
                  <c:v>S. Saushkin [HUT]</c:v>
                </c:pt>
                <c:pt idx="8">
                  <c:v>K. Bereda [ŁOD]</c:v>
                </c:pt>
                <c:pt idx="9">
                  <c:v>Ł. Bułanowski [WIL]</c:v>
                </c:pt>
              </c:strCache>
            </c:strRef>
          </c:cat>
          <c:val>
            <c:numRef>
              <c:f>'DBI pozostałe'!$K$5:$K$15</c:f>
              <c:numCache>
                <c:formatCode>0.00</c:formatCode>
                <c:ptCount val="10"/>
                <c:pt idx="0">
                  <c:v>4.1666666666666661</c:v>
                </c:pt>
                <c:pt idx="1">
                  <c:v>4.166666666666667</c:v>
                </c:pt>
                <c:pt idx="2">
                  <c:v>4.556962025316456</c:v>
                </c:pt>
                <c:pt idx="3">
                  <c:v>4.7457627118644066</c:v>
                </c:pt>
                <c:pt idx="4">
                  <c:v>5.1063829787234045</c:v>
                </c:pt>
                <c:pt idx="5">
                  <c:v>5.915492957746479</c:v>
                </c:pt>
                <c:pt idx="6">
                  <c:v>5.9459459459459456</c:v>
                </c:pt>
                <c:pt idx="7">
                  <c:v>6.6666666666666661</c:v>
                </c:pt>
                <c:pt idx="8">
                  <c:v>6.6666666666666661</c:v>
                </c:pt>
                <c:pt idx="9">
                  <c:v>9.6551724137931032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pozostałe!Tabela przestawna18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pozostałe'!$M$5:$M$23</c:f>
              <c:strCache>
                <c:ptCount val="18"/>
                <c:pt idx="0">
                  <c:v>Ł. Flaga [BYP]</c:v>
                </c:pt>
                <c:pt idx="1">
                  <c:v>M. Karczmarczyk [WIL]</c:v>
                </c:pt>
                <c:pt idx="2">
                  <c:v>M. Leśniak [ŁOD]</c:v>
                </c:pt>
                <c:pt idx="3">
                  <c:v>F. Siemiątkowski [ŁOD]</c:v>
                </c:pt>
                <c:pt idx="4">
                  <c:v>P. Targoński [HUT]</c:v>
                </c:pt>
                <c:pt idx="5">
                  <c:v>K. Walaszczyk [STA]</c:v>
                </c:pt>
                <c:pt idx="6">
                  <c:v>S. Gonchar [HUT]</c:v>
                </c:pt>
                <c:pt idx="7">
                  <c:v>J. Warda [BYP]</c:v>
                </c:pt>
                <c:pt idx="8">
                  <c:v>W. Sienkowski [WIL]</c:v>
                </c:pt>
                <c:pt idx="9">
                  <c:v>C. Mavity [WIL]</c:v>
                </c:pt>
                <c:pt idx="10">
                  <c:v>F. Firas [STA]</c:v>
                </c:pt>
                <c:pt idx="11">
                  <c:v>D. Sobański [WIL]</c:v>
                </c:pt>
                <c:pt idx="12">
                  <c:v>K. Grzegorzak [HUT]</c:v>
                </c:pt>
                <c:pt idx="13">
                  <c:v>J. Olszewski [STA]</c:v>
                </c:pt>
                <c:pt idx="14">
                  <c:v>T. Kowalczyk [STA]</c:v>
                </c:pt>
                <c:pt idx="15">
                  <c:v>P. Durka [BYP]</c:v>
                </c:pt>
                <c:pt idx="16">
                  <c:v>D. Hentosz [KON]</c:v>
                </c:pt>
                <c:pt idx="17">
                  <c:v>Ł. Bułanowski [WIL]</c:v>
                </c:pt>
              </c:strCache>
            </c:strRef>
          </c:cat>
          <c:val>
            <c:numRef>
              <c:f>'DBI pozostałe'!$N$5:$N$23</c:f>
              <c:numCache>
                <c:formatCode>0.0</c:formatCode>
                <c:ptCount val="18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1.6666666666666667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3.25</c:v>
                </c:pt>
                <c:pt idx="17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public.xlsx]DBI pozostałe!Tabela przestawna19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 / 40min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E6E6">
              <a:lumMod val="2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E7E6E6">
                <a:lumMod val="2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pozostałe'!$P$5:$P$15</c:f>
              <c:strCache>
                <c:ptCount val="10"/>
                <c:pt idx="0">
                  <c:v>K. Bereda [ŁOD]</c:v>
                </c:pt>
                <c:pt idx="1">
                  <c:v>B. Okaczuk [STA]</c:v>
                </c:pt>
                <c:pt idx="2">
                  <c:v>L. Prokopczuk [KON]</c:v>
                </c:pt>
                <c:pt idx="3">
                  <c:v>P. Targoński [HUT]</c:v>
                </c:pt>
                <c:pt idx="4">
                  <c:v>G. Bańkowski [STA]</c:v>
                </c:pt>
                <c:pt idx="5">
                  <c:v>P. Durka [BYP]</c:v>
                </c:pt>
                <c:pt idx="6">
                  <c:v>C. Mavity [WIL]</c:v>
                </c:pt>
                <c:pt idx="7">
                  <c:v>S. Saushkin [HUT]</c:v>
                </c:pt>
                <c:pt idx="8">
                  <c:v>S. Gąsiorowski [ŁOD]</c:v>
                </c:pt>
                <c:pt idx="9">
                  <c:v>Ł. Bułanowski [WIL]</c:v>
                </c:pt>
              </c:strCache>
            </c:strRef>
          </c:cat>
          <c:val>
            <c:numRef>
              <c:f>'DBI pozostałe'!$Q$5:$Q$15</c:f>
              <c:numCache>
                <c:formatCode>0.0</c:formatCode>
                <c:ptCount val="10"/>
                <c:pt idx="0">
                  <c:v>20.952380952380953</c:v>
                </c:pt>
                <c:pt idx="1">
                  <c:v>22.857142857142858</c:v>
                </c:pt>
                <c:pt idx="2">
                  <c:v>23.137254901960787</c:v>
                </c:pt>
                <c:pt idx="3">
                  <c:v>24</c:v>
                </c:pt>
                <c:pt idx="4">
                  <c:v>27.5</c:v>
                </c:pt>
                <c:pt idx="5">
                  <c:v>28.085106382978722</c:v>
                </c:pt>
                <c:pt idx="6">
                  <c:v>28.450704225352116</c:v>
                </c:pt>
                <c:pt idx="7">
                  <c:v>28.717948717948715</c:v>
                </c:pt>
                <c:pt idx="8">
                  <c:v>30.000000000000004</c:v>
                </c:pt>
                <c:pt idx="9">
                  <c:v>33.793103448275865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4 kolejka public.xlsx]DBZ główne!Tabela przestawna21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z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FFB9B9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00B0F0"/>
          </a:solidFill>
          <a:ln>
            <a:noFill/>
          </a:ln>
          <a:effectLst/>
        </c:spPr>
      </c:pivotFmt>
      <c:pivotFmt>
        <c:idx val="14"/>
        <c:spPr>
          <a:solidFill>
            <a:srgbClr val="D5FBF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główne'!$E$3:$E$4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AF-48F0-8AFB-551605FF47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AF-48F0-8AFB-551605FF47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C00-4B34-8A66-C770A430B64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C00-4B34-8A66-C770A430B64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C00-4B34-8A66-C770A430B6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AF-48F0-8AFB-551605FF4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główne'!$E$5:$E$11</c:f>
              <c:numCache>
                <c:formatCode>0.0</c:formatCode>
                <c:ptCount val="6"/>
                <c:pt idx="0">
                  <c:v>17.25</c:v>
                </c:pt>
                <c:pt idx="1">
                  <c:v>24.25</c:v>
                </c:pt>
                <c:pt idx="2">
                  <c:v>18</c:v>
                </c:pt>
                <c:pt idx="3">
                  <c:v>24</c:v>
                </c:pt>
                <c:pt idx="4">
                  <c:v>18.75</c:v>
                </c:pt>
                <c:pt idx="5">
                  <c:v>22.75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'DBZ główne'!$F$3:$F$4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F-48F0-8AFB-551605FF47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F-48F0-8AFB-551605FF47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C00-4B34-8A66-C770A430B64B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C00-4B34-8A66-C770A430B64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00-4B34-8A66-C770A430B6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F-48F0-8AFB-551605FF4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główne'!$F$5:$F$11</c:f>
              <c:numCache>
                <c:formatCode>0.0</c:formatCode>
                <c:ptCount val="6"/>
                <c:pt idx="0">
                  <c:v>59</c:v>
                </c:pt>
                <c:pt idx="1">
                  <c:v>70.75</c:v>
                </c:pt>
                <c:pt idx="2">
                  <c:v>65</c:v>
                </c:pt>
                <c:pt idx="3">
                  <c:v>74.25</c:v>
                </c:pt>
                <c:pt idx="4">
                  <c:v>67</c:v>
                </c:pt>
                <c:pt idx="5">
                  <c:v>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'DBZ główne'!$G$3:$G$4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główne'!$G$5:$G$11</c:f>
              <c:numCache>
                <c:formatCode>0.0%</c:formatCode>
                <c:ptCount val="6"/>
                <c:pt idx="0">
                  <c:v>0.2923728813559322</c:v>
                </c:pt>
                <c:pt idx="1">
                  <c:v>0.34275618374558303</c:v>
                </c:pt>
                <c:pt idx="2">
                  <c:v>0.27692307692307694</c:v>
                </c:pt>
                <c:pt idx="3">
                  <c:v>0.32323232323232326</c:v>
                </c:pt>
                <c:pt idx="4">
                  <c:v>0.27985074626865669</c:v>
                </c:pt>
                <c:pt idx="5">
                  <c:v>0.31818181818181818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za 3pkt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>
            <a:noFill/>
          </a:ln>
          <a:effectLst/>
        </c:spPr>
      </c:pivotFmt>
      <c:pivotFmt>
        <c:idx val="7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rgbClr val="FFB9B9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rgbClr val="70AD47"/>
          </a:solidFill>
          <a:ln>
            <a:noFill/>
          </a:ln>
          <a:effectLst/>
        </c:spPr>
      </c:pivotFmt>
      <c:pivotFmt>
        <c:idx val="15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6"/>
        <c:spPr>
          <a:solidFill>
            <a:srgbClr val="D5FBFF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główne'!$J$3:$J$4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13-490D-A22A-A2C2D694B10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713-490D-A22A-A2C2D694B1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B0B-42DA-ACA2-D1D0C7F3B6E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B0B-42DA-ACA2-D1D0C7F3B6E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B0B-42DA-ACA2-D1D0C7F3B6EE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13-490D-A22A-A2C2D694B1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główne'!$J$5:$J$11</c:f>
              <c:numCache>
                <c:formatCode>0.0</c:formatCode>
                <c:ptCount val="6"/>
                <c:pt idx="0">
                  <c:v>3.75</c:v>
                </c:pt>
                <c:pt idx="1">
                  <c:v>5.25</c:v>
                </c:pt>
                <c:pt idx="2">
                  <c:v>7</c:v>
                </c:pt>
                <c:pt idx="3">
                  <c:v>6.25</c:v>
                </c:pt>
                <c:pt idx="4">
                  <c:v>3.25</c:v>
                </c:pt>
                <c:pt idx="5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'DBZ główne'!$K$3:$K$4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rgbClr val="4472C4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13-490D-A22A-A2C2D694B10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13-490D-A22A-A2C2D694B1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B0B-42DA-ACA2-D1D0C7F3B6EE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B0B-42DA-ACA2-D1D0C7F3B6E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B0B-42DA-ACA2-D1D0C7F3B6EE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13-490D-A22A-A2C2D694B1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główne'!$K$5:$K$11</c:f>
              <c:numCache>
                <c:formatCode>0.0</c:formatCode>
                <c:ptCount val="6"/>
                <c:pt idx="0">
                  <c:v>18.5</c:v>
                </c:pt>
                <c:pt idx="1">
                  <c:v>25.75</c:v>
                </c:pt>
                <c:pt idx="2">
                  <c:v>30.25</c:v>
                </c:pt>
                <c:pt idx="3">
                  <c:v>25.25</c:v>
                </c:pt>
                <c:pt idx="4">
                  <c:v>20</c:v>
                </c:pt>
                <c:pt idx="5">
                  <c:v>15.75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'DBZ główne'!$L$3:$L$4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główne'!$L$5:$L$11</c:f>
              <c:numCache>
                <c:formatCode>0.0%</c:formatCode>
                <c:ptCount val="6"/>
                <c:pt idx="0">
                  <c:v>0.20270270270270271</c:v>
                </c:pt>
                <c:pt idx="1">
                  <c:v>0.20388349514563106</c:v>
                </c:pt>
                <c:pt idx="2">
                  <c:v>0.23140495867768596</c:v>
                </c:pt>
                <c:pt idx="3">
                  <c:v>0.24752475247524752</c:v>
                </c:pt>
                <c:pt idx="4">
                  <c:v>0.16250000000000001</c:v>
                </c:pt>
                <c:pt idx="5">
                  <c:v>0.23809523809523808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osobistych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>
            <a:noFill/>
          </a:ln>
          <a:effectLst/>
        </c:spPr>
      </c:pivotFmt>
      <c:pivotFmt>
        <c:idx val="7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rgbClr val="FFB9B9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rgbClr val="70AD47"/>
          </a:solidFill>
          <a:ln>
            <a:noFill/>
          </a:ln>
          <a:effectLst/>
        </c:spPr>
      </c:pivotFmt>
      <c:pivotFmt>
        <c:idx val="15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6"/>
        <c:spPr>
          <a:solidFill>
            <a:srgbClr val="D5FBFF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główne'!$O$3:$O$4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rgbClr val="ED7D31">
                <a:lumMod val="75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31-46BE-9CA6-64024E557C10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031-46BE-9CA6-64024E557C1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592-4BB5-883A-4B2B9A13AE51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92-4BB5-883A-4B2B9A13AE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592-4BB5-883A-4B2B9A13AE51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31-46BE-9CA6-64024E557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główne'!$O$5:$O$11</c:f>
              <c:numCache>
                <c:formatCode>0.0</c:formatCode>
                <c:ptCount val="6"/>
                <c:pt idx="0">
                  <c:v>6.5</c:v>
                </c:pt>
                <c:pt idx="1">
                  <c:v>3.75</c:v>
                </c:pt>
                <c:pt idx="2">
                  <c:v>6.25</c:v>
                </c:pt>
                <c:pt idx="3">
                  <c:v>9.25</c:v>
                </c:pt>
                <c:pt idx="4">
                  <c:v>3.75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'DBZ główne'!$P$3:$P$4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31-46BE-9CA6-64024E557C1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592-4BB5-883A-4B2B9A13AE51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92-4BB5-883A-4B2B9A13AE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92-4BB5-883A-4B2B9A13AE51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1-46BE-9CA6-64024E557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główne'!$P$5:$P$11</c:f>
              <c:numCache>
                <c:formatCode>0.0</c:formatCode>
                <c:ptCount val="6"/>
                <c:pt idx="0">
                  <c:v>12.5</c:v>
                </c:pt>
                <c:pt idx="1">
                  <c:v>8</c:v>
                </c:pt>
                <c:pt idx="2">
                  <c:v>11.25</c:v>
                </c:pt>
                <c:pt idx="3">
                  <c:v>18.5</c:v>
                </c:pt>
                <c:pt idx="4">
                  <c:v>6.5</c:v>
                </c:pt>
                <c:pt idx="5">
                  <c:v>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'DBZ główne'!$Q$3:$Q$4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główne'!$Q$5:$Q$11</c:f>
              <c:numCache>
                <c:formatCode>0.0%</c:formatCode>
                <c:ptCount val="6"/>
                <c:pt idx="0">
                  <c:v>0.52</c:v>
                </c:pt>
                <c:pt idx="1">
                  <c:v>0.46875</c:v>
                </c:pt>
                <c:pt idx="2">
                  <c:v>0.55555555555555558</c:v>
                </c:pt>
                <c:pt idx="3">
                  <c:v>0.5</c:v>
                </c:pt>
                <c:pt idx="4">
                  <c:v>0.57692307692307687</c:v>
                </c:pt>
                <c:pt idx="5">
                  <c:v>0.44444444444444442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rgbClr val="70AD47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BF-4FC9-B3D5-5ABBF13640B1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0BF-4FC9-B3D5-5ABBF13640B1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BF-4FC9-B3D5-5ABBF13640B1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0BF-4FC9-B3D5-5ABBF13640B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BF-4FC9-B3D5-5ABBF13640B1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AB-47A1-A336-E07FF64C09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główne'!$A$5:$A$11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Koniki Polne Łąki</c:v>
                </c:pt>
                <c:pt idx="3">
                  <c:v>Wilki Radzymin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'DBZ główne'!$B$5:$B$11</c:f>
              <c:numCache>
                <c:formatCode>0.0</c:formatCode>
                <c:ptCount val="6"/>
                <c:pt idx="0">
                  <c:v>44.5</c:v>
                </c:pt>
                <c:pt idx="1">
                  <c:v>44.75</c:v>
                </c:pt>
                <c:pt idx="2">
                  <c:v>49.25</c:v>
                </c:pt>
                <c:pt idx="3">
                  <c:v>52.25</c:v>
                </c:pt>
                <c:pt idx="4">
                  <c:v>58</c:v>
                </c:pt>
                <c:pt idx="5">
                  <c:v>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główne'!$W$3:$W$4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B9-4BDD-91CF-5EE56E87FBD3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B9-4BDD-91CF-5EE56E87FBD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B9-4BDD-91CF-5EE56E87FBD3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CA8-4267-87D3-5B62B32D809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B9-4BDD-91CF-5EE56E87FBD3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B9-4BDD-91CF-5EE56E87FB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główne'!$V$5:$V$11</c:f>
              <c:strCache>
                <c:ptCount val="6"/>
                <c:pt idx="0">
                  <c:v>Bycza Pułapka</c:v>
                </c:pt>
                <c:pt idx="1">
                  <c:v>Koniki Polne Łąki</c:v>
                </c:pt>
                <c:pt idx="2">
                  <c:v>Stare Byki</c:v>
                </c:pt>
                <c:pt idx="3">
                  <c:v>Wilki Radzymin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główne'!$W$5:$W$11</c:f>
              <c:numCache>
                <c:formatCode>0.0</c:formatCode>
                <c:ptCount val="6"/>
                <c:pt idx="0">
                  <c:v>60.25</c:v>
                </c:pt>
                <c:pt idx="1">
                  <c:v>62.25</c:v>
                </c:pt>
                <c:pt idx="2">
                  <c:v>63</c:v>
                </c:pt>
                <c:pt idx="3">
                  <c:v>70.5</c:v>
                </c:pt>
                <c:pt idx="4">
                  <c:v>78.75</c:v>
                </c:pt>
                <c:pt idx="5">
                  <c:v>79.25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Asysty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główne'!$Z$3:$Z$4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6F-41A0-9976-C7CD17FF531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56F-41A0-9976-C7CD17FF531E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6F-41A0-9976-C7CD17FF531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56F-41A0-9976-C7CD17FF531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B7-4547-B67F-2F315002D6CA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6F-41A0-9976-C7CD17FF53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główne'!$Y$5:$Y$11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Koniki Polne Łąki</c:v>
                </c:pt>
                <c:pt idx="3">
                  <c:v>Bycza Pułapka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główne'!$Z$5:$Z$11</c:f>
              <c:numCache>
                <c:formatCode>0.0</c:formatCode>
                <c:ptCount val="6"/>
                <c:pt idx="0">
                  <c:v>11</c:v>
                </c:pt>
                <c:pt idx="1">
                  <c:v>11.5</c:v>
                </c:pt>
                <c:pt idx="2">
                  <c:v>11.75</c:v>
                </c:pt>
                <c:pt idx="3">
                  <c:v>11.75</c:v>
                </c:pt>
                <c:pt idx="4">
                  <c:v>14</c:v>
                </c:pt>
                <c:pt idx="5">
                  <c:v>16.25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True Sho</a:t>
            </a:r>
            <a:r>
              <a:rPr lang="pl-PL" b="1"/>
              <a:t>o</a:t>
            </a:r>
            <a:r>
              <a:rPr lang="en-US" b="1"/>
              <a:t>ting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główne'!$AC$3:$AC$4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10-4277-99A2-A33CF76E382D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10-4277-99A2-A33CF76E382D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10-4277-99A2-A33CF76E382D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E9-4670-8599-AF052FE7082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310-4277-99A2-A33CF76E382D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10-4277-99A2-A33CF76E38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główne'!$AB$5:$AB$11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Wilki Radzymin</c:v>
                </c:pt>
                <c:pt idx="3">
                  <c:v>Koniki Polne Łąki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główne'!$AC$5:$AC$11</c:f>
              <c:numCache>
                <c:formatCode>0.0%</c:formatCode>
                <c:ptCount val="6"/>
                <c:pt idx="0">
                  <c:v>0.31849413111938163</c:v>
                </c:pt>
                <c:pt idx="1">
                  <c:v>0.34689922480620156</c:v>
                </c:pt>
                <c:pt idx="2">
                  <c:v>0.35081240768094535</c:v>
                </c:pt>
                <c:pt idx="3">
                  <c:v>0.35203716940671909</c:v>
                </c:pt>
                <c:pt idx="4">
                  <c:v>0.3853623012501517</c:v>
                </c:pt>
                <c:pt idx="5">
                  <c:v>0.39046721421839237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Offensive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główne'!$AF$3:$AF$4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82-4575-9D01-4A6BB7BA336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82-4575-9D01-4A6BB7BA3368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2-4575-9D01-4A6BB7BA3368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3-4058-AE81-ECEE77C293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82-4575-9D01-4A6BB7BA3368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82-4575-9D01-4A6BB7BA3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główne'!$AE$5:$AE$11</c:f>
              <c:strCache>
                <c:ptCount val="6"/>
                <c:pt idx="0">
                  <c:v>Koniki Polne Łąki</c:v>
                </c:pt>
                <c:pt idx="1">
                  <c:v>Stare Byki</c:v>
                </c:pt>
                <c:pt idx="2">
                  <c:v>Bycza Pułapka</c:v>
                </c:pt>
                <c:pt idx="3">
                  <c:v>Wilki Radzymin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główne'!$AF$5:$AF$11</c:f>
              <c:numCache>
                <c:formatCode>0.0</c:formatCode>
                <c:ptCount val="6"/>
                <c:pt idx="0">
                  <c:v>80.8039376538146</c:v>
                </c:pt>
                <c:pt idx="1">
                  <c:v>81.115566897557429</c:v>
                </c:pt>
                <c:pt idx="2">
                  <c:v>81.36363636363636</c:v>
                </c:pt>
                <c:pt idx="3">
                  <c:v>87.859424920127793</c:v>
                </c:pt>
                <c:pt idx="4">
                  <c:v>91.511745208243269</c:v>
                </c:pt>
                <c:pt idx="5">
                  <c:v>96.233615397378472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główne'!$AI$3:$AI$4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D1-4E1C-B87C-50762D131E83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D1-4E1C-B87C-50762D131E83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9C-4D12-A4A2-A842CB24BE84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D1-4E1C-B87C-50762D131E83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D1-4E1C-B87C-50762D131E8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1-4E1C-B87C-50762D131E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główne'!$AH$5:$AH$11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Wilki Radzymin</c:v>
                </c:pt>
                <c:pt idx="4">
                  <c:v>Stare Byki</c:v>
                </c:pt>
                <c:pt idx="5">
                  <c:v>Łodzie Podwodne</c:v>
                </c:pt>
              </c:strCache>
            </c:strRef>
          </c:cat>
          <c:val>
            <c:numRef>
              <c:f>'DBZ główne'!$AI$5:$AI$11</c:f>
              <c:numCache>
                <c:formatCode>0.0</c:formatCode>
                <c:ptCount val="6"/>
                <c:pt idx="0">
                  <c:v>96.112667759262862</c:v>
                </c:pt>
                <c:pt idx="1">
                  <c:v>95.208076229376019</c:v>
                </c:pt>
                <c:pt idx="2">
                  <c:v>85.523719034466822</c:v>
                </c:pt>
                <c:pt idx="3">
                  <c:v>81.988520953792815</c:v>
                </c:pt>
                <c:pt idx="4">
                  <c:v>80.507075105276542</c:v>
                </c:pt>
                <c:pt idx="5">
                  <c:v>76.205167712718236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Tempo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główne'!$AL$3:$AL$4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0-4DD5-A25B-D3D7F8D24E5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D0-4DD5-A25B-D3D7F8D24E5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7F-41EF-AC03-91B70C475067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D0-4DD5-A25B-D3D7F8D24E5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D0-4DD5-A25B-D3D7F8D24E5D}"/>
              </c:ext>
            </c:extLst>
          </c:dPt>
          <c:dPt>
            <c:idx val="5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D0-4DD5-A25B-D3D7F8D24E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główne'!$AK$5:$AK$11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Bycza Pułapka</c:v>
                </c:pt>
                <c:pt idx="3">
                  <c:v>Hutnicze Wilki</c:v>
                </c:pt>
                <c:pt idx="4">
                  <c:v>Łodzie Podwodne</c:v>
                </c:pt>
                <c:pt idx="5">
                  <c:v>Koniki Polne Łąki</c:v>
                </c:pt>
              </c:strCache>
            </c:strRef>
          </c:cat>
          <c:val>
            <c:numRef>
              <c:f>'DBZ główne'!$AL$5:$AL$11</c:f>
              <c:numCache>
                <c:formatCode>0.0</c:formatCode>
                <c:ptCount val="6"/>
                <c:pt idx="0">
                  <c:v>57.11</c:v>
                </c:pt>
                <c:pt idx="1">
                  <c:v>57.589999999999996</c:v>
                </c:pt>
                <c:pt idx="2">
                  <c:v>58.449999999999996</c:v>
                </c:pt>
                <c:pt idx="3">
                  <c:v>60.864999999999995</c:v>
                </c:pt>
                <c:pt idx="4">
                  <c:v>62.71</c:v>
                </c:pt>
                <c:pt idx="5">
                  <c:v>63.215000000000003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główne!Tabela przestawna6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Effective FG%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główne'!$AO$3:$AO$4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EA-400D-93F6-2426130864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EA-400D-93F6-2426130864CA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A-400D-93F6-2426130864CA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D9-464F-A8B2-95770CDFB7A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A-400D-93F6-2426130864CA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EA-400D-93F6-2426130864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główne'!$AN$5:$AN$11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Koniki Polne Łąki</c:v>
                </c:pt>
                <c:pt idx="3">
                  <c:v>Wilki Radzymin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główne'!$AO$5:$AO$11</c:f>
              <c:numCache>
                <c:formatCode>0.0%</c:formatCode>
                <c:ptCount val="6"/>
                <c:pt idx="0">
                  <c:v>0.30410447761194032</c:v>
                </c:pt>
                <c:pt idx="1">
                  <c:v>0.32415254237288138</c:v>
                </c:pt>
                <c:pt idx="2">
                  <c:v>0.33076923076923076</c:v>
                </c:pt>
                <c:pt idx="3">
                  <c:v>0.34440559440559443</c:v>
                </c:pt>
                <c:pt idx="4">
                  <c:v>0.36531986531986532</c:v>
                </c:pt>
                <c:pt idx="5">
                  <c:v>0.37985865724381623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drugie!Tabela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Przechwyty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E6-4DE5-8DE9-5CB06C944B4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E6-4DE5-8DE9-5CB06C944B4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E6-4DE5-8DE9-5CB06C944B40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E6-4DE5-8DE9-5CB06C944B40}"/>
              </c:ext>
            </c:extLst>
          </c:dPt>
          <c:dPt>
            <c:idx val="4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E6-4DE5-8DE9-5CB06C944B4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6-4DE5-8DE9-5CB06C944B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drugie'!$A$5:$A$11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Koniki Polne Łąki</c:v>
                </c:pt>
                <c:pt idx="3">
                  <c:v>Hutnicze Wilki</c:v>
                </c:pt>
                <c:pt idx="4">
                  <c:v>Wilki Radzymin</c:v>
                </c:pt>
                <c:pt idx="5">
                  <c:v>Łodzie Podwodne</c:v>
                </c:pt>
              </c:strCache>
            </c:strRef>
          </c:cat>
          <c:val>
            <c:numRef>
              <c:f>'DBZ drugie'!$B$5:$B$11</c:f>
              <c:numCache>
                <c:formatCode>0.0</c:formatCode>
                <c:ptCount val="6"/>
                <c:pt idx="0">
                  <c:v>8.75</c:v>
                </c:pt>
                <c:pt idx="1">
                  <c:v>8.75</c:v>
                </c:pt>
                <c:pt idx="2">
                  <c:v>10</c:v>
                </c:pt>
                <c:pt idx="3">
                  <c:v>13</c:v>
                </c:pt>
                <c:pt idx="4">
                  <c:v>13.5</c:v>
                </c:pt>
                <c:pt idx="5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drugie!Tabela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Bloki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7-40A7-922B-052EAEAA74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9FB-4CCD-83B8-327C3CC5158A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FB-4CCD-83B8-327C3CC5158A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E57-4CBA-821A-0CC135093633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FB-4CCD-83B8-327C3CC5158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FB-4CCD-83B8-327C3CC515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drugie'!$D$5:$D$11</c:f>
              <c:strCache>
                <c:ptCount val="6"/>
                <c:pt idx="0">
                  <c:v>Koniki Polne Łąki</c:v>
                </c:pt>
                <c:pt idx="1">
                  <c:v>Hutnicze Wilki</c:v>
                </c:pt>
                <c:pt idx="2">
                  <c:v>Łodzie Podwodne</c:v>
                </c:pt>
                <c:pt idx="3">
                  <c:v>Wilki Radzymin</c:v>
                </c:pt>
                <c:pt idx="4">
                  <c:v>Stare Byki</c:v>
                </c:pt>
                <c:pt idx="5">
                  <c:v>Bycza Pułapka</c:v>
                </c:pt>
              </c:strCache>
            </c:strRef>
          </c:cat>
          <c:val>
            <c:numRef>
              <c:f>'DBZ drugie'!$E$5:$E$11</c:f>
              <c:numCache>
                <c:formatCode>0.0</c:formatCode>
                <c:ptCount val="6"/>
                <c:pt idx="0">
                  <c:v>2.25</c:v>
                </c:pt>
                <c:pt idx="1">
                  <c:v>2.25</c:v>
                </c:pt>
                <c:pt idx="2">
                  <c:v>2.75</c:v>
                </c:pt>
                <c:pt idx="3">
                  <c:v>2.75</c:v>
                </c:pt>
                <c:pt idx="4">
                  <c:v>3.25</c:v>
                </c:pt>
                <c:pt idx="5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drugie!Tabela przestawna6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Zbiórek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drugie'!$R$3:$R$4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BE6-4E82-8D69-F9FC9CDDDC15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E6-4E82-8D69-F9FC9CDDDC1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BE6-4E82-8D69-F9FC9CDDDC15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BE6-4E82-8D69-F9FC9CDDDC15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E6-4E82-8D69-F9FC9CDDDC15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E6-4E82-8D69-F9FC9CDDDC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drugie'!$Q$5:$Q$11</c:f>
              <c:strCache>
                <c:ptCount val="6"/>
                <c:pt idx="0">
                  <c:v>Bycza Pułapka</c:v>
                </c:pt>
                <c:pt idx="1">
                  <c:v>Koniki Polne Łąki</c:v>
                </c:pt>
                <c:pt idx="2">
                  <c:v>Łodzie Podwodne</c:v>
                </c:pt>
                <c:pt idx="3">
                  <c:v>Hutnicze Wilki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drugie'!$R$5:$R$11</c:f>
              <c:numCache>
                <c:formatCode>0.0%</c:formatCode>
                <c:ptCount val="6"/>
                <c:pt idx="0">
                  <c:v>0.46200607902735563</c:v>
                </c:pt>
                <c:pt idx="1">
                  <c:v>0.478134110787172</c:v>
                </c:pt>
                <c:pt idx="2">
                  <c:v>0.48823529411764705</c:v>
                </c:pt>
                <c:pt idx="3">
                  <c:v>0.49541284403669728</c:v>
                </c:pt>
                <c:pt idx="4">
                  <c:v>0.53644314868804666</c:v>
                </c:pt>
                <c:pt idx="5">
                  <c:v>0.54037267080745344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4 kolejka public.xlsx]DBZ drugie!Tabela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Zbiórki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B9B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B9B9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rgbClr val="00B0F0"/>
          </a:solidFill>
          <a:ln>
            <a:noFill/>
          </a:ln>
          <a:effectLst/>
        </c:spPr>
      </c:pivotFmt>
      <c:pivotFmt>
        <c:idx val="10"/>
        <c:spPr>
          <a:solidFill>
            <a:srgbClr val="D5FBFF"/>
          </a:solidFill>
          <a:ln>
            <a:noFill/>
          </a:ln>
          <a:effectLst/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'DBZ drugie'!$H$3:$H$4</c:f>
              <c:strCache>
                <c:ptCount val="1"/>
                <c:pt idx="0">
                  <c:v>Ofensywne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0D6-4010-82A6-3EC1496319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0D6-4010-82A6-3EC14963198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0D6-4010-82A6-3EC1496319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0D6-4010-82A6-3EC14963198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0D6-4010-82A6-3EC149631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drugie'!$H$5:$H$11</c:f>
              <c:numCache>
                <c:formatCode>0.0</c:formatCode>
                <c:ptCount val="6"/>
                <c:pt idx="0">
                  <c:v>9.5</c:v>
                </c:pt>
                <c:pt idx="1">
                  <c:v>14</c:v>
                </c:pt>
                <c:pt idx="2">
                  <c:v>9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6-4010-82A6-3EC14963198A}"/>
            </c:ext>
          </c:extLst>
        </c:ser>
        <c:ser>
          <c:idx val="1"/>
          <c:order val="1"/>
          <c:tx>
            <c:strRef>
              <c:f>'DBZ drugie'!$I$3:$I$4</c:f>
              <c:strCache>
                <c:ptCount val="1"/>
                <c:pt idx="0">
                  <c:v>Defensywne</c:v>
                </c:pt>
              </c:strCache>
            </c:strRef>
          </c:tx>
          <c:spPr>
            <a:solidFill>
              <a:srgbClr val="FFB9B9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D6-4010-82A6-3EC1496319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D6-4010-82A6-3EC14963198A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D6-4010-82A6-3EC1496319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0D6-4010-82A6-3EC14963198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0D6-4010-82A6-3EC149631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drugie'!$I$5:$I$11</c:f>
              <c:numCache>
                <c:formatCode>0.0</c:formatCode>
                <c:ptCount val="6"/>
                <c:pt idx="0">
                  <c:v>28.5</c:v>
                </c:pt>
                <c:pt idx="1">
                  <c:v>26.5</c:v>
                </c:pt>
                <c:pt idx="2">
                  <c:v>32</c:v>
                </c:pt>
                <c:pt idx="3">
                  <c:v>28.5</c:v>
                </c:pt>
                <c:pt idx="4">
                  <c:v>31</c:v>
                </c:pt>
                <c:pt idx="5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6-4010-82A6-3EC14963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3397888"/>
        <c:axId val="1463398368"/>
      </c:barChart>
      <c:lineChart>
        <c:grouping val="standard"/>
        <c:varyColors val="0"/>
        <c:ser>
          <c:idx val="2"/>
          <c:order val="2"/>
          <c:tx>
            <c:strRef>
              <c:f>'DBZ drugie'!$J$3:$J$4</c:f>
              <c:strCache>
                <c:ptCount val="1"/>
                <c:pt idx="0">
                  <c:v>Suma z reb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drugie'!$J$5:$J$11</c:f>
              <c:numCache>
                <c:formatCode>0.0</c:formatCode>
                <c:ptCount val="6"/>
                <c:pt idx="0">
                  <c:v>38</c:v>
                </c:pt>
                <c:pt idx="1">
                  <c:v>40.5</c:v>
                </c:pt>
                <c:pt idx="2">
                  <c:v>41</c:v>
                </c:pt>
                <c:pt idx="3">
                  <c:v>41.5</c:v>
                </c:pt>
                <c:pt idx="4">
                  <c:v>46</c:v>
                </c:pt>
                <c:pt idx="5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D6-4010-82A6-3EC14963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374976"/>
        <c:axId val="328374496"/>
      </c:lineChart>
      <c:catAx>
        <c:axId val="14633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3398368"/>
        <c:crosses val="autoZero"/>
        <c:auto val="1"/>
        <c:lblAlgn val="ctr"/>
        <c:lblOffset val="100"/>
        <c:noMultiLvlLbl val="0"/>
      </c:catAx>
      <c:valAx>
        <c:axId val="14633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3397888"/>
        <c:crosses val="autoZero"/>
        <c:crossBetween val="between"/>
      </c:valAx>
      <c:valAx>
        <c:axId val="32837449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8374976"/>
        <c:crosses val="max"/>
        <c:crossBetween val="between"/>
      </c:valAx>
      <c:catAx>
        <c:axId val="328374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374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4 kolejka public.xlsx]DBZ drugie!Tabela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Rozkład rzutów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  <c:pivotFmt>
        <c:idx val="7"/>
        <c:spPr>
          <a:solidFill>
            <a:srgbClr val="D5FBFF"/>
          </a:solidFill>
          <a:ln>
            <a:noFill/>
          </a:ln>
          <a:effectLst/>
        </c:spPr>
      </c:pivotFmt>
      <c:pivotFmt>
        <c:idx val="8"/>
        <c:spPr>
          <a:solidFill>
            <a:srgbClr val="F3FFFF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rgbClr val="FFB9B9"/>
          </a:solidFill>
          <a:ln>
            <a:noFill/>
          </a:ln>
          <a:effectLst/>
        </c:spPr>
      </c:pivotFmt>
      <c:pivotFmt>
        <c:idx val="17"/>
        <c:spPr>
          <a:solidFill>
            <a:srgbClr val="FFE7E7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'DBZ drugie'!$M$3:$M$4</c:f>
              <c:strCache>
                <c:ptCount val="1"/>
                <c:pt idx="0">
                  <c:v>Rzuty za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C4D-40B3-9E0C-0143216D1413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drugie'!$M$5:$M$11</c:f>
              <c:numCache>
                <c:formatCode>0.0%</c:formatCode>
                <c:ptCount val="6"/>
                <c:pt idx="0">
                  <c:v>0.22027972027972029</c:v>
                </c:pt>
                <c:pt idx="1">
                  <c:v>0.29850746268656714</c:v>
                </c:pt>
                <c:pt idx="2">
                  <c:v>0.34006734006734007</c:v>
                </c:pt>
                <c:pt idx="3">
                  <c:v>0.4653846153846154</c:v>
                </c:pt>
                <c:pt idx="4">
                  <c:v>0.36395759717314485</c:v>
                </c:pt>
                <c:pt idx="5">
                  <c:v>0.3135593220338983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9-4BDA-B8D8-3B69651EE56E}"/>
            </c:ext>
          </c:extLst>
        </c:ser>
        <c:ser>
          <c:idx val="1"/>
          <c:order val="1"/>
          <c:tx>
            <c:strRef>
              <c:f>'DBZ drugie'!$N$3:$N$4</c:f>
              <c:strCache>
                <c:ptCount val="1"/>
                <c:pt idx="0">
                  <c:v>Rzuty za 2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F3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C4D-40B3-9E0C-0143216D1413}"/>
              </c:ext>
            </c:extLst>
          </c:dPt>
          <c:dPt>
            <c:idx val="5"/>
            <c:invertIfNegative val="0"/>
            <c:bubble3D val="0"/>
            <c:spPr>
              <a:solidFill>
                <a:srgbClr val="FFE7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drugie'!$N$5:$N$11</c:f>
              <c:numCache>
                <c:formatCode>0.0%</c:formatCode>
                <c:ptCount val="6"/>
                <c:pt idx="0">
                  <c:v>0.77972027972027969</c:v>
                </c:pt>
                <c:pt idx="1">
                  <c:v>0.70149253731343286</c:v>
                </c:pt>
                <c:pt idx="2">
                  <c:v>0.65993265993265993</c:v>
                </c:pt>
                <c:pt idx="3">
                  <c:v>0.5346153846153846</c:v>
                </c:pt>
                <c:pt idx="4">
                  <c:v>0.63604240282685509</c:v>
                </c:pt>
                <c:pt idx="5">
                  <c:v>0.68644067796610164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9-4BDA-B8D8-3B69651EE56E}"/>
            </c:ext>
          </c:extLst>
        </c:ser>
        <c:ser>
          <c:idx val="2"/>
          <c:order val="2"/>
          <c:tx>
            <c:strRef>
              <c:f>'DBZ drugie'!$O$3:$O$4</c:f>
              <c:strCache>
                <c:ptCount val="1"/>
                <c:pt idx="0">
                  <c:v>Rzuty Osobiste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3C4D-40B3-9E0C-0143216D1413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drugie'!$O$5:$O$11</c:f>
              <c:numCache>
                <c:formatCode>0.0%</c:formatCode>
                <c:ptCount val="6"/>
                <c:pt idx="0">
                  <c:v>9.4405594405594401E-2</c:v>
                </c:pt>
                <c:pt idx="1">
                  <c:v>9.7014925373134331E-2</c:v>
                </c:pt>
                <c:pt idx="2">
                  <c:v>0.24915824915824916</c:v>
                </c:pt>
                <c:pt idx="3">
                  <c:v>0.17307692307692307</c:v>
                </c:pt>
                <c:pt idx="4">
                  <c:v>0.11307420494699646</c:v>
                </c:pt>
                <c:pt idx="5">
                  <c:v>0.21186440677966101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9-4BDA-B8D8-3B69651EE5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06978608"/>
        <c:axId val="2106978128"/>
      </c:barChart>
      <c:catAx>
        <c:axId val="210697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6978128"/>
        <c:crosses val="autoZero"/>
        <c:auto val="1"/>
        <c:lblAlgn val="ctr"/>
        <c:lblOffset val="100"/>
        <c:noMultiLvlLbl val="0"/>
      </c:catAx>
      <c:valAx>
        <c:axId val="210697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69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drugie!Tabela przestawna8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Posiadania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drugie'!$X$3:$X$4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99-4712-A2B6-FC31D78740A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399-4712-A2B6-FC31D78740AB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399-4712-A2B6-FC31D78740AB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9-4712-A2B6-FC31D78740AB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399-4712-A2B6-FC31D78740A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9-4712-A2B6-FC31D78740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drugie'!$W$5:$W$11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Wilki Radzymin</c:v>
                </c:pt>
                <c:pt idx="3">
                  <c:v>Hutnicze Wilki</c:v>
                </c:pt>
                <c:pt idx="4">
                  <c:v>Koniki Polne Łąki</c:v>
                </c:pt>
                <c:pt idx="5">
                  <c:v>Łodzie Podwodne</c:v>
                </c:pt>
              </c:strCache>
            </c:strRef>
          </c:cat>
          <c:val>
            <c:numRef>
              <c:f>'DBZ drugie'!$X$5:$X$11</c:f>
              <c:numCache>
                <c:formatCode>0.0</c:formatCode>
                <c:ptCount val="6"/>
                <c:pt idx="0">
                  <c:v>54.86</c:v>
                </c:pt>
                <c:pt idx="1">
                  <c:v>55</c:v>
                </c:pt>
                <c:pt idx="2">
                  <c:v>59.47</c:v>
                </c:pt>
                <c:pt idx="3">
                  <c:v>60.269999999999996</c:v>
                </c:pt>
                <c:pt idx="4">
                  <c:v>60.95</c:v>
                </c:pt>
                <c:pt idx="5">
                  <c:v>69.39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drugie!Tabela przestawna7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</a:t>
            </a:r>
            <a:r>
              <a:rPr lang="pl-PL" b="1"/>
              <a:t>R</a:t>
            </a:r>
            <a:r>
              <a:rPr lang="en-US" b="1"/>
              <a:t>zutów asystowanych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drugie'!$U$3:$U$4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4D-431E-986E-F847E1E1B59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4D-431E-986E-F847E1E1B592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4D-431E-986E-F847E1E1B592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4D-431E-986E-F847E1E1B592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84D-431E-986E-F847E1E1B592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4D-431E-986E-F847E1E1B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drugie'!$T$5:$T$11</c:f>
              <c:strCache>
                <c:ptCount val="6"/>
                <c:pt idx="0">
                  <c:v>Wilki Radzymin</c:v>
                </c:pt>
                <c:pt idx="1">
                  <c:v>Łodzie Podwodne</c:v>
                </c:pt>
                <c:pt idx="2">
                  <c:v>Stare Byki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drugie'!$U$5:$U$11</c:f>
              <c:numCache>
                <c:formatCode>0.0%</c:formatCode>
                <c:ptCount val="6"/>
                <c:pt idx="0">
                  <c:v>0.48351648351648352</c:v>
                </c:pt>
                <c:pt idx="1">
                  <c:v>0.58333333333333337</c:v>
                </c:pt>
                <c:pt idx="2">
                  <c:v>0.61333333333333329</c:v>
                </c:pt>
                <c:pt idx="3">
                  <c:v>0.65277777777777779</c:v>
                </c:pt>
                <c:pt idx="4">
                  <c:v>0.67010309278350511</c:v>
                </c:pt>
                <c:pt idx="5">
                  <c:v>0.6811594202898551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drugie!Tabela przestawna9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drugie'!$AA$3:$AA$4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A2-429C-9736-5E94CC609379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A2-429C-9736-5E94CC60937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5A2-429C-9736-5E94CC609379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A2-429C-9736-5E94CC609379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A2-429C-9736-5E94CC609379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2-429C-9736-5E94CC609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drugie'!$Z$5:$Z$11</c:f>
              <c:strCache>
                <c:ptCount val="6"/>
                <c:pt idx="0">
                  <c:v>Łodzie Podwodne</c:v>
                </c:pt>
                <c:pt idx="1">
                  <c:v>Hutnicze Wilki</c:v>
                </c:pt>
                <c:pt idx="2">
                  <c:v>Bycza Pułapka</c:v>
                </c:pt>
                <c:pt idx="3">
                  <c:v>Koniki Polne Łąki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drugie'!$AA$5:$AA$11</c:f>
              <c:numCache>
                <c:formatCode>0.0</c:formatCode>
                <c:ptCount val="6"/>
                <c:pt idx="0">
                  <c:v>5.5</c:v>
                </c:pt>
                <c:pt idx="1">
                  <c:v>6.25</c:v>
                </c:pt>
                <c:pt idx="2">
                  <c:v>6.75</c:v>
                </c:pt>
                <c:pt idx="3">
                  <c:v>7.5</c:v>
                </c:pt>
                <c:pt idx="4">
                  <c:v>10.75</c:v>
                </c:pt>
                <c:pt idx="5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4 kolejka public.xlsx]DBZ kwarty!Tabela przestawna10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kwarty'!$B$3:$B$4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kwarty'!$A$5:$A$11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kwarty'!$B$5:$B$11</c:f>
              <c:numCache>
                <c:formatCode>0.0</c:formatCode>
                <c:ptCount val="6"/>
                <c:pt idx="0">
                  <c:v>10.25</c:v>
                </c:pt>
                <c:pt idx="1">
                  <c:v>13.75</c:v>
                </c:pt>
                <c:pt idx="2">
                  <c:v>11</c:v>
                </c:pt>
                <c:pt idx="3">
                  <c:v>14.75</c:v>
                </c:pt>
                <c:pt idx="4">
                  <c:v>10.75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kwarty'!$C$3:$C$4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kwarty'!$A$5:$A$11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kwarty'!$C$5:$C$11</c:f>
              <c:numCache>
                <c:formatCode>0.0</c:formatCode>
                <c:ptCount val="6"/>
                <c:pt idx="0">
                  <c:v>14.75</c:v>
                </c:pt>
                <c:pt idx="1">
                  <c:v>12.5</c:v>
                </c:pt>
                <c:pt idx="2">
                  <c:v>12.5</c:v>
                </c:pt>
                <c:pt idx="3">
                  <c:v>9.75</c:v>
                </c:pt>
                <c:pt idx="4">
                  <c:v>13.75</c:v>
                </c:pt>
                <c:pt idx="5">
                  <c:v>10.25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kwarty!Tabela przestawna11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kwarty'!$F$3:$F$4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kwarty'!$E$5:$E$11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kwarty'!$F$5:$F$11</c:f>
              <c:numCache>
                <c:formatCode>0.0</c:formatCode>
                <c:ptCount val="6"/>
                <c:pt idx="0">
                  <c:v>8.75</c:v>
                </c:pt>
                <c:pt idx="1">
                  <c:v>14.25</c:v>
                </c:pt>
                <c:pt idx="2">
                  <c:v>10.5</c:v>
                </c:pt>
                <c:pt idx="3">
                  <c:v>17</c:v>
                </c:pt>
                <c:pt idx="4">
                  <c:v>11</c:v>
                </c:pt>
                <c:pt idx="5">
                  <c:v>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kwarty'!$G$3:$G$4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kwarty'!$E$5:$E$11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kwarty'!$G$5:$G$11</c:f>
              <c:numCache>
                <c:formatCode>0.0</c:formatCode>
                <c:ptCount val="6"/>
                <c:pt idx="0">
                  <c:v>12.75</c:v>
                </c:pt>
                <c:pt idx="1">
                  <c:v>15.25</c:v>
                </c:pt>
                <c:pt idx="2">
                  <c:v>14.25</c:v>
                </c:pt>
                <c:pt idx="3">
                  <c:v>12.25</c:v>
                </c:pt>
                <c:pt idx="4">
                  <c:v>12.25</c:v>
                </c:pt>
                <c:pt idx="5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kwarty!Tabela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kwarty'!$J$3:$J$4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kwarty'!$J$5:$J$11</c:f>
              <c:numCache>
                <c:formatCode>0.0</c:formatCode>
                <c:ptCount val="6"/>
                <c:pt idx="0">
                  <c:v>12.25</c:v>
                </c:pt>
                <c:pt idx="1">
                  <c:v>14</c:v>
                </c:pt>
                <c:pt idx="2">
                  <c:v>11</c:v>
                </c:pt>
                <c:pt idx="3">
                  <c:v>12.25</c:v>
                </c:pt>
                <c:pt idx="4">
                  <c:v>12.5</c:v>
                </c:pt>
                <c:pt idx="5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kwarty'!$K$3:$K$4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kwarty'!$K$5:$K$11</c:f>
              <c:numCache>
                <c:formatCode>0.0</c:formatCode>
                <c:ptCount val="6"/>
                <c:pt idx="0">
                  <c:v>14.75</c:v>
                </c:pt>
                <c:pt idx="1">
                  <c:v>13.75</c:v>
                </c:pt>
                <c:pt idx="2">
                  <c:v>13.75</c:v>
                </c:pt>
                <c:pt idx="3">
                  <c:v>7.75</c:v>
                </c:pt>
                <c:pt idx="4">
                  <c:v>9.75</c:v>
                </c:pt>
                <c:pt idx="5">
                  <c:v>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kwarty!Tabela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kwarty'!$N$3:$N$4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kwarty'!$M$5:$M$11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kwarty'!$N$5:$N$11</c:f>
              <c:numCache>
                <c:formatCode>0.0</c:formatCode>
                <c:ptCount val="6"/>
                <c:pt idx="0">
                  <c:v>13.5</c:v>
                </c:pt>
                <c:pt idx="1">
                  <c:v>15.75</c:v>
                </c:pt>
                <c:pt idx="2">
                  <c:v>16.75</c:v>
                </c:pt>
                <c:pt idx="3">
                  <c:v>19.5</c:v>
                </c:pt>
                <c:pt idx="4">
                  <c:v>10.25</c:v>
                </c:pt>
                <c:pt idx="5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kwarty'!$O$3:$O$4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kwarty'!$M$5:$M$11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kwarty'!$O$5:$O$11</c:f>
              <c:numCache>
                <c:formatCode>0.0</c:formatCode>
                <c:ptCount val="6"/>
                <c:pt idx="0">
                  <c:v>18.25</c:v>
                </c:pt>
                <c:pt idx="1">
                  <c:v>15.75</c:v>
                </c:pt>
                <c:pt idx="2">
                  <c:v>15</c:v>
                </c:pt>
                <c:pt idx="3">
                  <c:v>13.5</c:v>
                </c:pt>
                <c:pt idx="4">
                  <c:v>13.25</c:v>
                </c:pt>
                <c:pt idx="5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4 kolejka public.xlsx]DBZ kwarty!Tabela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zdobywane w kwartach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B9B9"/>
          </a:solidFill>
          <a:ln>
            <a:noFill/>
          </a:ln>
          <a:effectLst/>
        </c:spPr>
      </c:pivotFmt>
      <c:pivotFmt>
        <c:idx val="7"/>
        <c:spPr>
          <a:solidFill>
            <a:srgbClr val="FFB9B9"/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FFB9B9"/>
          </a:solidFill>
          <a:ln>
            <a:noFill/>
          </a:ln>
          <a:effectLst/>
        </c:spPr>
      </c:pivotFmt>
      <c:pivotFmt>
        <c:idx val="15"/>
        <c:spPr>
          <a:solidFill>
            <a:srgbClr val="FFB9B9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rgbClr val="00B0F0"/>
          </a:solidFill>
          <a:ln>
            <a:noFill/>
          </a:ln>
          <a:effectLst/>
        </c:spPr>
      </c:pivotFmt>
      <c:pivotFmt>
        <c:idx val="25"/>
        <c:spPr>
          <a:solidFill>
            <a:srgbClr val="00B0F0"/>
          </a:solidFill>
          <a:ln>
            <a:noFill/>
          </a:ln>
          <a:effectLst/>
        </c:spPr>
      </c:pivotFmt>
      <c:pivotFmt>
        <c:idx val="26"/>
        <c:spPr>
          <a:solidFill>
            <a:srgbClr val="D5FBFF"/>
          </a:solidFill>
          <a:ln>
            <a:noFill/>
          </a:ln>
          <a:effectLst/>
        </c:spPr>
      </c:pivotFmt>
      <c:pivotFmt>
        <c:idx val="27"/>
        <c:spPr>
          <a:solidFill>
            <a:srgbClr val="D5FBFF"/>
          </a:solidFill>
          <a:ln>
            <a:noFill/>
          </a:ln>
          <a:effectLst/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'DBZ kwarty'!$R$3:$R$4</c:f>
              <c:strCache>
                <c:ptCount val="1"/>
                <c:pt idx="0">
                  <c:v>Kwarta 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kwarty'!$R$5:$R$10</c:f>
              <c:numCache>
                <c:formatCode>0.0%</c:formatCode>
                <c:ptCount val="6"/>
                <c:pt idx="0">
                  <c:v>0.24880382775119617</c:v>
                </c:pt>
                <c:pt idx="1">
                  <c:v>0.24157303370786518</c:v>
                </c:pt>
                <c:pt idx="2">
                  <c:v>0.23228346456692914</c:v>
                </c:pt>
                <c:pt idx="3">
                  <c:v>0.2233502538071066</c:v>
                </c:pt>
                <c:pt idx="4">
                  <c:v>0.23706896551724138</c:v>
                </c:pt>
                <c:pt idx="5">
                  <c:v>0.22905027932960895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6-4E1B-AF23-5EEBF9E7FD30}"/>
            </c:ext>
          </c:extLst>
        </c:ser>
        <c:ser>
          <c:idx val="1"/>
          <c:order val="1"/>
          <c:tx>
            <c:strRef>
              <c:f>'DBZ kwarty'!$S$3:$S$4</c:f>
              <c:strCache>
                <c:ptCount val="1"/>
                <c:pt idx="0">
                  <c:v>Kwarta 2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kwarty'!$S$5:$S$10</c:f>
              <c:numCache>
                <c:formatCode>0.0%</c:formatCode>
                <c:ptCount val="6"/>
                <c:pt idx="0">
                  <c:v>0.24401913875598086</c:v>
                </c:pt>
                <c:pt idx="1">
                  <c:v>0.24719101123595505</c:v>
                </c:pt>
                <c:pt idx="2">
                  <c:v>0.26771653543307089</c:v>
                </c:pt>
                <c:pt idx="3">
                  <c:v>0.21319796954314721</c:v>
                </c:pt>
                <c:pt idx="4">
                  <c:v>0.24568965517241378</c:v>
                </c:pt>
                <c:pt idx="5">
                  <c:v>0.19553072625698323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6-4E1B-AF23-5EEBF9E7FD30}"/>
            </c:ext>
          </c:extLst>
        </c:ser>
        <c:ser>
          <c:idx val="2"/>
          <c:order val="2"/>
          <c:tx>
            <c:strRef>
              <c:f>'DBZ kwarty'!$T$3:$T$4</c:f>
              <c:strCache>
                <c:ptCount val="1"/>
                <c:pt idx="0">
                  <c:v>Kwarta 3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kwarty'!$T$5:$T$10</c:f>
              <c:numCache>
                <c:formatCode>0.0%</c:formatCode>
                <c:ptCount val="6"/>
                <c:pt idx="0">
                  <c:v>0.20095693779904306</c:v>
                </c:pt>
                <c:pt idx="1">
                  <c:v>0.2808988764044944</c:v>
                </c:pt>
                <c:pt idx="2">
                  <c:v>0.19291338582677164</c:v>
                </c:pt>
                <c:pt idx="3">
                  <c:v>0.2233502538071066</c:v>
                </c:pt>
                <c:pt idx="4">
                  <c:v>0.2413793103448276</c:v>
                </c:pt>
                <c:pt idx="5">
                  <c:v>0.27374301675977653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26-4E1B-AF23-5EEBF9E7FD30}"/>
            </c:ext>
          </c:extLst>
        </c:ser>
        <c:ser>
          <c:idx val="3"/>
          <c:order val="3"/>
          <c:tx>
            <c:strRef>
              <c:f>'DBZ kwarty'!$U$3:$U$4</c:f>
              <c:strCache>
                <c:ptCount val="1"/>
                <c:pt idx="0">
                  <c:v>Kwarta 4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kwarty'!$U$5:$U$10</c:f>
              <c:numCache>
                <c:formatCode>0.0%</c:formatCode>
                <c:ptCount val="6"/>
                <c:pt idx="0">
                  <c:v>0.27751196172248804</c:v>
                </c:pt>
                <c:pt idx="1">
                  <c:v>0.2303370786516854</c:v>
                </c:pt>
                <c:pt idx="2">
                  <c:v>0.30708661417322836</c:v>
                </c:pt>
                <c:pt idx="3">
                  <c:v>0.34010152284263961</c:v>
                </c:pt>
                <c:pt idx="4">
                  <c:v>0.27155172413793105</c:v>
                </c:pt>
                <c:pt idx="5">
                  <c:v>0.3016759776536313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26-4E1B-AF23-5EEBF9E7FD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509631"/>
        <c:axId val="1843522111"/>
      </c:barChart>
      <c:catAx>
        <c:axId val="184350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22111"/>
        <c:crosses val="autoZero"/>
        <c:auto val="1"/>
        <c:lblAlgn val="ctr"/>
        <c:lblOffset val="100"/>
        <c:noMultiLvlLbl val="0"/>
      </c:catAx>
      <c:valAx>
        <c:axId val="18435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790590360724608"/>
          <c:y val="0.87101846320934018"/>
          <c:w val="0.86850045437478562"/>
          <c:h val="0.10829188161824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4 kolejka public.xlsx]DBZ kwarty!Tabela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Punkty tracone w kwartach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B9B9"/>
          </a:solidFill>
          <a:ln>
            <a:noFill/>
          </a:ln>
          <a:effectLst/>
        </c:spPr>
      </c:pivotFmt>
      <c:pivotFmt>
        <c:idx val="7"/>
        <c:spPr>
          <a:solidFill>
            <a:srgbClr val="FFB9B9"/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FFB9B9"/>
          </a:solidFill>
          <a:ln>
            <a:noFill/>
          </a:ln>
          <a:effectLst/>
        </c:spPr>
      </c:pivotFmt>
      <c:pivotFmt>
        <c:idx val="15"/>
        <c:spPr>
          <a:solidFill>
            <a:srgbClr val="FFB9B9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rgbClr val="00B0F0"/>
          </a:solidFill>
          <a:ln>
            <a:noFill/>
          </a:ln>
          <a:effectLst/>
        </c:spPr>
      </c:pivotFmt>
      <c:pivotFmt>
        <c:idx val="25"/>
        <c:spPr>
          <a:solidFill>
            <a:srgbClr val="00B0F0"/>
          </a:solidFill>
          <a:ln>
            <a:noFill/>
          </a:ln>
          <a:effectLst/>
        </c:spPr>
      </c:pivotFmt>
      <c:pivotFmt>
        <c:idx val="26"/>
        <c:spPr>
          <a:solidFill>
            <a:srgbClr val="D5FBFF"/>
          </a:solidFill>
          <a:ln>
            <a:noFill/>
          </a:ln>
          <a:effectLst/>
        </c:spPr>
      </c:pivotFmt>
      <c:pivotFmt>
        <c:idx val="27"/>
        <c:spPr>
          <a:solidFill>
            <a:srgbClr val="D5FBFF"/>
          </a:solidFill>
          <a:ln>
            <a:noFill/>
          </a:ln>
          <a:effectLst/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</c:pivotFmt>
      <c:pivotFmt>
        <c:idx val="38"/>
        <c:spPr>
          <a:solidFill>
            <a:srgbClr val="ED7D31"/>
          </a:solidFill>
          <a:ln>
            <a:noFill/>
          </a:ln>
          <a:effectLst/>
        </c:spPr>
      </c:pivotFmt>
      <c:pivotFmt>
        <c:idx val="39"/>
        <c:spPr>
          <a:solidFill>
            <a:srgbClr val="70AD47"/>
          </a:solidFill>
          <a:ln>
            <a:noFill/>
          </a:ln>
          <a:effectLst/>
        </c:spPr>
      </c:pivotFmt>
      <c:pivotFmt>
        <c:idx val="40"/>
        <c:spPr>
          <a:solidFill>
            <a:srgbClr val="00B0F0"/>
          </a:solidFill>
          <a:ln>
            <a:noFill/>
          </a:ln>
          <a:effectLst/>
        </c:spPr>
      </c:pivotFmt>
      <c:pivotFmt>
        <c:idx val="41"/>
        <c:spPr>
          <a:solidFill>
            <a:srgbClr val="FFC000"/>
          </a:solidFill>
          <a:ln>
            <a:noFill/>
          </a:ln>
          <a:effectLst/>
        </c:spPr>
      </c:pivotFmt>
      <c:pivotFmt>
        <c:idx val="4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4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B9B9"/>
          </a:solidFill>
          <a:ln>
            <a:noFill/>
          </a:ln>
          <a:effectLst/>
        </c:spPr>
      </c:pivotFmt>
      <c:pivotFmt>
        <c:idx val="45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6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7"/>
        <c:spPr>
          <a:solidFill>
            <a:srgbClr val="D5FBFF"/>
          </a:solidFill>
          <a:ln>
            <a:noFill/>
          </a:ln>
          <a:effectLst/>
        </c:spPr>
      </c:pivotFmt>
      <c:pivotFmt>
        <c:idx val="48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5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C00000"/>
          </a:solidFill>
          <a:ln>
            <a:noFill/>
          </a:ln>
          <a:effectLst/>
        </c:spPr>
      </c:pivotFmt>
      <c:pivotFmt>
        <c:idx val="52"/>
        <c:spPr>
          <a:solidFill>
            <a:srgbClr val="ED7D31"/>
          </a:solidFill>
          <a:ln>
            <a:noFill/>
          </a:ln>
          <a:effectLst/>
        </c:spPr>
      </c:pivotFmt>
      <c:pivotFmt>
        <c:idx val="53"/>
        <c:spPr>
          <a:solidFill>
            <a:srgbClr val="70AD47"/>
          </a:solidFill>
          <a:ln>
            <a:noFill/>
          </a:ln>
          <a:effectLst/>
        </c:spPr>
      </c:pivotFmt>
      <c:pivotFmt>
        <c:idx val="54"/>
        <c:spPr>
          <a:solidFill>
            <a:srgbClr val="00B0F0"/>
          </a:solidFill>
          <a:ln>
            <a:noFill/>
          </a:ln>
          <a:effectLst/>
        </c:spPr>
      </c:pivotFmt>
      <c:pivotFmt>
        <c:idx val="55"/>
        <c:spPr>
          <a:solidFill>
            <a:srgbClr val="FFC000"/>
          </a:solidFill>
          <a:ln>
            <a:noFill/>
          </a:ln>
          <a:effectLst/>
        </c:spPr>
      </c:pivotFmt>
      <c:pivotFmt>
        <c:idx val="5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57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B9B9"/>
          </a:solidFill>
          <a:ln>
            <a:noFill/>
          </a:ln>
          <a:effectLst/>
        </c:spPr>
      </c:pivotFmt>
      <c:pivotFmt>
        <c:idx val="59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0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1"/>
        <c:spPr>
          <a:solidFill>
            <a:srgbClr val="D5FBFF"/>
          </a:solidFill>
          <a:ln>
            <a:noFill/>
          </a:ln>
          <a:effectLst/>
        </c:spPr>
      </c:pivotFmt>
      <c:pivotFmt>
        <c:idx val="62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3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'DBZ kwarty'!$X$3:$X$4</c:f>
              <c:strCache>
                <c:ptCount val="1"/>
                <c:pt idx="0">
                  <c:v>Suma z %O1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kwarty'!$X$5:$X$11</c:f>
              <c:numCache>
                <c:formatCode>0.0%</c:formatCode>
                <c:ptCount val="6"/>
                <c:pt idx="0">
                  <c:v>0.22777777777777777</c:v>
                </c:pt>
                <c:pt idx="1">
                  <c:v>0.28061224489795916</c:v>
                </c:pt>
                <c:pt idx="2">
                  <c:v>0.22543352601156069</c:v>
                </c:pt>
                <c:pt idx="3">
                  <c:v>0.22522522522522523</c:v>
                </c:pt>
                <c:pt idx="4">
                  <c:v>0.2183406113537118</c:v>
                </c:pt>
                <c:pt idx="5">
                  <c:v>0.24380165289256198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6-4E1B-AF23-5EEBF9E7FD30}"/>
            </c:ext>
          </c:extLst>
        </c:ser>
        <c:ser>
          <c:idx val="1"/>
          <c:order val="1"/>
          <c:tx>
            <c:strRef>
              <c:f>'DBZ kwarty'!$Y$3:$Y$4</c:f>
              <c:strCache>
                <c:ptCount val="1"/>
                <c:pt idx="0">
                  <c:v>Suma z %O2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kwarty'!$Y$5:$Y$11</c:f>
              <c:numCache>
                <c:formatCode>0.0%</c:formatCode>
                <c:ptCount val="6"/>
                <c:pt idx="0">
                  <c:v>0.16666666666666666</c:v>
                </c:pt>
                <c:pt idx="1">
                  <c:v>0.25</c:v>
                </c:pt>
                <c:pt idx="2">
                  <c:v>0.2832369942196532</c:v>
                </c:pt>
                <c:pt idx="3">
                  <c:v>0.25675675675675674</c:v>
                </c:pt>
                <c:pt idx="4">
                  <c:v>0.26637554585152839</c:v>
                </c:pt>
                <c:pt idx="5">
                  <c:v>0.21074380165289255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6-4E1B-AF23-5EEBF9E7FD30}"/>
            </c:ext>
          </c:extLst>
        </c:ser>
        <c:ser>
          <c:idx val="2"/>
          <c:order val="2"/>
          <c:tx>
            <c:strRef>
              <c:f>'DBZ kwarty'!$Z$3:$Z$4</c:f>
              <c:strCache>
                <c:ptCount val="1"/>
                <c:pt idx="0">
                  <c:v>Suma z %O3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kwarty'!$Z$5:$Z$11</c:f>
              <c:numCache>
                <c:formatCode>0.0%</c:formatCode>
                <c:ptCount val="6"/>
                <c:pt idx="0">
                  <c:v>0.28333333333333333</c:v>
                </c:pt>
                <c:pt idx="1">
                  <c:v>0.19897959183673469</c:v>
                </c:pt>
                <c:pt idx="2">
                  <c:v>0.1791907514450867</c:v>
                </c:pt>
                <c:pt idx="3">
                  <c:v>0.24774774774774774</c:v>
                </c:pt>
                <c:pt idx="4">
                  <c:v>0.24017467248908297</c:v>
                </c:pt>
                <c:pt idx="5">
                  <c:v>0.24380165289256198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26-4E1B-AF23-5EEBF9E7FD30}"/>
            </c:ext>
          </c:extLst>
        </c:ser>
        <c:ser>
          <c:idx val="3"/>
          <c:order val="3"/>
          <c:tx>
            <c:strRef>
              <c:f>'DBZ kwarty'!$AA$3:$AA$4</c:f>
              <c:strCache>
                <c:ptCount val="1"/>
                <c:pt idx="0">
                  <c:v>Suma z %O4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kwarty'!$AA$5:$AA$11</c:f>
              <c:numCache>
                <c:formatCode>0.0%</c:formatCode>
                <c:ptCount val="6"/>
                <c:pt idx="0">
                  <c:v>0.32222222222222224</c:v>
                </c:pt>
                <c:pt idx="1">
                  <c:v>0.27040816326530615</c:v>
                </c:pt>
                <c:pt idx="2">
                  <c:v>0.31213872832369943</c:v>
                </c:pt>
                <c:pt idx="3">
                  <c:v>0.27027027027027029</c:v>
                </c:pt>
                <c:pt idx="4">
                  <c:v>0.27510917030567683</c:v>
                </c:pt>
                <c:pt idx="5">
                  <c:v>0.30165289256198347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26-4E1B-AF23-5EEBF9E7FD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509631"/>
        <c:axId val="1843522111"/>
      </c:barChart>
      <c:catAx>
        <c:axId val="184350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22111"/>
        <c:crosses val="autoZero"/>
        <c:auto val="1"/>
        <c:lblAlgn val="ctr"/>
        <c:lblOffset val="100"/>
        <c:noMultiLvlLbl val="0"/>
      </c:catAx>
      <c:valAx>
        <c:axId val="18435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790590360724608"/>
          <c:y val="0.87101846320934018"/>
          <c:w val="0.86850045437478562"/>
          <c:h val="0.10829188161824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6350</xdr:rowOff>
    </xdr:from>
    <xdr:to>
      <xdr:col>8</xdr:col>
      <xdr:colOff>19050</xdr:colOff>
      <xdr:row>72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34DE92E-50B8-620D-6068-F2EFB6E52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20</xdr:col>
      <xdr:colOff>368300</xdr:colOff>
      <xdr:row>49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zespół">
              <a:extLst>
                <a:ext uri="{FF2B5EF4-FFF2-40B4-BE49-F238E27FC236}">
                  <a16:creationId xmlns:a16="http://schemas.microsoft.com/office/drawing/2014/main" id="{409F2E8A-34ED-1066-2FD9-4B891DCA6B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3300"/>
              <a:ext cx="18872200" cy="85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50</xdr:row>
      <xdr:rowOff>0</xdr:rowOff>
    </xdr:from>
    <xdr:to>
      <xdr:col>14</xdr:col>
      <xdr:colOff>4291</xdr:colOff>
      <xdr:row>72</xdr:row>
      <xdr:rowOff>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FB3E7D2C-2615-0561-8BA3-FDDA8D125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50</xdr:row>
      <xdr:rowOff>0</xdr:rowOff>
    </xdr:from>
    <xdr:to>
      <xdr:col>22</xdr:col>
      <xdr:colOff>0</xdr:colOff>
      <xdr:row>72</xdr:row>
      <xdr:rowOff>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64674425-6A89-766B-08F5-56E3165D3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8</xdr:col>
      <xdr:colOff>19050</xdr:colOff>
      <xdr:row>94</xdr:row>
      <xdr:rowOff>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EFCC0ED3-437F-F37F-DE77-2411F30BF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541</xdr:colOff>
      <xdr:row>72</xdr:row>
      <xdr:rowOff>0</xdr:rowOff>
    </xdr:from>
    <xdr:to>
      <xdr:col>14</xdr:col>
      <xdr:colOff>0</xdr:colOff>
      <xdr:row>94</xdr:row>
      <xdr:rowOff>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9ABAFD84-9A9E-A426-5F28-2480339F0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72</xdr:row>
      <xdr:rowOff>0</xdr:rowOff>
    </xdr:from>
    <xdr:to>
      <xdr:col>22</xdr:col>
      <xdr:colOff>0</xdr:colOff>
      <xdr:row>94</xdr:row>
      <xdr:rowOff>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27FB9496-0F1D-EF16-3A36-0491BC281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AB02CC7-F40E-4511-605A-62893DBA1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15</xdr:col>
      <xdr:colOff>0</xdr:colOff>
      <xdr:row>54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0D067C3-DFD8-5E97-2C21-1A4FE8DF3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444107F-B69E-2DA1-E7FA-2F93868EB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2391405E-B8AC-90F5-25DB-F006A2540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D9F146D-A123-CC98-52AE-23A39150D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23</xdr:col>
      <xdr:colOff>311150</xdr:colOff>
      <xdr:row>31</xdr:row>
      <xdr:rowOff>184149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zespół 1">
              <a:extLst>
                <a:ext uri="{FF2B5EF4-FFF2-40B4-BE49-F238E27FC236}">
                  <a16:creationId xmlns:a16="http://schemas.microsoft.com/office/drawing/2014/main" id="{E131172A-249F-2F41-73BA-13CECCAC49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3300"/>
              <a:ext cx="17418050" cy="920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54</xdr:row>
      <xdr:rowOff>0</xdr:rowOff>
    </xdr:from>
    <xdr:to>
      <xdr:col>24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792E6BF-F82A-111B-1303-2E0E3BFFA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152399</xdr:rowOff>
    </xdr:from>
    <xdr:to>
      <xdr:col>23</xdr:col>
      <xdr:colOff>425450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zespół 2">
              <a:extLst>
                <a:ext uri="{FF2B5EF4-FFF2-40B4-BE49-F238E27FC236}">
                  <a16:creationId xmlns:a16="http://schemas.microsoft.com/office/drawing/2014/main" id="{1173C5AC-7B93-0858-827E-B74C38E606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71549"/>
              <a:ext cx="18459450" cy="952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F02D1CC-3AF0-4C56-4819-632ACF8F3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15</xdr:col>
      <xdr:colOff>0</xdr:colOff>
      <xdr:row>54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AD31FC3-39BF-B014-269F-BB9357F05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6947F8E-022A-ED40-83B2-25F57DF7F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2D10022-D0F4-0B82-28A4-CAE548CD5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D393C49-B57A-D131-6E48-4C55C016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54</xdr:row>
      <xdr:rowOff>0</xdr:rowOff>
    </xdr:from>
    <xdr:to>
      <xdr:col>24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1C38122-360A-2AC4-CB14-B2B997F3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B8E47C0-0D75-42AA-5687-3741EADF1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59BF9D6-1DC6-462D-3651-6C0F6067A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24</xdr:col>
      <xdr:colOff>0</xdr:colOff>
      <xdr:row>58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74A5F8B-6557-A758-6CF7-8D0D525E1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08F9DEB-DA14-3CC7-E3C7-4533F9DD7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490A633-3EDF-38FD-D0B0-7E3943C0D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97EC9153-1DC1-4E92-DED3-ECB5A5237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24</xdr:col>
      <xdr:colOff>0</xdr:colOff>
      <xdr:row>36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64C073FE-9B79-458E-5EAC-6923AFBF5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6</xdr:col>
      <xdr:colOff>0</xdr:colOff>
      <xdr:row>72</xdr:row>
      <xdr:rowOff>177800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CEA131A5-7BA8-5D9C-EFF7-C872211BC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0</xdr:colOff>
      <xdr:row>73</xdr:row>
      <xdr:rowOff>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BD80D91C-EC91-BE49-ADB9-80F8B537A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18</xdr:col>
      <xdr:colOff>0</xdr:colOff>
      <xdr:row>73</xdr:row>
      <xdr:rowOff>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6AD6A457-C8FC-46B1-852D-9024B31B2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0</xdr:colOff>
      <xdr:row>58</xdr:row>
      <xdr:rowOff>0</xdr:rowOff>
    </xdr:from>
    <xdr:to>
      <xdr:col>24</xdr:col>
      <xdr:colOff>0</xdr:colOff>
      <xdr:row>73</xdr:row>
      <xdr:rowOff>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4D39A524-AD90-B199-6CF3-935FB077E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A3F0E-4F1E-BE9E-37D8-A5FF629C5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EECE507-F2AE-AFBD-C052-F8351BDD1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23</xdr:col>
      <xdr:colOff>0</xdr:colOff>
      <xdr:row>38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5D04E39-8734-A6ED-6BC9-F6FEB755D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10</xdr:col>
      <xdr:colOff>0</xdr:colOff>
      <xdr:row>61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5BF5B81-80AF-1D0C-74AB-4EA47BDBB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23</xdr:col>
      <xdr:colOff>0</xdr:colOff>
      <xdr:row>61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C35275E-3FAC-3B01-66B4-F923FFD29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8</xdr:col>
      <xdr:colOff>0</xdr:colOff>
      <xdr:row>76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E1E0C63-9AAB-6959-3994-9AD3B286B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88050596-A42F-B21B-E637-8FAEABD70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61</xdr:row>
      <xdr:rowOff>0</xdr:rowOff>
    </xdr:from>
    <xdr:to>
      <xdr:col>23</xdr:col>
      <xdr:colOff>0</xdr:colOff>
      <xdr:row>76</xdr:row>
      <xdr:rowOff>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B0E15D9-5007-D13D-73F6-D26ACEF1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1DA5FCA-E498-5CBE-0CF4-C0766A02E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552450</xdr:colOff>
      <xdr:row>42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180C90B-7C35-5064-0F14-8DD67D398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67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4004C4F-05B8-2BDB-4B0C-034670721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12</xdr:col>
      <xdr:colOff>552450</xdr:colOff>
      <xdr:row>67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5C2AE83-FFAE-22CA-3595-6635A1343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552450</xdr:colOff>
      <xdr:row>17</xdr:row>
      <xdr:rowOff>0</xdr:rowOff>
    </xdr:from>
    <xdr:to>
      <xdr:col>24</xdr:col>
      <xdr:colOff>0</xdr:colOff>
      <xdr:row>42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9B02248-A3D0-274C-2285-FA894E471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558800</xdr:colOff>
      <xdr:row>42</xdr:row>
      <xdr:rowOff>0</xdr:rowOff>
    </xdr:from>
    <xdr:to>
      <xdr:col>24</xdr:col>
      <xdr:colOff>0</xdr:colOff>
      <xdr:row>67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7140BA3-D0AB-B58F-4D09-0C3122627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ly" refreshedDate="46007.730020833333" createdVersion="8" refreshedVersion="8" minRefreshableVersion="3" recordCount="6" xr:uid="{40636BCC-8039-4E52-B823-D8EEEF85887E}">
  <cacheSource type="worksheet">
    <worksheetSource name="tbl_zespoły_średnie"/>
  </cacheSource>
  <cacheFields count="63">
    <cacheField name="zespół" numFmtId="0">
      <sharedItems count="6">
        <s v="Stare Byki"/>
        <s v="Hutnicze Wilki"/>
        <s v="Bycza Pułapka"/>
        <s v="Łodzie Podwodne"/>
        <s v="Koniki Polne Łąki"/>
        <s v="Wilki Radzymin"/>
      </sharedItems>
    </cacheField>
    <cacheField name="Played" numFmtId="0">
      <sharedItems containsSemiMixedTypes="0" containsString="0" containsNumber="1" containsInteger="1" minValue="4" maxValue="4"/>
    </cacheField>
    <cacheField name="Kolumna3" numFmtId="0">
      <sharedItems containsNonDate="0" containsString="0" containsBlank="1"/>
    </cacheField>
    <cacheField name="Kolumna2" numFmtId="0">
      <sharedItems containsNonDate="0" containsString="0" containsBlank="1"/>
    </cacheField>
    <cacheField name="Kolumna1" numFmtId="0">
      <sharedItems containsNonDate="0" containsString="0" containsBlank="1"/>
    </cacheField>
    <cacheField name="fgm" numFmtId="0">
      <sharedItems containsSemiMixedTypes="0" containsString="0" containsNumber="1" minValue="17.25" maxValue="24.25"/>
    </cacheField>
    <cacheField name="fga" numFmtId="0">
      <sharedItems containsSemiMixedTypes="0" containsString="0" containsNumber="1" minValue="59" maxValue="74.25"/>
    </cacheField>
    <cacheField name="3pm" numFmtId="0">
      <sharedItems containsSemiMixedTypes="0" containsString="0" containsNumber="1" minValue="3.25" maxValue="7"/>
    </cacheField>
    <cacheField name="3pa" numFmtId="0">
      <sharedItems containsSemiMixedTypes="0" containsString="0" containsNumber="1" minValue="15.75" maxValue="30.25"/>
    </cacheField>
    <cacheField name="ftm" numFmtId="0">
      <sharedItems containsSemiMixedTypes="0" containsString="0" containsNumber="1" minValue="3" maxValue="9.25"/>
    </cacheField>
    <cacheField name="fta" numFmtId="0">
      <sharedItems containsSemiMixedTypes="0" containsString="0" containsNumber="1" minValue="6.5" maxValue="18.5"/>
    </cacheField>
    <cacheField name="oreb" numFmtId="0">
      <sharedItems containsSemiMixedTypes="0" containsString="0" containsNumber="1" minValue="9" maxValue="15"/>
    </cacheField>
    <cacheField name="dreb" numFmtId="0">
      <sharedItems containsSemiMixedTypes="0" containsString="0" containsNumber="1" minValue="26.5" maxValue="32"/>
    </cacheField>
    <cacheField name="foul" numFmtId="0">
      <sharedItems containsSemiMixedTypes="0" containsString="0" containsNumber="1" minValue="5.5" maxValue="12.5"/>
    </cacheField>
    <cacheField name="stl" numFmtId="0">
      <sharedItems containsSemiMixedTypes="0" containsString="0" containsNumber="1" minValue="8.75" maxValue="16.5"/>
    </cacheField>
    <cacheField name="to" numFmtId="0">
      <sharedItems containsSemiMixedTypes="0" containsString="0" containsNumber="1" containsInteger="1" minValue="0" maxValue="0"/>
    </cacheField>
    <cacheField name="blk" numFmtId="0">
      <sharedItems containsSemiMixedTypes="0" containsString="0" containsNumber="1" minValue="2.25" maxValue="4.75"/>
    </cacheField>
    <cacheField name="asst" numFmtId="0">
      <sharedItems containsSemiMixedTypes="0" containsString="0" containsNumber="1" minValue="11" maxValue="16.25"/>
    </cacheField>
    <cacheField name="min" numFmtId="0">
      <sharedItems containsSemiMixedTypes="0" containsString="0" containsNumber="1" minValue="183.25" maxValue="197.5"/>
    </cacheField>
    <cacheField name="pts" numFmtId="0">
      <sharedItems containsSemiMixedTypes="0" containsString="0" containsNumber="1" minValue="44.5" maxValue="63.5"/>
    </cacheField>
    <cacheField name="reb total" numFmtId="0">
      <sharedItems containsSemiMixedTypes="0" containsString="0" containsNumber="1" minValue="38" maxValue="46"/>
    </cacheField>
    <cacheField name="fg%" numFmtId="9">
      <sharedItems containsSemiMixedTypes="0" containsString="0" containsNumber="1" minValue="0.27692307692307694" maxValue="0.34275618374558303"/>
    </cacheField>
    <cacheField name="3p%" numFmtId="9">
      <sharedItems containsSemiMixedTypes="0" containsString="0" containsNumber="1" minValue="0.16250000000000001" maxValue="0.24752475247524752"/>
    </cacheField>
    <cacheField name="ft%" numFmtId="9">
      <sharedItems containsSemiMixedTypes="0" containsString="0" containsNumber="1" minValue="0.44444444444444442" maxValue="0.57692307692307687"/>
    </cacheField>
    <cacheField name="TS%" numFmtId="9">
      <sharedItems containsSemiMixedTypes="0" containsString="0" containsNumber="1" minValue="0.31849413111938163" maxValue="0.39046721421839237"/>
    </cacheField>
    <cacheField name="eFG%" numFmtId="9">
      <sharedItems containsSemiMixedTypes="0" containsString="0" containsNumber="1" minValue="0.30410447761194032" maxValue="0.37985865724381623"/>
    </cacheField>
    <cacheField name="eval (bez strat)" numFmtId="0">
      <sharedItems containsSemiMixedTypes="0" containsString="0" containsNumber="1" minValue="60.25" maxValue="79.25"/>
    </cacheField>
    <cacheField name="FTr" numFmtId="9">
      <sharedItems containsSemiMixedTypes="0" containsString="0" containsNumber="1" minValue="9.4405594405594401E-2" maxValue="0.24915824915824916"/>
    </cacheField>
    <cacheField name="3PAr " numFmtId="9">
      <sharedItems containsSemiMixedTypes="0" containsString="0" containsNumber="1" minValue="0.22027972027972029" maxValue="0.4653846153846154"/>
    </cacheField>
    <cacheField name="Poss" numFmtId="164">
      <sharedItems containsSemiMixedTypes="0" containsString="0" containsNumber="1" minValue="54.86" maxValue="69.39"/>
    </cacheField>
    <cacheField name="Pace" numFmtId="164">
      <sharedItems containsSemiMixedTypes="0" containsString="0" containsNumber="1" minValue="57.11" maxValue="63.215000000000003"/>
    </cacheField>
    <cacheField name="Orating" numFmtId="164">
      <sharedItems containsSemiMixedTypes="0" containsString="0" containsNumber="1" minValue="80.8039376538146" maxValue="96.233615397378472"/>
    </cacheField>
    <cacheField name="Drating" numFmtId="164">
      <sharedItems containsSemiMixedTypes="0" containsString="0" containsNumber="1" minValue="76.205167712718236" maxValue="96.112667759262862"/>
    </cacheField>
    <cacheField name="Net RTG" numFmtId="164">
      <sharedItems containsSemiMixedTypes="0" containsString="0" containsNumber="1" minValue="-14.749031395626503" maxValue="15.306577495525033"/>
    </cacheField>
    <cacheField name="Points per Shot" numFmtId="2">
      <sharedItems containsSemiMixedTypes="0" containsString="0" containsNumber="1" minValue="0.66417910447761197" maxValue="0.85521885521885521"/>
    </cacheField>
    <cacheField name="AST%" numFmtId="9">
      <sharedItems containsSemiMixedTypes="0" containsString="0" containsNumber="1" minValue="0.48351648351648352" maxValue="0.6811594202898551"/>
    </cacheField>
    <cacheField name="ASTR" numFmtId="164">
      <sharedItems containsSemiMixedTypes="0" containsString="0" containsNumber="1" minValue="18.496721035816378" maxValue="26.962004313920691"/>
    </cacheField>
    <cacheField name="SQI" numFmtId="164">
      <sharedItems containsSemiMixedTypes="0" containsString="0" containsNumber="1" minValue="38.61388611388611" maxValue="46.693198790572289"/>
    </cacheField>
    <cacheField name="ORB%" numFmtId="9">
      <sharedItems containsSemiMixedTypes="0" containsString="0" containsNumber="1" minValue="0.21556886227544911" maxValue="0.36585365853658536"/>
    </cacheField>
    <cacheField name="DRB%" numFmtId="9">
      <sharedItems containsSemiMixedTypes="0" containsString="0" containsNumber="1" minValue="0.61290322580645162" maxValue="0.77551020408163263"/>
    </cacheField>
    <cacheField name="TRB%" numFmtId="9">
      <sharedItems containsSemiMixedTypes="0" containsString="0" containsNumber="1" minValue="0.46200607902735563" maxValue="0.54037267080745344"/>
    </cacheField>
    <cacheField name="RebDiff" numFmtId="0">
      <sharedItems containsSemiMixedTypes="0" containsString="0" containsNumber="1" containsInteger="1" minValue="-25" maxValue="26"/>
    </cacheField>
    <cacheField name="OR.R" numFmtId="9">
      <sharedItems containsSemiMixedTypes="0" containsString="0" containsNumber="1" minValue="0.19148936170212766" maxValue="0.31088082901554404"/>
    </cacheField>
    <cacheField name="RPA" numFmtId="0">
      <sharedItems containsSemiMixedTypes="0" containsString="0" containsNumber="1" minValue="19" maxValue="25.799999999999997"/>
    </cacheField>
    <cacheField name="GmScore" numFmtId="0">
      <sharedItems containsSemiMixedTypes="0" containsString="0" containsNumber="1" minValue="42.874999999999993" maxValue="63.29999999999999"/>
    </cacheField>
    <cacheField name="2pAr" numFmtId="9">
      <sharedItems containsSemiMixedTypes="0" containsString="0" containsNumber="1" minValue="0.5346153846153846" maxValue="0.77972027972027969"/>
    </cacheField>
    <cacheField name="Q1" numFmtId="0">
      <sharedItems containsSemiMixedTypes="0" containsString="0" containsNumber="1" minValue="10.25" maxValue="14.75"/>
    </cacheField>
    <cacheField name="Q2" numFmtId="0">
      <sharedItems containsSemiMixedTypes="0" containsString="0" containsNumber="1" minValue="8.75" maxValue="17"/>
    </cacheField>
    <cacheField name="Q3" numFmtId="0">
      <sharedItems containsSemiMixedTypes="0" containsString="0" containsNumber="1" minValue="10.5" maxValue="14"/>
    </cacheField>
    <cacheField name="Q4" numFmtId="0">
      <sharedItems containsSemiMixedTypes="0" containsString="0" containsNumber="1" minValue="10.25" maxValue="19.5"/>
    </cacheField>
    <cacheField name="O1" numFmtId="0">
      <sharedItems containsSemiMixedTypes="0" containsString="0" containsNumber="1" minValue="9.75" maxValue="14.75"/>
    </cacheField>
    <cacheField name="O2" numFmtId="0">
      <sharedItems containsSemiMixedTypes="0" containsString="0" containsNumber="1" minValue="7.5" maxValue="15.25"/>
    </cacheField>
    <cacheField name="O3" numFmtId="0">
      <sharedItems containsSemiMixedTypes="0" containsString="0" containsNumber="1" minValue="7.75" maxValue="14.75"/>
    </cacheField>
    <cacheField name="O4" numFmtId="0">
      <sharedItems containsSemiMixedTypes="0" containsString="0" containsNumber="1" minValue="13.25" maxValue="18.25"/>
    </cacheField>
    <cacheField name="pts OPP" numFmtId="0">
      <sharedItems containsSemiMixedTypes="0" containsString="0" containsNumber="1" minValue="43.25" maxValue="60.5"/>
    </cacheField>
    <cacheField name="%Q1" numFmtId="9">
      <sharedItems containsSemiMixedTypes="0" containsString="0" containsNumber="1" minValue="0.2233502538071066" maxValue="0.24880382775119617"/>
    </cacheField>
    <cacheField name="%Q2" numFmtId="9">
      <sharedItems containsSemiMixedTypes="0" containsString="0" containsNumber="1" minValue="0.19553072625698323" maxValue="0.26771653543307089"/>
    </cacheField>
    <cacheField name="%Q3" numFmtId="9">
      <sharedItems containsSemiMixedTypes="0" containsString="0" containsNumber="1" minValue="0.19291338582677164" maxValue="0.2808988764044944"/>
    </cacheField>
    <cacheField name="%Q4" numFmtId="9">
      <sharedItems containsSemiMixedTypes="0" containsString="0" containsNumber="1" minValue="0.2303370786516854" maxValue="0.34010152284263961"/>
    </cacheField>
    <cacheField name="%O1" numFmtId="9">
      <sharedItems containsSemiMixedTypes="0" containsString="0" containsNumber="1" minValue="0.2183406113537118" maxValue="0.28061224489795916"/>
    </cacheField>
    <cacheField name="%O2" numFmtId="9">
      <sharedItems containsSemiMixedTypes="0" containsString="0" containsNumber="1" minValue="0.16666666666666666" maxValue="0.2832369942196532"/>
    </cacheField>
    <cacheField name="%O3" numFmtId="9">
      <sharedItems containsSemiMixedTypes="0" containsString="0" containsNumber="1" minValue="0.1791907514450867" maxValue="0.28333333333333333"/>
    </cacheField>
    <cacheField name="%O4" numFmtId="9">
      <sharedItems containsSemiMixedTypes="0" containsString="0" containsNumber="1" minValue="0.27027027027027029" maxValue="0.322222222222222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ly" refreshedDate="46007.73002534722" createdVersion="8" refreshedVersion="8" minRefreshableVersion="3" recordCount="68" xr:uid="{C54E9328-3F3A-4FB5-B928-89476BED88B3}">
  <cacheSource type="worksheet">
    <worksheetSource name="tbl_zawodnicy_średnie"/>
  </cacheSource>
  <cacheFields count="44">
    <cacheField name="zespół" numFmtId="0">
      <sharedItems count="6">
        <s v="Stare Byki"/>
        <s v="Hutnicze Wilki"/>
        <s v="Bycza Pułapka"/>
        <s v="Łodzie Podwodne"/>
        <s v="Koniki Polne Łąki"/>
        <s v="Wilki Radzymin"/>
      </sharedItems>
    </cacheField>
    <cacheField name="I. Nazwisko" numFmtId="0">
      <sharedItems/>
    </cacheField>
    <cacheField name="Played" numFmtId="0">
      <sharedItems containsSemiMixedTypes="0" containsString="0" containsNumber="1" containsInteger="1" minValue="0" maxValue="4" count="5">
        <n v="4"/>
        <n v="3"/>
        <n v="2"/>
        <n v="1"/>
        <n v="0" u="1"/>
      </sharedItems>
    </cacheField>
    <cacheField name="fgm" numFmtId="164">
      <sharedItems containsSemiMixedTypes="0" containsString="0" containsNumber="1" minValue="0" maxValue="10"/>
    </cacheField>
    <cacheField name="fga" numFmtId="164">
      <sharedItems containsSemiMixedTypes="0" containsString="0" containsNumber="1" minValue="0.5" maxValue="31.5"/>
    </cacheField>
    <cacheField name="3pm" numFmtId="164">
      <sharedItems containsSemiMixedTypes="0" containsString="0" containsNumber="1" minValue="0" maxValue="5"/>
    </cacheField>
    <cacheField name="3pa" numFmtId="164">
      <sharedItems containsSemiMixedTypes="0" containsString="0" containsNumber="1" minValue="0" maxValue="25"/>
    </cacheField>
    <cacheField name="ftm" numFmtId="164">
      <sharedItems containsSemiMixedTypes="0" containsString="0" containsNumber="1" minValue="0" maxValue="6"/>
    </cacheField>
    <cacheField name="fta" numFmtId="164">
      <sharedItems containsSemiMixedTypes="0" containsString="0" containsNumber="1" minValue="0" maxValue="10"/>
    </cacheField>
    <cacheField name="oreb" numFmtId="164">
      <sharedItems containsSemiMixedTypes="0" containsString="0" containsNumber="1" minValue="0" maxValue="9"/>
    </cacheField>
    <cacheField name="dreb" numFmtId="164">
      <sharedItems containsSemiMixedTypes="0" containsString="0" containsNumber="1" minValue="0" maxValue="13"/>
    </cacheField>
    <cacheField name="foul" numFmtId="164">
      <sharedItems containsSemiMixedTypes="0" containsString="0" containsNumber="1" minValue="0" maxValue="4.333333333333333"/>
    </cacheField>
    <cacheField name="stl" numFmtId="164">
      <sharedItems containsSemiMixedTypes="0" containsString="0" containsNumber="1" minValue="0" maxValue="6"/>
    </cacheField>
    <cacheField name="to" numFmtId="164">
      <sharedItems containsSemiMixedTypes="0" containsString="0" containsNumber="1" containsInteger="1" minValue="0" maxValue="0"/>
    </cacheField>
    <cacheField name="blk" numFmtId="164">
      <sharedItems containsSemiMixedTypes="0" containsString="0" containsNumber="1" minValue="0" maxValue="2"/>
    </cacheField>
    <cacheField name="asst" numFmtId="164">
      <sharedItems containsSemiMixedTypes="0" containsString="0" containsNumber="1" minValue="0" maxValue="6"/>
    </cacheField>
    <cacheField name="min" numFmtId="164">
      <sharedItems containsSemiMixedTypes="0" containsString="0" containsNumber="1" minValue="4" maxValue="40"/>
    </cacheField>
    <cacheField name="pts" numFmtId="164">
      <sharedItems containsSemiMixedTypes="0" containsString="0" containsNumber="1" minValue="0" maxValue="24"/>
    </cacheField>
    <cacheField name="reb total" numFmtId="164">
      <sharedItems containsSemiMixedTypes="0" containsString="0" containsNumber="1" minValue="0" maxValue="20"/>
    </cacheField>
    <cacheField name="fg%" numFmtId="9">
      <sharedItems containsSemiMixedTypes="0" containsString="0" containsNumber="1" minValue="0" maxValue="1"/>
    </cacheField>
    <cacheField name="3p%" numFmtId="9">
      <sharedItems containsSemiMixedTypes="0" containsString="0" containsNumber="1" minValue="0" maxValue="1"/>
    </cacheField>
    <cacheField name="ft%" numFmtId="9">
      <sharedItems containsSemiMixedTypes="0" containsString="0" containsNumber="1" minValue="0" maxValue="1"/>
    </cacheField>
    <cacheField name="2p%" numFmtId="9">
      <sharedItems containsSemiMixedTypes="0" containsString="0" containsNumber="1" minValue="0" maxValue="1"/>
    </cacheField>
    <cacheField name="TS%" numFmtId="9">
      <sharedItems containsSemiMixedTypes="0" containsString="0" containsNumber="1" minValue="0" maxValue="1"/>
    </cacheField>
    <cacheField name="eFG%" numFmtId="9">
      <sharedItems containsSemiMixedTypes="0" containsString="0" containsNumber="1" minValue="0" maxValue="1"/>
    </cacheField>
    <cacheField name="EVAL" numFmtId="164">
      <sharedItems containsSemiMixedTypes="0" containsString="0" containsNumber="1" minValue="-3" maxValue="28"/>
    </cacheField>
    <cacheField name="FTr" numFmtId="9">
      <sharedItems containsSemiMixedTypes="0" containsString="0" containsNumber="1" minValue="0" maxValue="1"/>
    </cacheField>
    <cacheField name="3PAr " numFmtId="9">
      <sharedItems containsSemiMixedTypes="0" containsString="0" containsNumber="1" minValue="0" maxValue="0.84210526315789469"/>
    </cacheField>
    <cacheField name="USG%" numFmtId="165">
      <sharedItems containsSemiMixedTypes="0" containsString="0" containsNumber="1" minValue="6.0827250608272501E-3" maxValue="0.43567332792792546"/>
    </cacheField>
    <cacheField name="Pts/40" numFmtId="164">
      <sharedItems containsSemiMixedTypes="0" containsString="0" containsNumber="1" minValue="0" maxValue="30"/>
    </cacheField>
    <cacheField name="Reb/40" numFmtId="164">
      <sharedItems containsSemiMixedTypes="0" containsString="0" containsNumber="1" minValue="0" maxValue="27.586206896551726"/>
    </cacheField>
    <cacheField name="A/40" numFmtId="2">
      <sharedItems containsSemiMixedTypes="0" containsString="0" containsNumber="1" minValue="0" maxValue="8.8888888888888893"/>
    </cacheField>
    <cacheField name="PpS" numFmtId="2">
      <sharedItems containsSemiMixedTypes="0" containsString="0" containsNumber="1" minValue="0" maxValue="2"/>
    </cacheField>
    <cacheField name="DP40" numFmtId="2">
      <sharedItems containsSemiMixedTypes="0" containsString="0" containsNumber="1" minValue="0" maxValue="9.6551724137931032"/>
    </cacheField>
    <cacheField name="DI" numFmtId="9">
      <sharedItems containsSemiMixedTypes="0" containsString="0" containsNumber="1" minValue="0" maxValue="0.33556149732620322"/>
    </cacheField>
    <cacheField name="DA" numFmtId="164">
      <sharedItems containsSemiMixedTypes="0" containsString="0" containsNumber="1" minValue="0" maxValue="12.5"/>
    </cacheField>
    <cacheField name="DEpM" numFmtId="166">
      <sharedItems containsSemiMixedTypes="0" containsString="0" containsNumber="1" minValue="0" maxValue="0.43103448275862066"/>
    </cacheField>
    <cacheField name="GmSc" numFmtId="164">
      <sharedItems containsSemiMixedTypes="0" containsString="0" containsNumber="1" minValue="-1.0499999999999998" maxValue="23.400000000000002"/>
    </cacheField>
    <cacheField name="GmSc/40" numFmtId="164">
      <sharedItems containsSemiMixedTypes="0" containsString="0" containsNumber="1" minValue="-4.4999999999999982" maxValue="27.130434782608699"/>
    </cacheField>
    <cacheField name="EVAL/40" numFmtId="164">
      <sharedItems containsSemiMixedTypes="0" containsString="0" containsNumber="1" minValue="-7.5" maxValue="38.620689655172413"/>
    </cacheField>
    <cacheField name="2pm" numFmtId="164">
      <sharedItems containsSemiMixedTypes="0" containsString="0" containsNumber="1" minValue="0" maxValue="9.6666666666666661"/>
    </cacheField>
    <cacheField name="2pa" numFmtId="164">
      <sharedItems containsSemiMixedTypes="0" containsString="0" containsNumber="1" minValue="0.5" maxValue="16.666666666666668"/>
    </cacheField>
    <cacheField name="ID" numFmtId="0">
      <sharedItems containsString="0" containsBlank="1" containsNumber="1" containsInteger="1" minValue="1" maxValue="64"/>
    </cacheField>
    <cacheField name="I.Nazw[ZES]" numFmtId="164">
      <sharedItems count="79">
        <s v="G. Bańkowski [STA]"/>
        <s v="B. Okaczuk [STA]"/>
        <s v="K. Walaszczyk [STA]"/>
        <s v="J. Olszewski [STA]"/>
        <s v="S. Mrożek [STA]"/>
        <s v="M. Burczyński [STA]"/>
        <s v="P. Roguski [STA]"/>
        <s v="R. Kielczyk [STA]"/>
        <s v="T. Kowalczyk [STA]"/>
        <s v="S. Saushkin [HUT]"/>
        <s v="K. Grzegorzak [HUT]"/>
        <s v="A. Nyckowski [HUT]"/>
        <s v="D. Reguła [HUT]"/>
        <s v="P. Targoński [HUT]"/>
        <s v="Ł. Sulejewski [BYP]"/>
        <s v="P. Wołczyński [BYP]"/>
        <s v="J. Kurek [BYP]"/>
        <s v="A. Stańczuk [BYP]"/>
        <s v="R. Mućka [BYP]"/>
        <s v="J. Warda [BYP]"/>
        <s v="Ł. Flaga [BYP]"/>
        <s v="P. Piotrowski [BYP]"/>
        <s v="S. Gąsiorowski [ŁOD]"/>
        <s v="F. Gąsiorowski [ŁOD]"/>
        <s v="T. Prażmowski [ŁOD]"/>
        <s v="M. Leśniak [ŁOD]"/>
        <s v="K. Bereda [ŁOD]"/>
        <s v="M. Łukasiuk [ŁOD]"/>
        <s v="M. Mąkowski [ŁOD]"/>
        <s v="D. Hentosz [KON]"/>
        <s v="A. Franko [KON]"/>
        <s v="M. Matusik [KON]"/>
        <s v="D. Więcław [KON]"/>
        <s v="D. Wardak [KON]"/>
        <s v="A. Godlewski [KON]"/>
        <s v="P. Makieła [KON]"/>
        <s v="C. Mavity [WIL]"/>
        <s v="Ł. Bułanowski [WIL]"/>
        <s v="P. Kaszuba [WIL]"/>
        <s v="D. Sobański [WIL]"/>
        <s v="W. Sienkowski [WIL]"/>
        <s v="M. Karczmarczyk [WIL]"/>
        <s v="M. Nagrodzki [WIL]"/>
        <s v="J. Karolczuk [WIL]"/>
        <s v="K. Kondeja [WIL]"/>
        <s v="G. Jusiński [WIL]"/>
        <s v="L. Prokopczuk [KON]"/>
        <s v="J. Radomski [KON]"/>
        <s v="P. Michalski [WIL]"/>
        <s v="B. Sanner [WIL]"/>
        <s v="A. Sikora [WIL]"/>
        <s v="P. Kozlowski [BYP]"/>
        <s v="M. Bartosiewicz [ŁOD]"/>
        <s v="P. Gawryś [ŁOD]"/>
        <s v="D. Newteruk [HUT]"/>
        <s v="S. Gonchar [HUT]"/>
        <s v="F. Firas [STA]"/>
        <s v="A. Zverev [HUT]"/>
        <s v="B. Kichuk [HUT]"/>
        <s v="K. Mikolaj [HUT]"/>
        <s v="V. Kurshynov [HUT]"/>
        <s v="P. Durka [BYP]"/>
        <s v="F. Szymor [BYP]"/>
        <s v="F. Siemiątkowski [ŁOD]"/>
        <s v="B. Konwicki [STA]"/>
        <s v="M. Kutz [HUT]"/>
        <s v="W. Pyszyński [HUT]"/>
        <s v="T. Gortat [ŁOD]"/>
        <s v="P. Rogulski [STA]" u="1"/>
        <s v="T. Rosłon [KON]" u="1"/>
        <s v="Ł. Całka [WIL]" u="1"/>
        <s v="A. Rostkowski [STA]" u="1"/>
        <s v="J. Filipiak [HUT]" u="1"/>
        <s v="C. Le Jean [HUT]" u="1"/>
        <s v="R. Machvudzi [HUT]" u="1"/>
        <s v="M. Stanazenko [HUT]" u="1"/>
        <s v="I. Richard [HUT]" u="1"/>
        <s v="C. Mavit [WIL]" u="1"/>
        <s v="P. Kozłowski [BYP]" u="1"/>
      </sharedItems>
    </cacheField>
  </cacheFields>
  <extLst>
    <ext xmlns:x14="http://schemas.microsoft.com/office/spreadsheetml/2009/9/main" uri="{725AE2AE-9491-48be-B2B4-4EB974FC3084}">
      <x14:pivotCacheDefinition pivotCacheId="20797495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"/>
    <m/>
    <m/>
    <m/>
    <n v="18.75"/>
    <n v="67"/>
    <n v="3.25"/>
    <n v="20"/>
    <n v="3.75"/>
    <n v="6.5"/>
    <n v="15"/>
    <n v="31"/>
    <n v="10.75"/>
    <n v="8.75"/>
    <n v="0"/>
    <n v="3.25"/>
    <n v="11.5"/>
    <n v="193.25"/>
    <n v="44.5"/>
    <n v="46"/>
    <n v="0.27985074626865669"/>
    <n v="0.16250000000000001"/>
    <n v="0.57692307692307687"/>
    <n v="0.31849413111938163"/>
    <n v="0.30410447761194032"/>
    <n v="63"/>
    <n v="9.7014925373134331E-2"/>
    <n v="0.29850746268656714"/>
    <n v="54.86"/>
    <n v="57.589999999999996"/>
    <n v="81.115566897557429"/>
    <n v="80.507075105276542"/>
    <n v="0.60849179228088701"/>
    <n v="0.66417910447761197"/>
    <n v="0.61333333333333329"/>
    <n v="20.96244987240248"/>
    <n v="39.687313432835822"/>
    <n v="0.36585365853658536"/>
    <n v="0.69273743016759781"/>
    <n v="0.53644314868804666"/>
    <n v="25"/>
    <n v="0.31088082901554404"/>
    <n v="25.799999999999997"/>
    <n v="42.874999999999993"/>
    <n v="0.70149253731343286"/>
    <n v="10.75"/>
    <n v="11"/>
    <n v="12.5"/>
    <n v="10.25"/>
    <n v="13.75"/>
    <n v="12.25"/>
    <n v="9.75"/>
    <n v="13.25"/>
    <n v="49"/>
    <n v="0.24157303370786518"/>
    <n v="0.24719101123595505"/>
    <n v="0.2808988764044944"/>
    <n v="0.2303370786516854"/>
    <n v="0.28061224489795916"/>
    <n v="0.25"/>
    <n v="0.19897959183673469"/>
    <n v="0.27040816326530615"/>
  </r>
  <r>
    <x v="1"/>
    <n v="4"/>
    <m/>
    <m/>
    <m/>
    <n v="24.25"/>
    <n v="70.75"/>
    <n v="5.25"/>
    <n v="25.75"/>
    <n v="3.75"/>
    <n v="8"/>
    <n v="14"/>
    <n v="26.5"/>
    <n v="6.25"/>
    <n v="13"/>
    <n v="0"/>
    <n v="2.25"/>
    <n v="16.25"/>
    <n v="188.75"/>
    <n v="58"/>
    <n v="40.5"/>
    <n v="0.34275618374558303"/>
    <n v="0.20388349514563106"/>
    <n v="0.46875"/>
    <n v="0.39046721421839237"/>
    <n v="0.37985865724381623"/>
    <n v="79.25"/>
    <n v="0.11307420494699646"/>
    <n v="0.36395759717314485"/>
    <n v="60.269999999999996"/>
    <n v="60.864999999999995"/>
    <n v="96.233615397378472"/>
    <n v="95.208076229376019"/>
    <n v="1.025539168002453"/>
    <n v="0.81978798586572443"/>
    <n v="0.67010309278350511"/>
    <n v="26.962004313920691"/>
    <n v="46.693198790572289"/>
    <n v="0.32558139534883723"/>
    <n v="0.68387096774193545"/>
    <n v="0.49541284403669728"/>
    <n v="-3"/>
    <n v="0.30107526881720431"/>
    <n v="23.35"/>
    <n v="60.175000000000011"/>
    <n v="0.63604240282685509"/>
    <n v="13.75"/>
    <n v="14.25"/>
    <n v="14"/>
    <n v="15.75"/>
    <n v="12.5"/>
    <n v="15.25"/>
    <n v="13.75"/>
    <n v="15.75"/>
    <n v="57.25"/>
    <n v="0.23706896551724138"/>
    <n v="0.24568965517241378"/>
    <n v="0.2413793103448276"/>
    <n v="0.27155172413793105"/>
    <n v="0.2183406113537118"/>
    <n v="0.26637554585152839"/>
    <n v="0.24017467248908297"/>
    <n v="0.27510917030567683"/>
  </r>
  <r>
    <x v="2"/>
    <n v="4"/>
    <m/>
    <m/>
    <m/>
    <n v="17.25"/>
    <n v="59"/>
    <n v="3.75"/>
    <n v="18.5"/>
    <n v="6.5"/>
    <n v="12.5"/>
    <n v="9.5"/>
    <n v="28.5"/>
    <n v="6.75"/>
    <n v="8.75"/>
    <n v="0"/>
    <n v="4.75"/>
    <n v="11.75"/>
    <n v="183.75"/>
    <n v="44.75"/>
    <n v="38"/>
    <n v="0.2923728813559322"/>
    <n v="0.20270270270270271"/>
    <n v="0.52"/>
    <n v="0.34689922480620156"/>
    <n v="0.32415254237288138"/>
    <n v="60.25"/>
    <n v="0.21186440677966101"/>
    <n v="0.3135593220338983"/>
    <n v="55"/>
    <n v="58.449999999999996"/>
    <n v="81.36363636363636"/>
    <n v="96.112667759262862"/>
    <n v="-14.749031395626503"/>
    <n v="0.75847457627118642"/>
    <n v="0.6811594202898551"/>
    <n v="21.363636363636363"/>
    <n v="43.125460574797344"/>
    <n v="0.26573426573426573"/>
    <n v="0.61290322580645162"/>
    <n v="0.46200607902735563"/>
    <n v="-25"/>
    <n v="0.22754491017964071"/>
    <n v="19"/>
    <n v="43.45"/>
    <n v="0.68644067796610164"/>
    <n v="10.25"/>
    <n v="8.75"/>
    <n v="12.25"/>
    <n v="13.5"/>
    <n v="14.75"/>
    <n v="12.75"/>
    <n v="14.75"/>
    <n v="18.25"/>
    <n v="60.5"/>
    <n v="0.22905027932960895"/>
    <n v="0.19553072625698323"/>
    <n v="0.27374301675977653"/>
    <n v="0.3016759776536313"/>
    <n v="0.24380165289256198"/>
    <n v="0.21074380165289255"/>
    <n v="0.24380165289256198"/>
    <n v="0.30165289256198347"/>
  </r>
  <r>
    <x v="3"/>
    <n v="4"/>
    <m/>
    <m/>
    <m/>
    <n v="24"/>
    <n v="74.25"/>
    <n v="6.25"/>
    <n v="25.25"/>
    <n v="9.25"/>
    <n v="18.5"/>
    <n v="13"/>
    <n v="28.5"/>
    <n v="5.5"/>
    <n v="16.5"/>
    <n v="0"/>
    <n v="2.75"/>
    <n v="14"/>
    <n v="195.25"/>
    <n v="63.5"/>
    <n v="41.5"/>
    <n v="0.32323232323232326"/>
    <n v="0.24752475247524752"/>
    <n v="0.5"/>
    <n v="0.3853623012501517"/>
    <n v="0.36531986531986532"/>
    <n v="78.75"/>
    <n v="0.24915824915824916"/>
    <n v="0.34006734006734007"/>
    <n v="69.39"/>
    <n v="62.71"/>
    <n v="91.511745208243269"/>
    <n v="76.205167712718236"/>
    <n v="15.306577495525033"/>
    <n v="0.85521885521885521"/>
    <n v="0.58333333333333337"/>
    <n v="20.175817841187492"/>
    <n v="43.072390572390574"/>
    <n v="0.287292817679558"/>
    <n v="0.71698113207547165"/>
    <n v="0.48823529411764705"/>
    <n v="-8"/>
    <n v="0.25870646766169153"/>
    <n v="22.85"/>
    <n v="63.29999999999999"/>
    <n v="0.65993265993265993"/>
    <n v="14.75"/>
    <n v="17"/>
    <n v="12.25"/>
    <n v="19.5"/>
    <n v="9.75"/>
    <n v="12.25"/>
    <n v="7.75"/>
    <n v="13.5"/>
    <n v="43.25"/>
    <n v="0.23228346456692914"/>
    <n v="0.26771653543307089"/>
    <n v="0.19291338582677164"/>
    <n v="0.30708661417322836"/>
    <n v="0.22543352601156069"/>
    <n v="0.2832369942196532"/>
    <n v="0.1791907514450867"/>
    <n v="0.31213872832369943"/>
  </r>
  <r>
    <x v="4"/>
    <n v="4"/>
    <m/>
    <m/>
    <m/>
    <n v="18"/>
    <n v="65"/>
    <n v="7"/>
    <n v="30.25"/>
    <n v="6.25"/>
    <n v="11.25"/>
    <n v="9"/>
    <n v="32"/>
    <n v="7.5"/>
    <n v="10"/>
    <n v="0"/>
    <n v="2.25"/>
    <n v="11.75"/>
    <n v="197.5"/>
    <n v="49.25"/>
    <n v="41"/>
    <n v="0.27692307692307694"/>
    <n v="0.23140495867768596"/>
    <n v="0.55555555555555558"/>
    <n v="0.35203716940671909"/>
    <n v="0.33076923076923076"/>
    <n v="62.25"/>
    <n v="0.17307692307692307"/>
    <n v="0.4653846153846154"/>
    <n v="60.95"/>
    <n v="63.215000000000003"/>
    <n v="80.8039376538146"/>
    <n v="85.523719034466822"/>
    <n v="-4.719781380652222"/>
    <n v="0.75769230769230766"/>
    <n v="0.65277777777777779"/>
    <n v="19.278096800656275"/>
    <n v="42.737179487179489"/>
    <n v="0.21556886227544911"/>
    <n v="0.72727272727272729"/>
    <n v="0.478134110787172"/>
    <n v="-15"/>
    <n v="0.19148936170212766"/>
    <n v="19.5"/>
    <n v="44.650000000000006"/>
    <n v="0.5346153846153846"/>
    <n v="11"/>
    <n v="10.5"/>
    <n v="11"/>
    <n v="16.75"/>
    <n v="12.5"/>
    <n v="14.25"/>
    <n v="13.75"/>
    <n v="15"/>
    <n v="55.5"/>
    <n v="0.2233502538071066"/>
    <n v="0.21319796954314721"/>
    <n v="0.2233502538071066"/>
    <n v="0.34010152284263961"/>
    <n v="0.22522522522522523"/>
    <n v="0.25675675675675674"/>
    <n v="0.24774774774774774"/>
    <n v="0.27027027027027029"/>
  </r>
  <r>
    <x v="5"/>
    <n v="4"/>
    <m/>
    <m/>
    <m/>
    <n v="22.75"/>
    <n v="71.5"/>
    <n v="3.75"/>
    <n v="15.75"/>
    <n v="3"/>
    <n v="6.75"/>
    <n v="15"/>
    <n v="28.5"/>
    <n v="12.5"/>
    <n v="13.5"/>
    <n v="0"/>
    <n v="2.75"/>
    <n v="11"/>
    <n v="183.25"/>
    <n v="52.25"/>
    <n v="43.5"/>
    <n v="0.31818181818181818"/>
    <n v="0.23809523809523808"/>
    <n v="0.44444444444444442"/>
    <n v="0.35081240768094535"/>
    <n v="0.34440559440559443"/>
    <n v="70.5"/>
    <n v="9.4405594405594401E-2"/>
    <n v="0.22027972027972029"/>
    <n v="59.47"/>
    <n v="57.11"/>
    <n v="87.859424920127793"/>
    <n v="81.988520953792815"/>
    <n v="5.8709039663349785"/>
    <n v="0.73076923076923073"/>
    <n v="0.48351648351648352"/>
    <n v="18.496721035816378"/>
    <n v="38.61388611388611"/>
    <n v="0.34285714285714286"/>
    <n v="0.77551020408163263"/>
    <n v="0.54037267080745344"/>
    <n v="26"/>
    <n v="0.30769230769230771"/>
    <n v="25.049999999999997"/>
    <n v="51.974999999999994"/>
    <n v="0.77972027972027969"/>
    <n v="13"/>
    <n v="12.75"/>
    <n v="10.5"/>
    <n v="14.5"/>
    <n v="10.25"/>
    <n v="7.5"/>
    <n v="12.75"/>
    <n v="14.5"/>
    <n v="45"/>
    <n v="0.24880382775119617"/>
    <n v="0.24401913875598086"/>
    <n v="0.20095693779904306"/>
    <n v="0.27751196172248804"/>
    <n v="0.22777777777777777"/>
    <n v="0.16666666666666666"/>
    <n v="0.28333333333333333"/>
    <n v="0.322222222222222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s v="G. Bańkowski"/>
    <x v="0"/>
    <n v="5.75"/>
    <n v="12.75"/>
    <n v="0.5"/>
    <n v="1.5"/>
    <n v="0.25"/>
    <n v="0.5"/>
    <n v="3.75"/>
    <n v="6"/>
    <n v="0.75"/>
    <n v="0.25"/>
    <n v="0"/>
    <n v="1.25"/>
    <n v="0.25"/>
    <n v="24"/>
    <n v="12.25"/>
    <n v="9.75"/>
    <n v="0.45098039215686275"/>
    <n v="0.33333333333333331"/>
    <n v="0.5"/>
    <n v="0.46666666666666667"/>
    <n v="0.47224363916730916"/>
    <n v="0.47058823529411764"/>
    <n v="16.5"/>
    <n v="3.9215686274509803E-2"/>
    <n v="0.11764705882352941"/>
    <n v="0.18502710084030766"/>
    <n v="20.416666666666668"/>
    <n v="16.25"/>
    <n v="0.41666666666666669"/>
    <n v="0.96078431372549022"/>
    <n v="2.5"/>
    <n v="0.10833333333333334"/>
    <n v="4.5"/>
    <n v="0.1875"/>
    <n v="11.250000000000004"/>
    <n v="18.750000000000007"/>
    <n v="27.5"/>
    <n v="5.25"/>
    <n v="11.25"/>
    <n v="1"/>
    <x v="0"/>
  </r>
  <r>
    <x v="0"/>
    <s v="B. Okaczuk"/>
    <x v="1"/>
    <n v="2.6666666666666665"/>
    <n v="8.6666666666666661"/>
    <n v="0.33333333333333331"/>
    <n v="2.3333333333333335"/>
    <n v="2.6666666666666665"/>
    <n v="3.3333333333333335"/>
    <n v="0.66666666666666663"/>
    <n v="4"/>
    <n v="0.33333333333333331"/>
    <n v="1"/>
    <n v="0"/>
    <n v="0"/>
    <n v="3.3333333333333335"/>
    <n v="18.666666666666668"/>
    <n v="8.3333333333333339"/>
    <n v="4.666666666666667"/>
    <n v="0.30769230769230771"/>
    <n v="0.14285714285714285"/>
    <n v="0.79999999999999993"/>
    <n v="0.36842105263157898"/>
    <n v="0.41118421052631582"/>
    <n v="0.32692307692307693"/>
    <n v="10.666666666666668"/>
    <n v="0.38461538461538464"/>
    <n v="0.26923076923076927"/>
    <n v="0.14458450255435604"/>
    <n v="17.857142857142858"/>
    <n v="10"/>
    <n v="7.1428571428571432"/>
    <n v="0.96153846153846168"/>
    <n v="2.1428571428571428"/>
    <n v="7.2222222222222229E-2"/>
    <n v="3"/>
    <n v="0.1607142857142857"/>
    <n v="8.0666666666666682"/>
    <n v="17.285714285714288"/>
    <n v="22.857142857142858"/>
    <n v="2.333333333333333"/>
    <n v="6.3333333333333321"/>
    <n v="2"/>
    <x v="1"/>
  </r>
  <r>
    <x v="0"/>
    <s v="K. Walaszczyk"/>
    <x v="0"/>
    <n v="2.75"/>
    <n v="11.75"/>
    <n v="1.25"/>
    <n v="6.5"/>
    <n v="0"/>
    <n v="0.75"/>
    <n v="2.25"/>
    <n v="4.5"/>
    <n v="1.5"/>
    <n v="1.5"/>
    <n v="0"/>
    <n v="0.5"/>
    <n v="1.75"/>
    <n v="25.75"/>
    <n v="6.75"/>
    <n v="6.75"/>
    <n v="0.23404255319148937"/>
    <n v="0.19230769230769232"/>
    <n v="0"/>
    <n v="0.2857142857142857"/>
    <n v="0.27938741721854304"/>
    <n v="0.28723404255319152"/>
    <n v="7.5"/>
    <n v="6.3829787234042548E-2"/>
    <n v="0.55319148936170215"/>
    <n v="0.17323318394314144"/>
    <n v="10.485436893203884"/>
    <n v="10.485436893203884"/>
    <n v="2.7184466019417477"/>
    <n v="0.57446808510638303"/>
    <n v="3.1067961165048543"/>
    <n v="0.16666666666666666"/>
    <n v="4.25"/>
    <n v="0.1650485436893204"/>
    <n v="5.3249999999999993"/>
    <n v="8.2718446601941729"/>
    <n v="11.650485436893204"/>
    <n v="1.5"/>
    <n v="5.25"/>
    <n v="3"/>
    <x v="2"/>
  </r>
  <r>
    <x v="0"/>
    <s v="J. Olszewski"/>
    <x v="0"/>
    <n v="1"/>
    <n v="5.75"/>
    <n v="0.25"/>
    <n v="1.5"/>
    <n v="0"/>
    <n v="0.25"/>
    <n v="0"/>
    <n v="1.75"/>
    <n v="2"/>
    <n v="1.5"/>
    <n v="0"/>
    <n v="0"/>
    <n v="2.25"/>
    <n v="23"/>
    <n v="2.25"/>
    <n v="1.75"/>
    <n v="0.17391304347826086"/>
    <n v="0.16666666666666666"/>
    <n v="0"/>
    <n v="0.17647058823529413"/>
    <n v="0.19197952218430034"/>
    <n v="0.19565217391304349"/>
    <n v="2.75"/>
    <n v="4.3478260869565216E-2"/>
    <n v="0.2608695652173913"/>
    <n v="8.4651969735720339E-2"/>
    <n v="3.9130434782608696"/>
    <n v="3.043478260869565"/>
    <n v="3.9130434782608696"/>
    <n v="0.39130434782608697"/>
    <n v="2.6086956521739131"/>
    <n v="0.14166666666666666"/>
    <n v="2.375"/>
    <n v="0.10326086956521739"/>
    <n v="2.1250000000000004"/>
    <n v="3.6956521739130443"/>
    <n v="4.7826086956521738"/>
    <n v="0.75"/>
    <n v="4.25"/>
    <n v="4"/>
    <x v="3"/>
  </r>
  <r>
    <x v="0"/>
    <s v="S. Mrożek"/>
    <x v="0"/>
    <n v="0.75"/>
    <n v="4.25"/>
    <n v="0.25"/>
    <n v="2.25"/>
    <n v="0"/>
    <n v="0"/>
    <n v="1"/>
    <n v="0.25"/>
    <n v="0.25"/>
    <n v="0.5"/>
    <n v="0"/>
    <n v="0.25"/>
    <n v="0.25"/>
    <n v="16"/>
    <n v="1.75"/>
    <n v="1.25"/>
    <n v="0.17647058823529413"/>
    <n v="0.1111111111111111"/>
    <n v="0"/>
    <n v="0.25"/>
    <n v="0.20588235294117646"/>
    <n v="0.20588235294117646"/>
    <n v="0.5"/>
    <n v="0"/>
    <n v="0.52941176470588236"/>
    <n v="6.0243722227782591E-2"/>
    <n v="4.375"/>
    <n v="3.125"/>
    <n v="0.625"/>
    <n v="0.41176470588235292"/>
    <n v="1.875"/>
    <n v="7.4999999999999997E-2"/>
    <n v="0.875"/>
    <n v="5.46875E-2"/>
    <n v="0.70000000000000018"/>
    <n v="1.7500000000000004"/>
    <n v="1.25"/>
    <n v="0.5"/>
    <n v="2"/>
    <n v="5"/>
    <x v="4"/>
  </r>
  <r>
    <x v="0"/>
    <s v="M. Burczyński"/>
    <x v="0"/>
    <n v="1.25"/>
    <n v="5.5"/>
    <n v="0"/>
    <n v="1.25"/>
    <n v="0"/>
    <n v="0"/>
    <n v="1.5"/>
    <n v="3"/>
    <n v="0.75"/>
    <n v="1"/>
    <n v="0"/>
    <n v="0.25"/>
    <n v="1"/>
    <n v="18.5"/>
    <n v="2.5"/>
    <n v="4.5"/>
    <n v="0.22727272727272727"/>
    <n v="0"/>
    <n v="0"/>
    <n v="0.29411764705882354"/>
    <n v="0.22727272727272727"/>
    <n v="0.22727272727272727"/>
    <n v="5"/>
    <n v="0"/>
    <n v="0.22727272727272727"/>
    <n v="7.9041122273769748E-2"/>
    <n v="5.4054054054054053"/>
    <n v="9.7297297297297298"/>
    <n v="2.1621621621621623"/>
    <n v="0.45454545454545453"/>
    <n v="2.7027027027027026"/>
    <n v="0.11249999999999999"/>
    <n v="2.75"/>
    <n v="0.14864864864864866"/>
    <n v="2.9749999999999996"/>
    <n v="6.4324324324324325"/>
    <n v="10.810810810810811"/>
    <n v="1.25"/>
    <n v="4.25"/>
    <n v="6"/>
    <x v="5"/>
  </r>
  <r>
    <x v="0"/>
    <s v="P. Roguski"/>
    <x v="0"/>
    <n v="0.25"/>
    <n v="1.75"/>
    <n v="0"/>
    <n v="0.5"/>
    <n v="0.25"/>
    <n v="0.5"/>
    <n v="3.25"/>
    <n v="3"/>
    <n v="1"/>
    <n v="0.25"/>
    <n v="0"/>
    <n v="0.25"/>
    <n v="1.5"/>
    <n v="16.25"/>
    <n v="0.75"/>
    <n v="6.25"/>
    <n v="0.14285714285714285"/>
    <n v="0"/>
    <n v="0.5"/>
    <n v="0.2"/>
    <n v="0.19035532994923859"/>
    <n v="0.14285714285714285"/>
    <n v="7.25"/>
    <n v="0.2857142857142857"/>
    <n v="0.2857142857142857"/>
    <n v="2.7929501450462937E-2"/>
    <n v="1.8461538461538463"/>
    <n v="15.384615384615385"/>
    <n v="3.6923076923076925"/>
    <n v="0.42857142857142855"/>
    <n v="1.2307692307692308"/>
    <n v="5.8333333333333334E-2"/>
    <n v="2"/>
    <n v="0.12307692307692308"/>
    <n v="4.1749999999999998"/>
    <n v="10.276923076923078"/>
    <n v="17.846153846153847"/>
    <n v="0.25"/>
    <n v="1.25"/>
    <n v="7"/>
    <x v="6"/>
  </r>
  <r>
    <x v="0"/>
    <s v="R. Kielczyk"/>
    <x v="0"/>
    <n v="1.75"/>
    <n v="7.5"/>
    <n v="0.25"/>
    <n v="2"/>
    <n v="0"/>
    <n v="0"/>
    <n v="1.25"/>
    <n v="1"/>
    <n v="0.5"/>
    <n v="1.5"/>
    <n v="0"/>
    <n v="0"/>
    <n v="0.25"/>
    <n v="20.5"/>
    <n v="3.75"/>
    <n v="2.25"/>
    <n v="0.23333333333333334"/>
    <n v="0.125"/>
    <n v="0"/>
    <n v="0.27272727272727271"/>
    <n v="0.25"/>
    <n v="0.25"/>
    <n v="2"/>
    <n v="0"/>
    <n v="0.26666666666666666"/>
    <n v="0.10732899676072581"/>
    <n v="7.3170731707317067"/>
    <n v="4.3902439024390247"/>
    <n v="0.48780487804878048"/>
    <n v="0.5"/>
    <n v="2.9268292682926829"/>
    <n v="0.12916666666666668"/>
    <n v="2"/>
    <n v="9.7560975609756101E-2"/>
    <n v="2.0500000000000003"/>
    <n v="4"/>
    <n v="3.9024390243902438"/>
    <n v="1.5"/>
    <n v="5.5"/>
    <n v="8"/>
    <x v="7"/>
  </r>
  <r>
    <x v="0"/>
    <s v="T. Kowalczyk"/>
    <x v="0"/>
    <n v="0.5"/>
    <n v="2.25"/>
    <n v="0"/>
    <n v="0.25"/>
    <n v="0"/>
    <n v="0"/>
    <n v="0.5"/>
    <n v="2.25"/>
    <n v="2"/>
    <n v="0.25"/>
    <n v="0"/>
    <n v="0"/>
    <n v="0.5"/>
    <n v="12.5"/>
    <n v="1"/>
    <n v="2.75"/>
    <n v="0.22222222222222221"/>
    <n v="0"/>
    <n v="0"/>
    <n v="0.25"/>
    <n v="0.22222222222222221"/>
    <n v="0.22222222222222221"/>
    <n v="2.75"/>
    <n v="0"/>
    <n v="0.1111111111111111"/>
    <n v="3.2139270321902551E-2"/>
    <n v="3.2"/>
    <n v="8.8000000000000007"/>
    <n v="1.6"/>
    <n v="0.44444444444444442"/>
    <n v="0.8"/>
    <n v="2.0833333333333332E-2"/>
    <n v="1.375"/>
    <n v="0.11"/>
    <n v="1.25"/>
    <n v="4"/>
    <n v="8.8000000000000007"/>
    <n v="0.5"/>
    <n v="2"/>
    <n v="9"/>
    <x v="8"/>
  </r>
  <r>
    <x v="1"/>
    <s v="S. Saushkin"/>
    <x v="2"/>
    <n v="10"/>
    <n v="18.5"/>
    <n v="0.5"/>
    <n v="3"/>
    <n v="0"/>
    <n v="1.5"/>
    <n v="2"/>
    <n v="4"/>
    <n v="1"/>
    <n v="6"/>
    <n v="0"/>
    <n v="0.5"/>
    <n v="5"/>
    <n v="39"/>
    <n v="20.5"/>
    <n v="6"/>
    <n v="0.54054054054054057"/>
    <n v="0.16666666666666666"/>
    <n v="0"/>
    <n v="0.61290322580645162"/>
    <n v="0.53496868475991644"/>
    <n v="0.55405405405405406"/>
    <n v="28"/>
    <n v="8.1081081081081086E-2"/>
    <n v="0.16216216216216217"/>
    <n v="0.24992741434356858"/>
    <n v="21.025641025641022"/>
    <n v="6.1538461538461533"/>
    <n v="5.1282051282051277"/>
    <n v="1.1081081081081081"/>
    <n v="6.6666666666666661"/>
    <n v="0.33556149732620322"/>
    <n v="8.5"/>
    <n v="0.21794871794871795"/>
    <n v="23.400000000000002"/>
    <n v="24"/>
    <n v="28.717948717948715"/>
    <n v="9.5"/>
    <n v="15.5"/>
    <n v="10"/>
    <x v="9"/>
  </r>
  <r>
    <x v="1"/>
    <s v="K. Grzegorzak"/>
    <x v="1"/>
    <n v="5.666666666666667"/>
    <n v="14.333333333333334"/>
    <n v="1.6666666666666667"/>
    <n v="6.333333333333333"/>
    <n v="0.66666666666666663"/>
    <n v="1.6666666666666667"/>
    <n v="2.3333333333333335"/>
    <n v="7.666666666666667"/>
    <n v="2"/>
    <n v="3.3333333333333335"/>
    <n v="0"/>
    <n v="0"/>
    <n v="3"/>
    <n v="39.333333333333336"/>
    <n v="13.666666666666666"/>
    <n v="10"/>
    <n v="0.39534883720930231"/>
    <n v="0.26315789473684215"/>
    <n v="0.39999999999999997"/>
    <n v="0.5"/>
    <n v="0.45353982300884954"/>
    <n v="0.45348837209302323"/>
    <n v="20.333333333333332"/>
    <n v="0.11627906976744186"/>
    <n v="0.44186046511627902"/>
    <n v="0.20207351163955387"/>
    <n v="13.898305084745761"/>
    <n v="10.169491525423728"/>
    <n v="3.0508474576271185"/>
    <n v="0.95348837209302317"/>
    <n v="3.3898305084745761"/>
    <n v="0.28795518207282916"/>
    <n v="7.166666666666667"/>
    <n v="0.18220338983050846"/>
    <n v="14.866666666666667"/>
    <n v="15.118644067796611"/>
    <n v="20.677966101694913"/>
    <n v="4"/>
    <n v="8"/>
    <n v="11"/>
    <x v="10"/>
  </r>
  <r>
    <x v="1"/>
    <s v="A. Nyckowski"/>
    <x v="3"/>
    <n v="3"/>
    <n v="13"/>
    <n v="0"/>
    <n v="3"/>
    <n v="6"/>
    <n v="10"/>
    <n v="9"/>
    <n v="8"/>
    <n v="1"/>
    <n v="5"/>
    <n v="0"/>
    <n v="0"/>
    <n v="6"/>
    <n v="40"/>
    <n v="12"/>
    <n v="17"/>
    <n v="0.23076923076923078"/>
    <n v="0"/>
    <n v="0.6"/>
    <n v="0.3"/>
    <n v="0.34482758620689657"/>
    <n v="0.23076923076923078"/>
    <n v="26"/>
    <n v="0.76923076923076927"/>
    <n v="0.23076923076923078"/>
    <n v="0.21065375302663439"/>
    <n v="12"/>
    <n v="17"/>
    <n v="6"/>
    <n v="0.92307692307692313"/>
    <n v="5"/>
    <n v="0.29411764705882354"/>
    <n v="9"/>
    <n v="0.22500000000000001"/>
    <n v="20.399999999999999"/>
    <n v="20.399999999999999"/>
    <n v="26"/>
    <n v="3"/>
    <n v="10"/>
    <n v="12"/>
    <x v="11"/>
  </r>
  <r>
    <x v="1"/>
    <s v="D. Reguła"/>
    <x v="2"/>
    <n v="7.5"/>
    <n v="31.5"/>
    <n v="5"/>
    <n v="25"/>
    <n v="0.5"/>
    <n v="2"/>
    <n v="0"/>
    <n v="2"/>
    <n v="0"/>
    <n v="0"/>
    <n v="0"/>
    <n v="0.5"/>
    <n v="0.5"/>
    <n v="40"/>
    <n v="20.5"/>
    <n v="2"/>
    <n v="0.23809523809523808"/>
    <n v="0.2"/>
    <n v="0.25"/>
    <n v="0.38461538461538464"/>
    <n v="0.31655342804200121"/>
    <n v="0.31746031746031744"/>
    <n v="-2"/>
    <n v="6.3492063492063489E-2"/>
    <n v="0.79365079365079361"/>
    <n v="0.43567332792792546"/>
    <n v="20.5"/>
    <n v="2"/>
    <n v="0.5"/>
    <n v="0.65079365079365081"/>
    <n v="0.5"/>
    <n v="7.1428571428571425E-2"/>
    <n v="1.5"/>
    <n v="3.7499999999999999E-2"/>
    <n v="2.150000000000003"/>
    <n v="2.150000000000003"/>
    <n v="-2"/>
    <n v="2.5"/>
    <n v="6.5"/>
    <n v="13"/>
    <x v="12"/>
  </r>
  <r>
    <x v="1"/>
    <s v="P. Targoński"/>
    <x v="2"/>
    <n v="3"/>
    <n v="8.5"/>
    <n v="0.5"/>
    <n v="2.5"/>
    <n v="0.5"/>
    <n v="2"/>
    <n v="6"/>
    <n v="11.5"/>
    <n v="1.5"/>
    <n v="1"/>
    <n v="0"/>
    <n v="0"/>
    <n v="4.5"/>
    <n v="40"/>
    <n v="8"/>
    <n v="17.5"/>
    <n v="0.35294117647058826"/>
    <n v="0.2"/>
    <n v="0.25"/>
    <n v="0.41666666666666669"/>
    <n v="0.42643923240938164"/>
    <n v="0.38235294117647056"/>
    <n v="24"/>
    <n v="0.23529411764705882"/>
    <n v="0.29411764705882354"/>
    <n v="0.1269422961115832"/>
    <n v="8"/>
    <n v="17.5"/>
    <n v="4.5"/>
    <n v="0.94117647058823528"/>
    <n v="1"/>
    <n v="5.8823529411764705E-2"/>
    <n v="6.75"/>
    <n v="0.16875000000000001"/>
    <n v="14.45"/>
    <n v="14.45"/>
    <n v="24"/>
    <n v="2.5"/>
    <n v="6"/>
    <n v="14"/>
    <x v="13"/>
  </r>
  <r>
    <x v="2"/>
    <s v="Ł. Sulejewski"/>
    <x v="0"/>
    <n v="4.75"/>
    <n v="17.75"/>
    <n v="1"/>
    <n v="7.25"/>
    <n v="1.5"/>
    <n v="2.25"/>
    <n v="0.5"/>
    <n v="1.25"/>
    <n v="0.5"/>
    <n v="1"/>
    <n v="0"/>
    <n v="0.25"/>
    <n v="0.5"/>
    <n v="28.25"/>
    <n v="12"/>
    <n v="1.75"/>
    <n v="0.26760563380281688"/>
    <n v="0.13793103448275862"/>
    <n v="0.66666666666666663"/>
    <n v="0.35714285714285715"/>
    <n v="0.32017075773746001"/>
    <n v="0.29577464788732394"/>
    <n v="1.75"/>
    <n v="0.12676056338028169"/>
    <n v="0.40845070422535212"/>
    <n v="0.28839296740909642"/>
    <n v="16.991150442477874"/>
    <n v="2.4778761061946901"/>
    <n v="0.70796460176991149"/>
    <n v="0.676056338028169"/>
    <n v="1.7699115044247788"/>
    <n v="9.7483291562238922E-2"/>
    <n v="1.875"/>
    <n v="6.637168141592921E-2"/>
    <n v="3.4250000000000012"/>
    <n v="4.8495575221238951"/>
    <n v="2.4778761061946901"/>
    <n v="3.75"/>
    <n v="10.5"/>
    <n v="15"/>
    <x v="14"/>
  </r>
  <r>
    <x v="2"/>
    <s v="P. Wołczyński"/>
    <x v="0"/>
    <n v="2.5"/>
    <n v="6.5"/>
    <n v="0"/>
    <n v="0"/>
    <n v="0.75"/>
    <n v="1"/>
    <n v="1.5"/>
    <n v="2.25"/>
    <n v="0.5"/>
    <n v="1.25"/>
    <n v="0"/>
    <n v="0"/>
    <n v="1.75"/>
    <n v="21.25"/>
    <n v="5.75"/>
    <n v="3.75"/>
    <n v="0.38461538461538464"/>
    <n v="0"/>
    <n v="0.75"/>
    <n v="0.38461538461538464"/>
    <n v="0.41426512968299711"/>
    <n v="0.38461538461538464"/>
    <n v="8.25"/>
    <n v="0.15384615384615385"/>
    <n v="0"/>
    <n v="0.10738039431356057"/>
    <n v="10.823529411764707"/>
    <n v="7.0588235294117645"/>
    <n v="3.2941176470588234"/>
    <n v="0.88461538461538458"/>
    <n v="2.3529411764705883"/>
    <n v="8.8084795321637419E-2"/>
    <n v="2.375"/>
    <n v="0.11176470588235295"/>
    <n v="6.2999999999999989"/>
    <n v="11.858823529411762"/>
    <n v="15.529411764705882"/>
    <n v="2.5"/>
    <n v="6.5"/>
    <n v="16"/>
    <x v="15"/>
  </r>
  <r>
    <x v="2"/>
    <s v="J. Kurek"/>
    <x v="0"/>
    <n v="2.25"/>
    <n v="4.5"/>
    <n v="0.75"/>
    <n v="1.75"/>
    <n v="0.75"/>
    <n v="1"/>
    <n v="0.5"/>
    <n v="3.5"/>
    <n v="0.5"/>
    <n v="0.25"/>
    <n v="0"/>
    <n v="1"/>
    <n v="2"/>
    <n v="24.5"/>
    <n v="6"/>
    <n v="4"/>
    <n v="0.5"/>
    <n v="0.42857142857142855"/>
    <n v="0.75"/>
    <n v="0.54545454545454541"/>
    <n v="0.60728744939271251"/>
    <n v="0.58333333333333337"/>
    <n v="10.75"/>
    <n v="0.22222222222222221"/>
    <n v="0.3888888888888889"/>
    <n v="7.6394302077159193E-2"/>
    <n v="9.795918367346939"/>
    <n v="6.5306122448979593"/>
    <n v="3.2653061224489797"/>
    <n v="1.3333333333333333"/>
    <n v="2.0408163265306123"/>
    <n v="9.5760233918128657E-2"/>
    <n v="3"/>
    <n v="0.12244897959183673"/>
    <n v="7.3999999999999995"/>
    <n v="12.081632653061224"/>
    <n v="17.551020408163264"/>
    <n v="1.5"/>
    <n v="2.75"/>
    <n v="17"/>
    <x v="16"/>
  </r>
  <r>
    <x v="2"/>
    <s v="A. Stańczuk"/>
    <x v="1"/>
    <n v="1.6666666666666667"/>
    <n v="8"/>
    <n v="0.33333333333333331"/>
    <n v="3"/>
    <n v="0.66666666666666663"/>
    <n v="1.6666666666666667"/>
    <n v="0.66666666666666663"/>
    <n v="2.6666666666666665"/>
    <n v="0.66666666666666663"/>
    <n v="1"/>
    <n v="0"/>
    <n v="0.33333333333333331"/>
    <n v="1.6666666666666667"/>
    <n v="25"/>
    <n v="4.333333333333333"/>
    <n v="3.333333333333333"/>
    <n v="0.20833333333333334"/>
    <n v="0.1111111111111111"/>
    <n v="0.39999999999999997"/>
    <n v="0.26666666666666672"/>
    <n v="0.24809160305343508"/>
    <n v="0.22916666666666669"/>
    <n v="3.333333333333333"/>
    <n v="0.20833333333333334"/>
    <n v="0.375"/>
    <n v="0.1312426495310946"/>
    <n v="6.9333333333333336"/>
    <n v="5.333333333333333"/>
    <n v="2.666666666666667"/>
    <n v="0.54166666666666663"/>
    <n v="2.1333333333333333"/>
    <n v="0.10317460317460318"/>
    <n v="2.6666666666666665"/>
    <n v="0.10666666666666666"/>
    <n v="2.666666666666667"/>
    <n v="4.2666666666666675"/>
    <n v="5.333333333333333"/>
    <n v="1.3333333333333335"/>
    <n v="5"/>
    <n v="18"/>
    <x v="17"/>
  </r>
  <r>
    <x v="2"/>
    <s v="R. Mućka"/>
    <x v="1"/>
    <n v="1.3333333333333333"/>
    <n v="4.666666666666667"/>
    <n v="0.33333333333333331"/>
    <n v="1"/>
    <n v="1.3333333333333333"/>
    <n v="2"/>
    <n v="1.3333333333333333"/>
    <n v="4"/>
    <n v="0.33333333333333331"/>
    <n v="1"/>
    <n v="0"/>
    <n v="0"/>
    <n v="2.6666666666666665"/>
    <n v="21.666666666666668"/>
    <n v="4.333333333333333"/>
    <n v="5.333333333333333"/>
    <n v="0.2857142857142857"/>
    <n v="0.33333333333333331"/>
    <n v="0.66666666666666663"/>
    <n v="0.27272727272727271"/>
    <n v="0.39062499999999994"/>
    <n v="0.3214285714285714"/>
    <n v="9.3333333333333321"/>
    <n v="0.42857142857142855"/>
    <n v="0.21428571428571427"/>
    <n v="8.3730542181786993E-2"/>
    <n v="7.9999999999999991"/>
    <n v="9.8461538461538449"/>
    <n v="4.9230769230769225"/>
    <n v="0.92857142857142849"/>
    <n v="1.846153846153846"/>
    <n v="8.4656084656084651E-2"/>
    <n v="3"/>
    <n v="0.13846153846153844"/>
    <n v="6.3333333333333321"/>
    <n v="11.69230769230769"/>
    <n v="17.230769230769226"/>
    <n v="1"/>
    <n v="3.666666666666667"/>
    <n v="19"/>
    <x v="18"/>
  </r>
  <r>
    <x v="2"/>
    <s v="J. Warda"/>
    <x v="0"/>
    <n v="1.75"/>
    <n v="6"/>
    <n v="1"/>
    <n v="4.25"/>
    <n v="0.25"/>
    <n v="0.5"/>
    <n v="0.5"/>
    <n v="0.5"/>
    <n v="1.5"/>
    <n v="0.75"/>
    <n v="0"/>
    <n v="0.25"/>
    <n v="1"/>
    <n v="14.25"/>
    <n v="4.75"/>
    <n v="1"/>
    <n v="0.29166666666666669"/>
    <n v="0.23529411764705882"/>
    <n v="0.5"/>
    <n v="0.42857142857142855"/>
    <n v="0.38183279742765275"/>
    <n v="0.375"/>
    <n v="3.25"/>
    <n v="8.3333333333333329E-2"/>
    <n v="0.70833333333333337"/>
    <n v="9.6895158277338161E-2"/>
    <n v="13.333333333333332"/>
    <n v="2.807017543859649"/>
    <n v="2.807017543859649"/>
    <n v="0.79166666666666663"/>
    <n v="2.807017543859649"/>
    <n v="8.1349206349206338E-2"/>
    <n v="1.25"/>
    <n v="8.771929824561403E-2"/>
    <n v="3.2750000000000004"/>
    <n v="9.192982456140351"/>
    <n v="9.1228070175438596"/>
    <n v="0.75"/>
    <n v="1.75"/>
    <n v="20"/>
    <x v="19"/>
  </r>
  <r>
    <x v="2"/>
    <s v="Ł. Flaga"/>
    <x v="0"/>
    <n v="0.5"/>
    <n v="2.5"/>
    <n v="0.25"/>
    <n v="0.5"/>
    <n v="0.75"/>
    <n v="2.5"/>
    <n v="2"/>
    <n v="5.25"/>
    <n v="1.5"/>
    <n v="0.75"/>
    <n v="0"/>
    <n v="1"/>
    <n v="1.25"/>
    <n v="21.75"/>
    <n v="2"/>
    <n v="7.25"/>
    <n v="0.2"/>
    <n v="0.5"/>
    <n v="0.3"/>
    <n v="0.125"/>
    <n v="0.27777777777777779"/>
    <n v="0.25"/>
    <n v="8.5"/>
    <n v="1"/>
    <n v="0.2"/>
    <n v="5.5608141654505609E-2"/>
    <n v="3.6781609195402298"/>
    <n v="13.333333333333334"/>
    <n v="2.2988505747126435"/>
    <n v="0.8"/>
    <n v="3.2183908045977012"/>
    <n v="0.13371971595655804"/>
    <n v="4.375"/>
    <n v="0.20114942528735633"/>
    <n v="5.05"/>
    <n v="9.2873563218390807"/>
    <n v="15.632183908045977"/>
    <n v="0.25"/>
    <n v="2"/>
    <n v="21"/>
    <x v="20"/>
  </r>
  <r>
    <x v="2"/>
    <s v="P. Piotrowski"/>
    <x v="2"/>
    <n v="0"/>
    <n v="4.5"/>
    <n v="0"/>
    <n v="2"/>
    <n v="0"/>
    <n v="0"/>
    <n v="0"/>
    <n v="3"/>
    <n v="0"/>
    <n v="0.5"/>
    <n v="0"/>
    <n v="0.5"/>
    <n v="0.5"/>
    <n v="12.5"/>
    <n v="0"/>
    <n v="3"/>
    <n v="0"/>
    <n v="0"/>
    <n v="0"/>
    <n v="0"/>
    <n v="0"/>
    <n v="0"/>
    <n v="0"/>
    <n v="0"/>
    <n v="0.44444444444444442"/>
    <n v="6.8570484480483154E-2"/>
    <n v="0"/>
    <n v="9.6000000000000014"/>
    <n v="1.6"/>
    <n v="0"/>
    <n v="3.2"/>
    <n v="0.1111111111111111"/>
    <n v="2.5"/>
    <n v="0.2"/>
    <n v="-1.0499999999999998"/>
    <n v="-3.3599999999999994"/>
    <n v="0"/>
    <n v="0"/>
    <n v="2.5"/>
    <n v="22"/>
    <x v="21"/>
  </r>
  <r>
    <x v="3"/>
    <s v="S. Gąsiorowski"/>
    <x v="1"/>
    <n v="9.6666666666666661"/>
    <n v="18.666666666666668"/>
    <n v="0"/>
    <n v="2"/>
    <n v="4.666666666666667"/>
    <n v="8"/>
    <n v="2.6666666666666665"/>
    <n v="5"/>
    <n v="1.3333333333333333"/>
    <n v="2.3333333333333335"/>
    <n v="0"/>
    <n v="1"/>
    <n v="1.3333333333333333"/>
    <n v="32"/>
    <n v="24"/>
    <n v="7.6666666666666661"/>
    <n v="0.51785714285714279"/>
    <n v="0"/>
    <n v="0.58333333333333337"/>
    <n v="0.57999999999999996"/>
    <n v="0.54086538461538458"/>
    <n v="0.51785714285714279"/>
    <n v="24.000000000000004"/>
    <n v="0.42857142857142855"/>
    <n v="0.10714285714285714"/>
    <n v="0.28611900107024085"/>
    <n v="30"/>
    <n v="9.5833333333333321"/>
    <n v="1.6666666666666665"/>
    <n v="1.2857142857142856"/>
    <n v="4.166666666666667"/>
    <n v="0.16334541062801933"/>
    <n v="5.8333333333333339"/>
    <n v="0.18229166666666669"/>
    <n v="20.8"/>
    <n v="26"/>
    <n v="30.000000000000004"/>
    <n v="9.6666666666666661"/>
    <n v="16.666666666666668"/>
    <n v="23"/>
    <x v="22"/>
  </r>
  <r>
    <x v="3"/>
    <s v="F. Gąsiorowski"/>
    <x v="0"/>
    <n v="1.25"/>
    <n v="7"/>
    <n v="0.5"/>
    <n v="3.5"/>
    <n v="0.25"/>
    <n v="1"/>
    <n v="0.75"/>
    <n v="2"/>
    <n v="0.5"/>
    <n v="1.25"/>
    <n v="0"/>
    <n v="0.25"/>
    <n v="0.75"/>
    <n v="24.25"/>
    <n v="3.25"/>
    <n v="2.75"/>
    <n v="0.17857142857142858"/>
    <n v="0.14285714285714285"/>
    <n v="0.25"/>
    <n v="0.21428571428571427"/>
    <n v="0.21841397849462366"/>
    <n v="0.21428571428571427"/>
    <n v="1.75"/>
    <n v="0.14285714285714285"/>
    <n v="0.5"/>
    <n v="8.7037378191796216E-2"/>
    <n v="5.3608247422680408"/>
    <n v="4.536082474226804"/>
    <n v="1.2371134020618557"/>
    <n v="0.4642857142857143"/>
    <n v="2.4742268041237114"/>
    <n v="8.4027777777777785E-2"/>
    <n v="2.5"/>
    <n v="0.10309278350515463"/>
    <n v="1.6250000000000002"/>
    <n v="2.6804123711340209"/>
    <n v="2.8865979381443299"/>
    <n v="0.75"/>
    <n v="3.5"/>
    <n v="24"/>
    <x v="23"/>
  </r>
  <r>
    <x v="3"/>
    <s v="T. Prażmowski"/>
    <x v="0"/>
    <n v="2.5"/>
    <n v="8.25"/>
    <n v="1"/>
    <n v="2.5"/>
    <n v="1.25"/>
    <n v="2"/>
    <n v="1.25"/>
    <n v="3"/>
    <n v="0"/>
    <n v="2.25"/>
    <n v="0"/>
    <n v="0"/>
    <n v="3.75"/>
    <n v="24.25"/>
    <n v="7.25"/>
    <n v="4.25"/>
    <n v="0.30303030303030304"/>
    <n v="0.4"/>
    <n v="0.625"/>
    <n v="0.2608695652173913"/>
    <n v="0.39704271631982474"/>
    <n v="0.36363636363636365"/>
    <n v="11"/>
    <n v="0.24242424242424243"/>
    <n v="0.30303030303030304"/>
    <n v="0.11046493509160776"/>
    <n v="11.958762886597938"/>
    <n v="7.0103092783505154"/>
    <n v="6.1855670103092777"/>
    <n v="0.87878787878787878"/>
    <n v="3.7113402061855667"/>
    <n v="0.12278079710144926"/>
    <n v="3.75"/>
    <n v="0.15463917525773196"/>
    <n v="8.8250000000000011"/>
    <n v="14.556701030927837"/>
    <n v="18.144329896907216"/>
    <n v="1.5"/>
    <n v="5.75"/>
    <n v="25"/>
    <x v="24"/>
  </r>
  <r>
    <x v="3"/>
    <s v="M. Leśniak"/>
    <x v="0"/>
    <n v="3.25"/>
    <n v="9.75"/>
    <n v="2"/>
    <n v="7.75"/>
    <n v="0"/>
    <n v="0"/>
    <n v="0.5"/>
    <n v="5.75"/>
    <n v="1.5"/>
    <n v="2.75"/>
    <n v="0"/>
    <n v="0.5"/>
    <n v="1.75"/>
    <n v="33"/>
    <n v="8.5"/>
    <n v="6.25"/>
    <n v="0.33333333333333331"/>
    <n v="0.25806451612903225"/>
    <n v="0"/>
    <n v="0.625"/>
    <n v="0.4358974358974359"/>
    <n v="0.4358974358974359"/>
    <n v="13.25"/>
    <n v="0"/>
    <n v="0.79487179487179482"/>
    <n v="0.11243650873112854"/>
    <n v="10.303030303030303"/>
    <n v="7.5757575757575761"/>
    <n v="2.1212121212121211"/>
    <n v="0.87179487179487181"/>
    <n v="3.9393939393939394"/>
    <n v="0.16639492753623186"/>
    <n v="6.125"/>
    <n v="0.18560606060606061"/>
    <n v="9.3750000000000018"/>
    <n v="11.363636363636367"/>
    <n v="16.060606060606062"/>
    <n v="1.25"/>
    <n v="2"/>
    <n v="26"/>
    <x v="25"/>
  </r>
  <r>
    <x v="3"/>
    <s v="K. Bereda"/>
    <x v="2"/>
    <n v="2"/>
    <n v="6.5"/>
    <n v="1.5"/>
    <n v="4"/>
    <n v="1"/>
    <n v="2"/>
    <n v="0"/>
    <n v="4.5"/>
    <n v="0.5"/>
    <n v="3"/>
    <n v="0"/>
    <n v="0.5"/>
    <n v="2"/>
    <n v="21"/>
    <n v="6.5"/>
    <n v="4.5"/>
    <n v="0.30769230769230771"/>
    <n v="0.375"/>
    <n v="0.5"/>
    <n v="0.2"/>
    <n v="0.44037940379403795"/>
    <n v="0.42307692307692307"/>
    <n v="11"/>
    <n v="0.30769230769230771"/>
    <n v="0.61538461538461542"/>
    <n v="8.8436692506459955E-2"/>
    <n v="12.38095238095238"/>
    <n v="8.5714285714285712"/>
    <n v="3.8095238095238093"/>
    <n v="1"/>
    <n v="6.6666666666666661"/>
    <n v="0.21527777777777779"/>
    <n v="5.75"/>
    <n v="0.27380952380952384"/>
    <n v="8.4499999999999993"/>
    <n v="16.095238095238091"/>
    <n v="20.952380952380953"/>
    <n v="0.5"/>
    <n v="2.5"/>
    <n v="27"/>
    <x v="26"/>
  </r>
  <r>
    <x v="3"/>
    <s v="M. Łukasiuk"/>
    <x v="0"/>
    <n v="2.75"/>
    <n v="11.5"/>
    <n v="1"/>
    <n v="3"/>
    <n v="0.25"/>
    <n v="2"/>
    <n v="2"/>
    <n v="3.25"/>
    <n v="0.5"/>
    <n v="2.25"/>
    <n v="0"/>
    <n v="0"/>
    <n v="3.25"/>
    <n v="26"/>
    <n v="6.75"/>
    <n v="5.25"/>
    <n v="0.2391304347826087"/>
    <n v="0.33333333333333331"/>
    <n v="0.125"/>
    <n v="0.20588235294117646"/>
    <n v="0.27261712439418417"/>
    <n v="0.28260869565217389"/>
    <n v="7"/>
    <n v="0.17391304347826086"/>
    <n v="0.2608695652173913"/>
    <n v="0.14423797878084924"/>
    <n v="10.384615384615385"/>
    <n v="8.0769230769230766"/>
    <n v="5"/>
    <n v="0.58695652173913049"/>
    <n v="3.4615384615384617"/>
    <n v="0.10910326086956522"/>
    <n v="3.875"/>
    <n v="0.14903846153846154"/>
    <n v="6"/>
    <n v="9.2307692307692317"/>
    <n v="10.76923076923077"/>
    <n v="1.75"/>
    <n v="8.5"/>
    <n v="28"/>
    <x v="27"/>
  </r>
  <r>
    <x v="3"/>
    <s v="M. Mąkowski"/>
    <x v="1"/>
    <n v="3.3333333333333335"/>
    <n v="9.3333333333333339"/>
    <n v="0.33333333333333331"/>
    <n v="0.33333333333333331"/>
    <n v="1.3333333333333333"/>
    <n v="3.6666666666666665"/>
    <n v="3.6666666666666665"/>
    <n v="4.666666666666667"/>
    <n v="1.3333333333333333"/>
    <n v="1.3333333333333333"/>
    <n v="0"/>
    <n v="0.33333333333333331"/>
    <n v="1.6666666666666667"/>
    <n v="25"/>
    <n v="8.3333333333333339"/>
    <n v="8.3333333333333339"/>
    <n v="0.35714285714285715"/>
    <n v="1"/>
    <n v="0.36363636363636365"/>
    <n v="0.33333333333333331"/>
    <n v="0.38063337393422658"/>
    <n v="0.375"/>
    <n v="11.666666666666668"/>
    <n v="0.39285714285714279"/>
    <n v="3.5714285714285712E-2"/>
    <n v="0.13964470547405061"/>
    <n v="13.333333333333336"/>
    <n v="13.333333333333336"/>
    <n v="2.666666666666667"/>
    <n v="0.8928571428571429"/>
    <n v="2.6666666666666665"/>
    <n v="8.6855877616747179E-2"/>
    <n v="4"/>
    <n v="0.16"/>
    <n v="8.9"/>
    <n v="14.240000000000002"/>
    <n v="18.666666666666668"/>
    <n v="3"/>
    <n v="9"/>
    <n v="29"/>
    <x v="28"/>
  </r>
  <r>
    <x v="4"/>
    <s v="D. Hentosz"/>
    <x v="0"/>
    <n v="7.5"/>
    <n v="21"/>
    <n v="2.75"/>
    <n v="11.75"/>
    <n v="3.25"/>
    <n v="5.25"/>
    <n v="0.5"/>
    <n v="8.75"/>
    <n v="3.25"/>
    <n v="1.75"/>
    <n v="0"/>
    <n v="1"/>
    <n v="2.25"/>
    <n v="39.75"/>
    <n v="21"/>
    <n v="9.25"/>
    <n v="0.35714285714285715"/>
    <n v="0.23404255319148937"/>
    <n v="0.61904761904761907"/>
    <n v="0.51351351351351349"/>
    <n v="0.45045045045045046"/>
    <n v="0.42261904761904762"/>
    <n v="19.75"/>
    <n v="0.25"/>
    <n v="0.55952380952380953"/>
    <n v="0.33533371820253155"/>
    <n v="21.132075471698112"/>
    <n v="9.3081761006289305"/>
    <n v="2.2641509433962264"/>
    <n v="1"/>
    <n v="2.7672955974842766"/>
    <n v="0.22007575757575756"/>
    <n v="7.125"/>
    <n v="0.17924528301886791"/>
    <n v="15.499999999999998"/>
    <n v="15.597484276729558"/>
    <n v="19.874213836477988"/>
    <n v="4.75"/>
    <n v="9.25"/>
    <n v="30"/>
    <x v="29"/>
  </r>
  <r>
    <x v="4"/>
    <s v="A. Franko"/>
    <x v="1"/>
    <n v="1.6666666666666667"/>
    <n v="8"/>
    <n v="0.66666666666666663"/>
    <n v="3"/>
    <n v="0.33333333333333331"/>
    <n v="1.3333333333333333"/>
    <n v="1.3333333333333333"/>
    <n v="1.6666666666666667"/>
    <n v="0.66666666666666663"/>
    <n v="0.66666666666666663"/>
    <n v="0"/>
    <n v="0.33333333333333331"/>
    <n v="0"/>
    <n v="20.333333333333332"/>
    <n v="4"/>
    <n v="3"/>
    <n v="0.20833333333333334"/>
    <n v="0.22222222222222221"/>
    <n v="0.25"/>
    <n v="0.2"/>
    <n v="0.23291925465838512"/>
    <n v="0.25"/>
    <n v="0.66666666666666696"/>
    <n v="0.16666666666666666"/>
    <n v="0.375"/>
    <n v="0.12281881407325861"/>
    <n v="7.8688524590163942"/>
    <n v="5.9016393442622954"/>
    <n v="0"/>
    <n v="0.5"/>
    <n v="1.9672131147540985"/>
    <n v="8.8888888888888892E-2"/>
    <n v="1.8333333333333335"/>
    <n v="9.0163934426229525E-2"/>
    <n v="1.0000000000000007"/>
    <n v="1.9672131147540999"/>
    <n v="1.3114754098360664"/>
    <n v="1"/>
    <n v="5"/>
    <n v="31"/>
    <x v="30"/>
  </r>
  <r>
    <x v="4"/>
    <s v="M. Matusik"/>
    <x v="0"/>
    <n v="2"/>
    <n v="10"/>
    <n v="1"/>
    <n v="6.75"/>
    <n v="0.5"/>
    <n v="0.75"/>
    <n v="0.75"/>
    <n v="4.75"/>
    <n v="0.75"/>
    <n v="2"/>
    <n v="0"/>
    <n v="0.75"/>
    <n v="4.25"/>
    <n v="30"/>
    <n v="5.75"/>
    <n v="5.5"/>
    <n v="0.2"/>
    <n v="0.14814814814814814"/>
    <n v="0.66666666666666663"/>
    <n v="0.30769230769230771"/>
    <n v="0.27831558567279768"/>
    <n v="0.25"/>
    <n v="10"/>
    <n v="7.4999999999999997E-2"/>
    <n v="0.67500000000000004"/>
    <n v="0.14634582012735137"/>
    <n v="7.6666666666666661"/>
    <n v="7.333333333333333"/>
    <n v="5.6666666666666661"/>
    <n v="0.57499999999999996"/>
    <n v="3.6666666666666665"/>
    <n v="0.24109848484848484"/>
    <n v="5.125"/>
    <n v="0.17083333333333334"/>
    <n v="6.9"/>
    <n v="9.1999999999999993"/>
    <n v="13.333333333333332"/>
    <n v="1"/>
    <n v="3.25"/>
    <n v="32"/>
    <x v="31"/>
  </r>
  <r>
    <x v="4"/>
    <s v="D. Więcław"/>
    <x v="0"/>
    <n v="1.5"/>
    <n v="6.75"/>
    <n v="0"/>
    <n v="0.25"/>
    <n v="2"/>
    <n v="2.5"/>
    <n v="2.5"/>
    <n v="4.75"/>
    <n v="0.25"/>
    <n v="0.75"/>
    <n v="0"/>
    <n v="0.25"/>
    <n v="1"/>
    <n v="29.25"/>
    <n v="5"/>
    <n v="7.25"/>
    <n v="0.22222222222222221"/>
    <n v="0"/>
    <n v="0.8"/>
    <n v="0.23076923076923078"/>
    <n v="0.31847133757961787"/>
    <n v="0.22222222222222221"/>
    <n v="8.5"/>
    <n v="0.37037037037037035"/>
    <n v="3.7037037037037035E-2"/>
    <n v="0.11248870694733321"/>
    <n v="6.8376068376068382"/>
    <n v="9.9145299145299148"/>
    <n v="1.3675213675213675"/>
    <n v="0.7407407407407407"/>
    <n v="1.3675213675213675"/>
    <n v="9.5454545454545459E-2"/>
    <n v="3.375"/>
    <n v="0.11538461538461539"/>
    <n v="5.4749999999999996"/>
    <n v="7.4871794871794872"/>
    <n v="11.623931623931623"/>
    <n v="1.5"/>
    <n v="6.5"/>
    <n v="33"/>
    <x v="32"/>
  </r>
  <r>
    <x v="4"/>
    <s v="D. Wardak"/>
    <x v="1"/>
    <n v="1.6666666666666667"/>
    <n v="4.333333333333333"/>
    <n v="0"/>
    <n v="0"/>
    <n v="0"/>
    <n v="0.66666666666666663"/>
    <n v="2"/>
    <n v="4.666666666666667"/>
    <n v="1.3333333333333333"/>
    <n v="1.3333333333333333"/>
    <n v="0"/>
    <n v="0"/>
    <n v="1.3333333333333333"/>
    <n v="27"/>
    <n v="3.3333333333333335"/>
    <n v="6.666666666666667"/>
    <n v="0.38461538461538464"/>
    <n v="0"/>
    <n v="0"/>
    <n v="0.38461538461538464"/>
    <n v="0.36023054755043232"/>
    <n v="0.38461538461538464"/>
    <n v="9.3333333333333357"/>
    <n v="0.15384615384615385"/>
    <n v="0"/>
    <n v="6.7883184220281098E-2"/>
    <n v="4.9382716049382713"/>
    <n v="9.8765432098765427"/>
    <n v="1.9753086419753085"/>
    <n v="0.76923076923076927"/>
    <n v="1.9753086419753085"/>
    <n v="9.0277777777777776E-2"/>
    <n v="3.666666666666667"/>
    <n v="0.13580246913580249"/>
    <n v="5.7666666666666675"/>
    <n v="8.5432098765432105"/>
    <n v="13.827160493827163"/>
    <n v="1.6666666666666667"/>
    <n v="4.333333333333333"/>
    <n v="34"/>
    <x v="33"/>
  </r>
  <r>
    <x v="4"/>
    <s v="A. Godlewski"/>
    <x v="1"/>
    <n v="0.33333333333333331"/>
    <n v="4.666666666666667"/>
    <n v="0"/>
    <n v="0.66666666666666663"/>
    <n v="0"/>
    <n v="0"/>
    <n v="1"/>
    <n v="1.6666666666666667"/>
    <n v="0.33333333333333331"/>
    <n v="1"/>
    <n v="0"/>
    <n v="0"/>
    <n v="1.3333333333333333"/>
    <n v="18.333333333333332"/>
    <n v="0.66666666666666663"/>
    <n v="2.666666666666667"/>
    <n v="7.1428571428571425E-2"/>
    <n v="0"/>
    <n v="0"/>
    <n v="8.3333333333333329E-2"/>
    <n v="7.1428571428571425E-2"/>
    <n v="7.1428571428571425E-2"/>
    <n v="1.3333333333333321"/>
    <n v="0"/>
    <n v="0.14285714285714285"/>
    <n v="6.7803575460614954E-2"/>
    <n v="1.4545454545454546"/>
    <n v="5.8181818181818192"/>
    <n v="2.9090909090909092"/>
    <n v="0.14285714285714285"/>
    <n v="2.1818181818181821"/>
    <n v="6.9444444444444434E-2"/>
    <n v="1.8333333333333335"/>
    <n v="0.10000000000000002"/>
    <n v="0.66666666666666641"/>
    <n v="1.4545454545454541"/>
    <n v="2.909090909090907"/>
    <n v="0.33333333333333331"/>
    <n v="4"/>
    <n v="35"/>
    <x v="34"/>
  </r>
  <r>
    <x v="4"/>
    <s v="P. Makieła"/>
    <x v="1"/>
    <n v="1"/>
    <n v="4.666666666666667"/>
    <n v="0"/>
    <n v="0.66666666666666663"/>
    <n v="0.33333333333333331"/>
    <n v="1.3333333333333333"/>
    <n v="1"/>
    <n v="1.3333333333333333"/>
    <n v="0.33333333333333331"/>
    <n v="1"/>
    <n v="0"/>
    <n v="0"/>
    <n v="1"/>
    <n v="18.333333333333332"/>
    <n v="2.3333333333333335"/>
    <n v="2.333333333333333"/>
    <n v="0.21428571428571427"/>
    <n v="0"/>
    <n v="0.25"/>
    <n v="0.25"/>
    <n v="0.22208121827411167"/>
    <n v="0.21428571428571427"/>
    <n v="2"/>
    <n v="0.2857142857142857"/>
    <n v="0.14285714285714285"/>
    <n v="7.7594231031321667E-2"/>
    <n v="5.0909090909090917"/>
    <n v="5.0909090909090908"/>
    <n v="2.1818181818181821"/>
    <n v="0.5"/>
    <n v="2.1818181818181821"/>
    <n v="8.7500000000000008E-2"/>
    <n v="1.6666666666666665"/>
    <n v="9.0909090909090912E-2"/>
    <n v="1.8666666666666667"/>
    <n v="4.0727272727272732"/>
    <n v="4.3636363636363642"/>
    <n v="1"/>
    <n v="4"/>
    <n v="36"/>
    <x v="35"/>
  </r>
  <r>
    <x v="5"/>
    <s v="C. Mavity"/>
    <x v="0"/>
    <n v="7.25"/>
    <n v="16"/>
    <n v="1.5"/>
    <n v="4"/>
    <n v="1.25"/>
    <n v="1.75"/>
    <n v="2.25"/>
    <n v="7"/>
    <n v="1.5"/>
    <n v="4.5"/>
    <n v="0"/>
    <n v="0.75"/>
    <n v="2.75"/>
    <n v="35.5"/>
    <n v="17.25"/>
    <n v="9.25"/>
    <n v="0.453125"/>
    <n v="0.375"/>
    <n v="0.7142857142857143"/>
    <n v="0.47916666666666669"/>
    <n v="0.5143112701252236"/>
    <n v="0.5"/>
    <n v="25.25"/>
    <n v="0.109375"/>
    <n v="0.25"/>
    <n v="0.2220606504951726"/>
    <n v="19.43661971830986"/>
    <n v="10.422535211267606"/>
    <n v="3.098591549295775"/>
    <n v="1.078125"/>
    <n v="5.915492957746479"/>
    <n v="0.33261183261183258"/>
    <n v="8.75"/>
    <n v="0.24647887323943662"/>
    <n v="19.374999999999996"/>
    <n v="21.830985915492956"/>
    <n v="28.450704225352116"/>
    <n v="5.75"/>
    <n v="12"/>
    <n v="37"/>
    <x v="36"/>
  </r>
  <r>
    <x v="5"/>
    <s v="Ł. Bułanowski"/>
    <x v="1"/>
    <n v="2.6666666666666665"/>
    <n v="5.666666666666667"/>
    <n v="0"/>
    <n v="0"/>
    <n v="1"/>
    <n v="2"/>
    <n v="2.6666666666666665"/>
    <n v="6"/>
    <n v="4.333333333333333"/>
    <n v="3.6666666666666665"/>
    <n v="0"/>
    <n v="1"/>
    <n v="0.66666666666666663"/>
    <n v="19.333333333333332"/>
    <n v="6.333333333333333"/>
    <n v="8.6666666666666661"/>
    <n v="0.47058823529411759"/>
    <n v="0"/>
    <n v="0.5"/>
    <n v="0.47058823529411759"/>
    <n v="0.4837067209775967"/>
    <n v="0.47058823529411759"/>
    <n v="16.333333333333332"/>
    <n v="0.3529411764705882"/>
    <n v="0"/>
    <n v="9.1335114485536495E-2"/>
    <n v="13.103448275862069"/>
    <n v="17.931034482758619"/>
    <n v="1.3793103448275863"/>
    <n v="1.1176470588235292"/>
    <n v="9.6551724137931032"/>
    <n v="0.2356902356902357"/>
    <n v="7.6666666666666661"/>
    <n v="0.39655172413793105"/>
    <n v="11.533333333333331"/>
    <n v="23.862068965517238"/>
    <n v="33.793103448275865"/>
    <n v="2.6666666666666665"/>
    <n v="5.666666666666667"/>
    <n v="38"/>
    <x v="37"/>
  </r>
  <r>
    <x v="5"/>
    <s v="P. Kaszuba"/>
    <x v="3"/>
    <n v="3"/>
    <n v="9"/>
    <n v="0"/>
    <n v="0"/>
    <n v="2"/>
    <n v="4"/>
    <n v="1"/>
    <n v="3"/>
    <n v="2"/>
    <n v="1"/>
    <n v="0"/>
    <n v="0"/>
    <n v="1"/>
    <n v="31"/>
    <n v="8"/>
    <n v="4"/>
    <n v="0.33333333333333331"/>
    <n v="0"/>
    <n v="0.5"/>
    <n v="0.33333333333333331"/>
    <n v="0.37174721189591081"/>
    <n v="0.33333333333333331"/>
    <n v="6"/>
    <n v="0.44444444444444442"/>
    <n v="0"/>
    <n v="0.14083769633507853"/>
    <n v="10.32258064516129"/>
    <n v="5.161290322580645"/>
    <n v="1.2903225806451613"/>
    <n v="0.88888888888888884"/>
    <n v="1.2903225806451613"/>
    <n v="4.5454545454545456E-2"/>
    <n v="2.5"/>
    <n v="8.0645161290322578E-2"/>
    <n v="5.3999999999999995"/>
    <n v="6.9677419354838701"/>
    <n v="7.741935483870968"/>
    <n v="3"/>
    <n v="9"/>
    <n v="39"/>
    <x v="38"/>
  </r>
  <r>
    <x v="5"/>
    <s v="D. Sobański"/>
    <x v="0"/>
    <n v="4.25"/>
    <n v="15.75"/>
    <n v="0.75"/>
    <n v="3.5"/>
    <n v="0.5"/>
    <n v="1"/>
    <n v="2.25"/>
    <n v="3.75"/>
    <n v="2"/>
    <n v="1.75"/>
    <n v="0"/>
    <n v="0.25"/>
    <n v="2.75"/>
    <n v="30.25"/>
    <n v="9.75"/>
    <n v="6"/>
    <n v="0.26984126984126983"/>
    <n v="0.21428571428571427"/>
    <n v="0.5"/>
    <n v="0.2857142857142857"/>
    <n v="0.30111179740580601"/>
    <n v="0.29365079365079366"/>
    <n v="8.5"/>
    <n v="6.3492063492063489E-2"/>
    <n v="0.22222222222222221"/>
    <n v="0.21790637585396991"/>
    <n v="12.892561983471074"/>
    <n v="7.9338842975206614"/>
    <n v="3.6363636363636367"/>
    <n v="0.61904761904761907"/>
    <n v="2.6446280991735538"/>
    <n v="0.1314935064935065"/>
    <n v="3.875"/>
    <n v="0.128099173553719"/>
    <n v="6.7750000000000004"/>
    <n v="8.9586776859504145"/>
    <n v="11.239669421487603"/>
    <n v="3.5"/>
    <n v="12.25"/>
    <n v="40"/>
    <x v="39"/>
  </r>
  <r>
    <x v="5"/>
    <s v="W. Sienkowski"/>
    <x v="0"/>
    <n v="3.5"/>
    <n v="11.5"/>
    <n v="1.25"/>
    <n v="3.5"/>
    <n v="0"/>
    <n v="0"/>
    <n v="1.25"/>
    <n v="2.75"/>
    <n v="1.5"/>
    <n v="1.5"/>
    <n v="0"/>
    <n v="0"/>
    <n v="2.5"/>
    <n v="31.25"/>
    <n v="8.25"/>
    <n v="4"/>
    <n v="0.30434782608695654"/>
    <n v="0.35714285714285715"/>
    <n v="0"/>
    <n v="0.28125"/>
    <n v="0.35869565217391303"/>
    <n v="0.35869565217391303"/>
    <n v="8.25"/>
    <n v="0"/>
    <n v="0.30434782608695654"/>
    <n v="0.15267356597215581"/>
    <n v="10.56"/>
    <n v="5.12"/>
    <n v="3.2"/>
    <n v="0.71739130434782605"/>
    <n v="1.92"/>
    <n v="9.6681096681096673E-2"/>
    <n v="2.875"/>
    <n v="9.1999999999999998E-2"/>
    <n v="6.5500000000000016"/>
    <n v="8.3840000000000021"/>
    <n v="10.56"/>
    <n v="2.25"/>
    <n v="8"/>
    <n v="41"/>
    <x v="40"/>
  </r>
  <r>
    <x v="5"/>
    <s v="M. Karczmarczyk"/>
    <x v="0"/>
    <n v="1.25"/>
    <n v="3.5"/>
    <n v="0"/>
    <n v="0.25"/>
    <n v="0"/>
    <n v="0"/>
    <n v="1.75"/>
    <n v="2.5"/>
    <n v="1.5"/>
    <n v="1"/>
    <n v="0"/>
    <n v="0"/>
    <n v="0.25"/>
    <n v="14.25"/>
    <n v="2.5"/>
    <n v="4.25"/>
    <n v="0.35714285714285715"/>
    <n v="0"/>
    <n v="0"/>
    <n v="0.38461538461538464"/>
    <n v="0.35714285714285715"/>
    <n v="0.35714285714285715"/>
    <n v="5.75"/>
    <n v="0"/>
    <n v="7.1428571428571425E-2"/>
    <n v="4.891983946899639E-2"/>
    <n v="7.0175438596491224"/>
    <n v="11.929824561403509"/>
    <n v="0.70175438596491224"/>
    <n v="0.7142857142857143"/>
    <n v="2.807017543859649"/>
    <n v="6.4393939393939392E-2"/>
    <n v="2.25"/>
    <n v="0.15789473684210525"/>
    <n v="3.7"/>
    <n v="10.385964912280702"/>
    <n v="16.140350877192983"/>
    <n v="1.25"/>
    <n v="3.25"/>
    <n v="42"/>
    <x v="41"/>
  </r>
  <r>
    <x v="5"/>
    <s v="M. Nagrodzki"/>
    <x v="0"/>
    <n v="2.25"/>
    <n v="8.5"/>
    <n v="0.25"/>
    <n v="1"/>
    <n v="0"/>
    <n v="1"/>
    <n v="2.5"/>
    <n v="2.5"/>
    <n v="0.75"/>
    <n v="0.5"/>
    <n v="0"/>
    <n v="0.25"/>
    <n v="0.25"/>
    <n v="16.75"/>
    <n v="4.75"/>
    <n v="5"/>
    <n v="0.26470588235294118"/>
    <n v="0.25"/>
    <n v="0"/>
    <n v="0.26666666666666666"/>
    <n v="0.26565995525727071"/>
    <n v="0.27941176470588236"/>
    <n v="3.5"/>
    <n v="0.11764705882352941"/>
    <n v="0.11764705882352941"/>
    <n v="0.11821861269090397"/>
    <n v="11.343283582089551"/>
    <n v="11.940298507462686"/>
    <n v="0.59701492537313428"/>
    <n v="0.55882352941176472"/>
    <n v="1.7910447761194028"/>
    <n v="5.3571428571428568E-2"/>
    <n v="2"/>
    <n v="0.11940298507462686"/>
    <n v="2.6500000000000008"/>
    <n v="6.3283582089552253"/>
    <n v="8.3582089552238799"/>
    <n v="2"/>
    <n v="7.5"/>
    <n v="43"/>
    <x v="42"/>
  </r>
  <r>
    <x v="5"/>
    <s v="J. Karolczuk"/>
    <x v="1"/>
    <n v="1.6666666666666667"/>
    <n v="7.666666666666667"/>
    <n v="0"/>
    <n v="1.6666666666666667"/>
    <n v="0"/>
    <n v="0"/>
    <n v="2"/>
    <n v="3"/>
    <n v="1"/>
    <n v="0.66666666666666663"/>
    <n v="0"/>
    <n v="1"/>
    <n v="0.66666666666666663"/>
    <n v="16"/>
    <n v="3.3333333333333335"/>
    <n v="5"/>
    <n v="0.21739130434782608"/>
    <n v="0"/>
    <n v="0"/>
    <n v="0.27777777777777779"/>
    <n v="0.21739130434782608"/>
    <n v="0.21739130434782608"/>
    <n v="4.6666666666666661"/>
    <n v="0"/>
    <n v="0.21739130434782608"/>
    <n v="9.5021209632733597E-2"/>
    <n v="8.3333333333333339"/>
    <n v="12.5"/>
    <n v="1.6666666666666665"/>
    <n v="0.43478260869565216"/>
    <n v="4.1666666666666661"/>
    <n v="0.11471861471861471"/>
    <n v="3.1666666666666665"/>
    <n v="0.19791666666666666"/>
    <n v="2.7666666666666666"/>
    <n v="6.9166666666666661"/>
    <n v="11.666666666666664"/>
    <n v="1.6666666666666667"/>
    <n v="6"/>
    <n v="44"/>
    <x v="43"/>
  </r>
  <r>
    <x v="5"/>
    <s v="K. Kondeja"/>
    <x v="2"/>
    <n v="0"/>
    <n v="2.5"/>
    <n v="0"/>
    <n v="2"/>
    <n v="0"/>
    <n v="1"/>
    <n v="0.5"/>
    <n v="1.5"/>
    <n v="0.5"/>
    <n v="0.5"/>
    <n v="0"/>
    <n v="0"/>
    <n v="1"/>
    <n v="10"/>
    <n v="0"/>
    <n v="2"/>
    <n v="0"/>
    <n v="0"/>
    <n v="0"/>
    <n v="0"/>
    <n v="0"/>
    <n v="0"/>
    <n v="0"/>
    <n v="0.4"/>
    <n v="0.8"/>
    <n v="4.9532522350006825E-2"/>
    <n v="0"/>
    <n v="8"/>
    <n v="4"/>
    <n v="0"/>
    <n v="2"/>
    <n v="2.2727272727272728E-2"/>
    <n v="1.25"/>
    <n v="0.125"/>
    <n v="-0.14999999999999991"/>
    <n v="-0.59999999999999964"/>
    <n v="0"/>
    <n v="0"/>
    <n v="0.5"/>
    <n v="45"/>
    <x v="44"/>
  </r>
  <r>
    <x v="5"/>
    <s v="G. Jusiński"/>
    <x v="2"/>
    <n v="0"/>
    <n v="1.5"/>
    <n v="0"/>
    <n v="0"/>
    <n v="0"/>
    <n v="0"/>
    <n v="1"/>
    <n v="0.5"/>
    <n v="0"/>
    <n v="0"/>
    <n v="0"/>
    <n v="0"/>
    <n v="0"/>
    <n v="4"/>
    <n v="0"/>
    <n v="1.5"/>
    <n v="0"/>
    <n v="0"/>
    <n v="0"/>
    <n v="0"/>
    <n v="0"/>
    <n v="0"/>
    <n v="0"/>
    <n v="0"/>
    <n v="0"/>
    <n v="1.8662776975532504E-2"/>
    <n v="0"/>
    <n v="15"/>
    <n v="0"/>
    <n v="0"/>
    <n v="0"/>
    <n v="0"/>
    <n v="0.25"/>
    <n v="6.25E-2"/>
    <n v="-0.19999999999999987"/>
    <n v="-1.9999999999999987"/>
    <n v="0"/>
    <n v="0"/>
    <n v="1.5"/>
    <n v="46"/>
    <x v="45"/>
  </r>
  <r>
    <x v="4"/>
    <s v="L. Prokopczuk"/>
    <x v="1"/>
    <n v="3.3333333333333335"/>
    <n v="8.3333333333333339"/>
    <n v="2.6666666666666665"/>
    <n v="5.666666666666667"/>
    <n v="0"/>
    <n v="0.33333333333333331"/>
    <n v="1.3333333333333333"/>
    <n v="9"/>
    <n v="1.3333333333333333"/>
    <n v="3.3333333333333335"/>
    <n v="0"/>
    <n v="0"/>
    <n v="2"/>
    <n v="34"/>
    <n v="9.3333333333333339"/>
    <n v="10.333333333333334"/>
    <n v="0.39999999999999997"/>
    <n v="0.47058823529411759"/>
    <n v="0"/>
    <n v="0.25000000000000011"/>
    <n v="0.55031446540880502"/>
    <n v="0.55999999999999994"/>
    <n v="19.666666666666668"/>
    <n v="3.9999999999999994E-2"/>
    <n v="0.67999999999999994"/>
    <n v="0.11635671924206532"/>
    <n v="10.980392156862747"/>
    <n v="12.15686274509804"/>
    <n v="2.3529411764705883"/>
    <n v="1.1199999999999999"/>
    <n v="3.9215686274509807"/>
    <n v="0.25505050505050503"/>
    <n v="7.8333333333333339"/>
    <n v="0.23039215686274511"/>
    <n v="13.066666666666668"/>
    <n v="15.372549019607845"/>
    <n v="23.137254901960787"/>
    <n v="0.66666666666666696"/>
    <n v="2.666666666666667"/>
    <n v="47"/>
    <x v="46"/>
  </r>
  <r>
    <x v="4"/>
    <s v="J. Radomski"/>
    <x v="3"/>
    <n v="4"/>
    <n v="19"/>
    <n v="3"/>
    <n v="16"/>
    <n v="0"/>
    <n v="0"/>
    <n v="1"/>
    <n v="0"/>
    <n v="1"/>
    <n v="0"/>
    <n v="0"/>
    <n v="0"/>
    <n v="0"/>
    <n v="40"/>
    <n v="11"/>
    <n v="1"/>
    <n v="0.21052631578947367"/>
    <n v="0.1875"/>
    <n v="0"/>
    <n v="0.33333333333333331"/>
    <n v="0.28947368421052633"/>
    <n v="0.28947368421052633"/>
    <n v="-3"/>
    <n v="0"/>
    <n v="0.84210526315789469"/>
    <n v="0.26595744680851063"/>
    <n v="11"/>
    <n v="1"/>
    <n v="0"/>
    <n v="0.57894736842105265"/>
    <n v="0"/>
    <n v="0"/>
    <n v="0"/>
    <n v="0"/>
    <n v="6.6613381477509392E-16"/>
    <n v="6.6613381477509392E-16"/>
    <n v="-3"/>
    <n v="1"/>
    <n v="3"/>
    <n v="48"/>
    <x v="47"/>
  </r>
  <r>
    <x v="5"/>
    <s v="P. Michalski"/>
    <x v="2"/>
    <n v="0"/>
    <n v="3"/>
    <n v="0"/>
    <n v="2.5"/>
    <n v="0"/>
    <n v="0"/>
    <n v="0"/>
    <n v="0"/>
    <n v="0.5"/>
    <n v="0.5"/>
    <n v="0"/>
    <n v="0"/>
    <n v="1"/>
    <n v="8"/>
    <n v="0"/>
    <n v="0"/>
    <n v="0"/>
    <n v="0"/>
    <n v="0"/>
    <n v="0"/>
    <n v="0"/>
    <n v="0"/>
    <n v="-1.5"/>
    <n v="0"/>
    <n v="0.83333333333333337"/>
    <n v="4.7401531869364154E-2"/>
    <n v="0"/>
    <n v="0"/>
    <n v="5"/>
    <n v="0"/>
    <n v="2.5"/>
    <n v="3.5714285714285712E-2"/>
    <n v="0.5"/>
    <n v="6.25E-2"/>
    <n v="-0.89999999999999969"/>
    <n v="-4.4999999999999982"/>
    <n v="-7.5"/>
    <n v="0"/>
    <n v="0.5"/>
    <n v="50"/>
    <x v="48"/>
  </r>
  <r>
    <x v="5"/>
    <s v="B. Sanner"/>
    <x v="3"/>
    <n v="0"/>
    <n v="1"/>
    <n v="0"/>
    <n v="0"/>
    <n v="0"/>
    <n v="0"/>
    <n v="0"/>
    <n v="2"/>
    <n v="0"/>
    <n v="0"/>
    <n v="0"/>
    <n v="0"/>
    <n v="0"/>
    <n v="10"/>
    <n v="0"/>
    <n v="2"/>
    <n v="0"/>
    <n v="0"/>
    <n v="0"/>
    <n v="0"/>
    <n v="0"/>
    <n v="0"/>
    <n v="1"/>
    <n v="0"/>
    <n v="0"/>
    <n v="1.7618040873854827E-2"/>
    <n v="0"/>
    <n v="8"/>
    <n v="0"/>
    <n v="0"/>
    <n v="0"/>
    <n v="0"/>
    <n v="1"/>
    <n v="0.1"/>
    <n v="-9.9999999999999978E-2"/>
    <n v="-0.39999999999999991"/>
    <n v="4"/>
    <n v="0"/>
    <n v="1"/>
    <n v="51"/>
    <x v="49"/>
  </r>
  <r>
    <x v="5"/>
    <s v="A. Sikora"/>
    <x v="2"/>
    <n v="0.5"/>
    <n v="0.5"/>
    <n v="0"/>
    <n v="0"/>
    <n v="0"/>
    <n v="0"/>
    <n v="1"/>
    <n v="2"/>
    <n v="0.5"/>
    <n v="0.5"/>
    <n v="0"/>
    <n v="0"/>
    <n v="0.5"/>
    <n v="15"/>
    <n v="1"/>
    <n v="3"/>
    <n v="1"/>
    <n v="0"/>
    <n v="0"/>
    <n v="1"/>
    <n v="1"/>
    <n v="1"/>
    <n v="5"/>
    <n v="0"/>
    <n v="0"/>
    <n v="6.0827250608272501E-3"/>
    <n v="2.6666666666666665"/>
    <n v="8"/>
    <n v="1.3333333333333333"/>
    <n v="2"/>
    <n v="1.3333333333333333"/>
    <n v="3.5714285714285712E-2"/>
    <n v="1.5"/>
    <n v="0.1"/>
    <n v="3"/>
    <n v="8"/>
    <n v="13.333333333333332"/>
    <n v="0.5"/>
    <n v="0.5"/>
    <n v="53"/>
    <x v="50"/>
  </r>
  <r>
    <x v="2"/>
    <s v="P. Kozlowski"/>
    <x v="1"/>
    <n v="2.3333333333333335"/>
    <n v="6.666666666666667"/>
    <n v="0.33333333333333331"/>
    <n v="0.66666666666666663"/>
    <n v="1"/>
    <n v="2"/>
    <n v="1"/>
    <n v="5.333333333333333"/>
    <n v="0"/>
    <n v="2.3333333333333335"/>
    <n v="0"/>
    <n v="1.3333333333333333"/>
    <n v="1"/>
    <n v="24.666666666666668"/>
    <n v="6"/>
    <n v="6.333333333333333"/>
    <n v="0.35000000000000003"/>
    <n v="0.5"/>
    <n v="0.5"/>
    <n v="0.33333333333333331"/>
    <n v="0.39752650176678445"/>
    <n v="0.375"/>
    <n v="11.666666666666666"/>
    <n v="0.3"/>
    <n v="9.9999999999999992E-2"/>
    <n v="0.1200127510428457"/>
    <n v="9.7297297297297298"/>
    <n v="10.270270270270268"/>
    <n v="1.6216216216216215"/>
    <n v="0.89999999999999991"/>
    <n v="5.9459459459459456"/>
    <n v="0.25898078529657476"/>
    <n v="6.3333333333333339"/>
    <n v="0.25675675675675674"/>
    <n v="8.1333333333333329"/>
    <n v="13.189189189189188"/>
    <n v="18.918918918918916"/>
    <n v="2"/>
    <n v="6"/>
    <n v="54"/>
    <x v="51"/>
  </r>
  <r>
    <x v="3"/>
    <s v="M. Bartosiewicz"/>
    <x v="2"/>
    <n v="0.5"/>
    <n v="3"/>
    <n v="0"/>
    <n v="0.5"/>
    <n v="1"/>
    <n v="1"/>
    <n v="0.5"/>
    <n v="1.5"/>
    <n v="0"/>
    <n v="1"/>
    <n v="0"/>
    <n v="0"/>
    <n v="1"/>
    <n v="18"/>
    <n v="2"/>
    <n v="2"/>
    <n v="0.16666666666666666"/>
    <n v="0"/>
    <n v="1"/>
    <n v="0.2"/>
    <n v="0.29069767441860467"/>
    <n v="0.16666666666666666"/>
    <n v="3.5"/>
    <n v="0.33333333333333331"/>
    <n v="0.16666666666666666"/>
    <n v="4.6535495018092642E-2"/>
    <n v="4.4444444444444446"/>
    <n v="4.4444444444444446"/>
    <n v="2.2222222222222223"/>
    <n v="0.66666666666666663"/>
    <n v="2.2222222222222223"/>
    <n v="5.2777777777777778E-2"/>
    <n v="1.75"/>
    <n v="9.7222222222222224E-2"/>
    <n v="2.6000000000000005"/>
    <n v="5.7777777777777795"/>
    <n v="7.7777777777777786"/>
    <n v="0.5"/>
    <n v="2.5"/>
    <n v="55"/>
    <x v="52"/>
  </r>
  <r>
    <x v="3"/>
    <s v="P. Gawryś"/>
    <x v="3"/>
    <n v="1"/>
    <n v="7"/>
    <n v="0"/>
    <n v="2"/>
    <n v="0"/>
    <n v="0"/>
    <n v="1"/>
    <n v="1"/>
    <n v="0"/>
    <n v="3"/>
    <n v="0"/>
    <n v="0"/>
    <n v="0"/>
    <n v="14"/>
    <n v="2"/>
    <n v="2"/>
    <n v="0.14285714285714285"/>
    <n v="0"/>
    <n v="0"/>
    <n v="0.2"/>
    <n v="0.14285714285714285"/>
    <n v="0.14285714285714285"/>
    <n v="1"/>
    <n v="0"/>
    <n v="0.2857142857142857"/>
    <n v="0.11047979797979798"/>
    <n v="5.7142857142857144"/>
    <n v="5.7142857142857144"/>
    <n v="0"/>
    <n v="0.2857142857142857"/>
    <n v="8.5714285714285712"/>
    <n v="0.16666666666666666"/>
    <n v="3.5"/>
    <n v="0.25"/>
    <n v="1.5000000000000004"/>
    <n v="4.2857142857142874"/>
    <n v="2.8571428571428572"/>
    <n v="1"/>
    <n v="5"/>
    <n v="56"/>
    <x v="53"/>
  </r>
  <r>
    <x v="1"/>
    <s v="D. Newteruk"/>
    <x v="3"/>
    <n v="3"/>
    <n v="14"/>
    <n v="1"/>
    <n v="6"/>
    <n v="1"/>
    <n v="1"/>
    <n v="3"/>
    <n v="3"/>
    <n v="0"/>
    <n v="0"/>
    <n v="0"/>
    <n v="0"/>
    <n v="2"/>
    <n v="33"/>
    <n v="8"/>
    <n v="6"/>
    <n v="0.21428571428571427"/>
    <n v="0.16666666666666666"/>
    <n v="1"/>
    <n v="0.25"/>
    <n v="0.2770083102493075"/>
    <n v="0.25"/>
    <n v="5"/>
    <n v="7.1428571428571425E-2"/>
    <n v="0.42857142857142855"/>
    <n v="0.19966814159292037"/>
    <n v="9.6969696969696972"/>
    <n v="7.2727272727272734"/>
    <n v="2.4242424242424243"/>
    <n v="0.5714285714285714"/>
    <n v="0"/>
    <n v="0"/>
    <n v="1.5"/>
    <n v="4.5454545454545456E-2"/>
    <n v="3.8"/>
    <n v="4.6060606060606064"/>
    <n v="6.0606060606060606"/>
    <n v="2"/>
    <n v="8"/>
    <n v="61"/>
    <x v="54"/>
  </r>
  <r>
    <x v="1"/>
    <s v="S. Gonchar"/>
    <x v="2"/>
    <n v="3.5"/>
    <n v="13"/>
    <n v="0"/>
    <n v="1"/>
    <n v="0"/>
    <n v="0"/>
    <n v="4"/>
    <n v="3"/>
    <n v="1.5"/>
    <n v="2"/>
    <n v="0"/>
    <n v="0"/>
    <n v="4.5"/>
    <n v="32.5"/>
    <n v="7"/>
    <n v="7"/>
    <n v="0.26923076923076922"/>
    <n v="0"/>
    <n v="0"/>
    <n v="0.29166666666666669"/>
    <n v="0.26923076923076922"/>
    <n v="0.26923076923076922"/>
    <n v="11"/>
    <n v="0"/>
    <n v="7.6923076923076927E-2"/>
    <n v="0.17948969829500805"/>
    <n v="8.6153846153846168"/>
    <n v="8.6153846153846168"/>
    <n v="5.5384615384615383"/>
    <n v="0.53846153846153844"/>
    <n v="2.4615384615384617"/>
    <n v="0.11212121212121212"/>
    <n v="3.5"/>
    <n v="0.1076923076923077"/>
    <n v="8.15"/>
    <n v="10.030769230769232"/>
    <n v="13.53846153846154"/>
    <n v="3.5"/>
    <n v="12"/>
    <n v="64"/>
    <x v="55"/>
  </r>
  <r>
    <x v="0"/>
    <s v="F. Firas"/>
    <x v="1"/>
    <n v="2"/>
    <n v="8.3333333333333339"/>
    <n v="0"/>
    <n v="1.6666666666666667"/>
    <n v="1.3333333333333333"/>
    <n v="2"/>
    <n v="1"/>
    <n v="6.666666666666667"/>
    <n v="1.6666666666666667"/>
    <n v="0.66666666666666663"/>
    <n v="0"/>
    <n v="0.66666666666666663"/>
    <n v="0.33333333333333331"/>
    <n v="22.666666666666668"/>
    <n v="5.333333333333333"/>
    <n v="7.666666666666667"/>
    <n v="0.24"/>
    <n v="0"/>
    <n v="0.66666666666666663"/>
    <n v="0.3"/>
    <n v="0.28943560057887113"/>
    <n v="0.24"/>
    <n v="7.666666666666667"/>
    <n v="0.24"/>
    <n v="0.19999999999999998"/>
    <n v="0.13341993288179388"/>
    <n v="9.4117647058823515"/>
    <n v="13.529411764705882"/>
    <n v="0.58823529411764697"/>
    <n v="0.6399999999999999"/>
    <n v="2.3529411764705879"/>
    <n v="8.8888888888888892E-2"/>
    <n v="4.666666666666667"/>
    <n v="0.20588235294117646"/>
    <n v="4.0999999999999996"/>
    <n v="7.235294117647058"/>
    <n v="13.529411764705882"/>
    <n v="2"/>
    <n v="6.666666666666667"/>
    <m/>
    <x v="56"/>
  </r>
  <r>
    <x v="1"/>
    <s v="A. Zverev"/>
    <x v="3"/>
    <n v="5"/>
    <n v="8"/>
    <n v="0"/>
    <n v="0"/>
    <n v="0"/>
    <n v="0"/>
    <n v="3"/>
    <n v="3"/>
    <n v="4"/>
    <n v="6"/>
    <n v="0"/>
    <n v="1"/>
    <n v="2"/>
    <n v="31"/>
    <n v="10"/>
    <n v="6"/>
    <n v="0.625"/>
    <n v="0"/>
    <n v="0"/>
    <n v="0.625"/>
    <n v="0.625"/>
    <n v="0.625"/>
    <n v="22"/>
    <n v="0"/>
    <n v="0"/>
    <n v="0.11061946902654868"/>
    <n v="12.903225806451612"/>
    <n v="7.741935483870968"/>
    <n v="2.5806451612903225"/>
    <n v="1.25"/>
    <n v="9.0322580645161281"/>
    <n v="0.31818181818181818"/>
    <n v="8.5"/>
    <n v="0.27419354838709675"/>
    <n v="17.5"/>
    <n v="22.58064516129032"/>
    <n v="28.387096774193548"/>
    <n v="5"/>
    <n v="8"/>
    <m/>
    <x v="57"/>
  </r>
  <r>
    <x v="1"/>
    <s v="B. Kichuk"/>
    <x v="2"/>
    <n v="6"/>
    <n v="15.5"/>
    <n v="1"/>
    <n v="4"/>
    <n v="1"/>
    <n v="1"/>
    <n v="1"/>
    <n v="1"/>
    <n v="0"/>
    <n v="1.5"/>
    <n v="0"/>
    <n v="0"/>
    <n v="3"/>
    <n v="32"/>
    <n v="14"/>
    <n v="2"/>
    <n v="0.38709677419354838"/>
    <n v="0.25"/>
    <n v="1"/>
    <n v="0.43478260869565216"/>
    <n v="0.4391468005018821"/>
    <n v="0.41935483870967744"/>
    <n v="11"/>
    <n v="6.4516129032258063E-2"/>
    <n v="0.25806451612903225"/>
    <n v="0.21997303764844856"/>
    <n v="17.5"/>
    <n v="2.5"/>
    <n v="3.75"/>
    <n v="0.90322580645161288"/>
    <n v="1.875"/>
    <n v="7.8787878787878796E-2"/>
    <n v="2"/>
    <n v="6.25E-2"/>
    <n v="10.149999999999999"/>
    <n v="12.687499999999998"/>
    <n v="13.75"/>
    <n v="5"/>
    <n v="11.5"/>
    <m/>
    <x v="58"/>
  </r>
  <r>
    <x v="1"/>
    <s v="K. Mikolaj"/>
    <x v="3"/>
    <n v="3"/>
    <n v="7"/>
    <n v="0"/>
    <n v="0"/>
    <n v="0"/>
    <n v="0"/>
    <n v="2"/>
    <n v="4"/>
    <n v="1"/>
    <n v="1"/>
    <n v="0"/>
    <n v="1"/>
    <n v="1"/>
    <n v="23"/>
    <n v="6"/>
    <n v="6"/>
    <n v="0.42857142857142855"/>
    <n v="0"/>
    <n v="0"/>
    <n v="0.42857142857142855"/>
    <n v="0.42857142857142855"/>
    <n v="0.42857142857142855"/>
    <n v="11"/>
    <n v="0"/>
    <n v="0"/>
    <n v="9.67920353982301E-2"/>
    <n v="10.434782608695652"/>
    <n v="10.434782608695652"/>
    <n v="1.7391304347826086"/>
    <n v="0.8571428571428571"/>
    <n v="3.4782608695652173"/>
    <n v="9.0909090909090912E-2"/>
    <n v="4"/>
    <n v="0.17391304347826086"/>
    <n v="7.3000000000000007"/>
    <n v="12.695652173913045"/>
    <n v="19.130434782608695"/>
    <n v="3"/>
    <n v="7"/>
    <m/>
    <x v="59"/>
  </r>
  <r>
    <x v="1"/>
    <s v="V. Kurshynov"/>
    <x v="1"/>
    <n v="0.66666666666666663"/>
    <n v="3"/>
    <n v="0.33333333333333331"/>
    <n v="1.3333333333333333"/>
    <n v="0.66666666666666663"/>
    <n v="1"/>
    <n v="1"/>
    <n v="3.6666666666666665"/>
    <n v="0.66666666666666663"/>
    <n v="2.3333333333333335"/>
    <n v="0"/>
    <n v="0.66666666666666663"/>
    <n v="1.3333333333333333"/>
    <n v="26.333333333333332"/>
    <n v="2.3333333333333335"/>
    <n v="4.6666666666666661"/>
    <n v="0.22222222222222221"/>
    <n v="0.25"/>
    <n v="0.66666666666666663"/>
    <n v="0.19999999999999998"/>
    <n v="0.33914728682170547"/>
    <n v="0.27777777777777773"/>
    <n v="8.6666666666666643"/>
    <n v="0.33333333333333331"/>
    <n v="0.44444444444444442"/>
    <n v="4.8398341610053131E-2"/>
    <n v="3.5443037974683551"/>
    <n v="7.0886075949367084"/>
    <n v="2.0253164556962027"/>
    <n v="0.77777777777777779"/>
    <n v="4.556962025316456"/>
    <n v="0.26204906204906203"/>
    <n v="4.833333333333333"/>
    <n v="0.18354430379746836"/>
    <n v="5.9"/>
    <n v="8.9620253164556978"/>
    <n v="13.164556962025314"/>
    <n v="0.33333333333333331"/>
    <n v="1.6666666666666667"/>
    <m/>
    <x v="60"/>
  </r>
  <r>
    <x v="2"/>
    <s v="P. Durka"/>
    <x v="2"/>
    <n v="3"/>
    <n v="9"/>
    <n v="0"/>
    <n v="0"/>
    <n v="0.5"/>
    <n v="2"/>
    <n v="4.5"/>
    <n v="9"/>
    <n v="3"/>
    <n v="1.5"/>
    <n v="0"/>
    <n v="1.5"/>
    <n v="1"/>
    <n v="23.5"/>
    <n v="6.5"/>
    <n v="13.5"/>
    <n v="0.33333333333333331"/>
    <n v="0"/>
    <n v="0.25"/>
    <n v="0.33333333333333331"/>
    <n v="0.3289473684210526"/>
    <n v="0.33333333333333331"/>
    <n v="16.5"/>
    <n v="0.22222222222222221"/>
    <n v="0"/>
    <n v="0.16245012896721819"/>
    <n v="11.063829787234043"/>
    <n v="22.978723404255319"/>
    <n v="1.7021276595744681"/>
    <n v="0.72222222222222221"/>
    <n v="5.1063829787234045"/>
    <n v="0.1732456140350877"/>
    <n v="7.5"/>
    <n v="0.31914893617021278"/>
    <n v="9.8999999999999986"/>
    <n v="16.851063829787233"/>
    <n v="28.085106382978722"/>
    <n v="3"/>
    <n v="9"/>
    <m/>
    <x v="61"/>
  </r>
  <r>
    <x v="2"/>
    <s v="F. Szymor"/>
    <x v="3"/>
    <n v="0"/>
    <n v="2"/>
    <n v="0"/>
    <n v="1"/>
    <n v="0"/>
    <n v="0"/>
    <n v="0"/>
    <n v="3"/>
    <n v="0"/>
    <n v="2"/>
    <n v="0"/>
    <n v="0"/>
    <n v="2"/>
    <n v="9"/>
    <n v="0"/>
    <n v="3"/>
    <n v="0"/>
    <n v="0"/>
    <n v="0"/>
    <n v="0"/>
    <n v="0"/>
    <n v="0"/>
    <n v="5"/>
    <n v="0"/>
    <n v="0.5"/>
    <n v="3.4317089910775568E-2"/>
    <n v="0"/>
    <n v="13.333333333333334"/>
    <n v="8.8888888888888893"/>
    <n v="0"/>
    <n v="8.8888888888888893"/>
    <n v="0.10526315789473684"/>
    <n v="3.5"/>
    <n v="0.3888888888888889"/>
    <n v="2.9"/>
    <n v="12.888888888888889"/>
    <n v="22.222222222222221"/>
    <n v="0"/>
    <n v="1"/>
    <m/>
    <x v="62"/>
  </r>
  <r>
    <x v="3"/>
    <s v="F. Siemiątkowski"/>
    <x v="2"/>
    <n v="4.5"/>
    <n v="14"/>
    <n v="1"/>
    <n v="5"/>
    <n v="1"/>
    <n v="2"/>
    <n v="3"/>
    <n v="1.5"/>
    <n v="1.5"/>
    <n v="3"/>
    <n v="0"/>
    <n v="0.5"/>
    <n v="0.5"/>
    <n v="29.5"/>
    <n v="11"/>
    <n v="4.5"/>
    <n v="0.32142857142857145"/>
    <n v="0.2"/>
    <n v="0.5"/>
    <n v="0.3888888888888889"/>
    <n v="0.3696236559139785"/>
    <n v="0.35714285714285715"/>
    <n v="9"/>
    <n v="0.14285714285714285"/>
    <n v="0.35714285714285715"/>
    <n v="0.17280573000704047"/>
    <n v="14.915254237288135"/>
    <n v="6.101694915254237"/>
    <n v="0.67796610169491522"/>
    <n v="0.7857142857142857"/>
    <n v="4.7457627118644066"/>
    <n v="0.15869565217391304"/>
    <n v="4.25"/>
    <n v="0.1440677966101695"/>
    <n v="8.8500000000000014"/>
    <n v="12.000000000000002"/>
    <n v="12.203389830508474"/>
    <n v="3.5"/>
    <n v="9"/>
    <m/>
    <x v="63"/>
  </r>
  <r>
    <x v="0"/>
    <s v="B. Konwicki"/>
    <x v="3"/>
    <n v="5"/>
    <n v="11"/>
    <n v="2"/>
    <n v="5"/>
    <n v="1"/>
    <n v="2"/>
    <n v="1"/>
    <n v="5"/>
    <n v="2"/>
    <n v="3"/>
    <n v="0"/>
    <n v="1"/>
    <n v="4"/>
    <n v="23"/>
    <n v="13"/>
    <n v="6"/>
    <n v="0.45454545454545453"/>
    <n v="0.4"/>
    <n v="0.5"/>
    <n v="0.5"/>
    <n v="0.54713804713804715"/>
    <n v="0.54545454545454541"/>
    <n v="20"/>
    <n v="0.18181818181818182"/>
    <n v="0.45454545454545453"/>
    <n v="0.167607223476298"/>
    <n v="22.608695652173914"/>
    <n v="10.434782608695652"/>
    <n v="6.9565217391304346"/>
    <n v="1.1818181818181819"/>
    <n v="6.9565217391304346"/>
    <n v="0.26666666666666666"/>
    <n v="6.5"/>
    <n v="0.28260869565217389"/>
    <n v="15.600000000000001"/>
    <n v="27.130434782608699"/>
    <n v="34.782608695652172"/>
    <n v="3"/>
    <n v="6"/>
    <m/>
    <x v="64"/>
  </r>
  <r>
    <x v="1"/>
    <s v="M. Kutz"/>
    <x v="3"/>
    <n v="4"/>
    <n v="13"/>
    <n v="0"/>
    <n v="0"/>
    <n v="0"/>
    <n v="0"/>
    <n v="2"/>
    <n v="6"/>
    <n v="2"/>
    <n v="1"/>
    <n v="0"/>
    <n v="2"/>
    <n v="5"/>
    <n v="40"/>
    <n v="8"/>
    <n v="8"/>
    <n v="0.30769230769230771"/>
    <n v="0"/>
    <n v="0"/>
    <n v="0.30769230769230771"/>
    <n v="0.30769230769230771"/>
    <n v="0.30769230769230771"/>
    <n v="15"/>
    <n v="0"/>
    <n v="0"/>
    <n v="0.17926089354660785"/>
    <n v="8"/>
    <n v="8"/>
    <n v="5"/>
    <n v="0.61538461538461542"/>
    <n v="3"/>
    <n v="0.2"/>
    <n v="6"/>
    <n v="0.15"/>
    <n v="9.6"/>
    <n v="9.6"/>
    <n v="15"/>
    <n v="4"/>
    <n v="13"/>
    <m/>
    <x v="65"/>
  </r>
  <r>
    <x v="1"/>
    <s v="W. Pyszyński"/>
    <x v="3"/>
    <n v="0"/>
    <n v="2"/>
    <n v="0"/>
    <n v="0"/>
    <n v="0"/>
    <n v="0"/>
    <n v="1"/>
    <n v="5"/>
    <n v="1"/>
    <n v="1"/>
    <n v="0"/>
    <n v="1"/>
    <n v="1"/>
    <n v="24"/>
    <n v="0"/>
    <n v="6"/>
    <n v="0"/>
    <n v="0"/>
    <n v="0"/>
    <n v="0"/>
    <n v="0"/>
    <n v="0"/>
    <n v="7"/>
    <n v="0"/>
    <n v="0"/>
    <n v="2.7578599007170437E-2"/>
    <n v="0"/>
    <n v="10"/>
    <n v="1.6666666666666667"/>
    <n v="0"/>
    <n v="3.3333333333333335"/>
    <n v="0.13333333333333333"/>
    <n v="4.5"/>
    <n v="0.1875"/>
    <n v="3.2"/>
    <n v="5.3333333333333339"/>
    <n v="11.666666666666668"/>
    <n v="0"/>
    <n v="2"/>
    <m/>
    <x v="66"/>
  </r>
  <r>
    <x v="3"/>
    <s v="T. Gortat"/>
    <x v="3"/>
    <n v="3"/>
    <n v="13"/>
    <n v="1"/>
    <n v="6"/>
    <n v="6"/>
    <n v="9"/>
    <n v="7"/>
    <n v="13"/>
    <n v="0"/>
    <n v="4"/>
    <n v="0"/>
    <n v="2"/>
    <n v="2"/>
    <n v="29"/>
    <n v="13"/>
    <n v="20"/>
    <n v="0.23076923076923078"/>
    <n v="0.16666666666666666"/>
    <n v="0.66666666666666663"/>
    <n v="0.2857142857142857"/>
    <n v="0.38325471698113206"/>
    <n v="0.26923076923076922"/>
    <n v="28"/>
    <n v="0.69230769230769229"/>
    <n v="0.46153846153846156"/>
    <n v="0.17996604414261461"/>
    <n v="17.931034482758623"/>
    <n v="27.586206896551726"/>
    <n v="2.7586206896551726"/>
    <n v="1"/>
    <n v="8.2758620689655178"/>
    <n v="0.3"/>
    <n v="12.5"/>
    <n v="0.43103448275862066"/>
    <n v="19.499999999999996"/>
    <n v="26.896551724137929"/>
    <n v="38.620689655172413"/>
    <n v="2"/>
    <n v="7"/>
    <m/>
    <x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EA28A-8402-4F22-ADC1-DCABE408C028}" name="Tabela przestawna6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4">
  <location ref="P3:Q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dataField="1"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2"/>
    </i>
    <i>
      <x v="18"/>
    </i>
    <i>
      <x v="71"/>
    </i>
    <i>
      <x v="31"/>
    </i>
    <i>
      <x v="10"/>
    </i>
    <i>
      <x v="28"/>
    </i>
    <i>
      <x v="52"/>
    </i>
    <i>
      <x v="57"/>
    </i>
    <i>
      <x v="70"/>
    </i>
    <i>
      <x v="60"/>
    </i>
    <i t="grand">
      <x/>
    </i>
  </rowItems>
  <colItems count="1">
    <i/>
  </colItems>
  <pageFields count="1">
    <pageField fld="2" hier="-1"/>
  </pageFields>
  <dataFields count="1">
    <dataField name="Suma z EVAL" fld="25" baseField="0" baseItem="0" numFmtId="1"/>
  </dataFields>
  <formats count="4">
    <format dxfId="330">
      <pivotArea outline="0" fieldPosition="0">
        <references count="1">
          <reference field="43" count="10" selected="0">
            <x v="6"/>
            <x v="16"/>
            <x v="18"/>
            <x v="24"/>
            <x v="30"/>
            <x v="37"/>
            <x v="51"/>
            <x v="54"/>
            <x v="59"/>
            <x v="61"/>
          </reference>
        </references>
      </pivotArea>
    </format>
    <format dxfId="329">
      <pivotArea outline="0" fieldPosition="0">
        <references count="1">
          <reference field="43" count="10" selected="0">
            <x v="6"/>
            <x v="16"/>
            <x v="18"/>
            <x v="24"/>
            <x v="30"/>
            <x v="37"/>
            <x v="51"/>
            <x v="54"/>
            <x v="61"/>
            <x v="74"/>
          </reference>
        </references>
      </pivotArea>
    </format>
    <format dxfId="328">
      <pivotArea outline="0" fieldPosition="0">
        <references count="1">
          <reference field="43" count="10" selected="0">
            <x v="10"/>
            <x v="18"/>
            <x v="23"/>
            <x v="28"/>
            <x v="31"/>
            <x v="32"/>
            <x v="39"/>
            <x v="57"/>
            <x v="60"/>
            <x v="70"/>
          </reference>
        </references>
      </pivotArea>
    </format>
    <format dxfId="327">
      <pivotArea dataOnly="0" grandCol="1" outline="0" axis="axisCol" fieldPosition="0"/>
    </format>
  </format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01666-F849-4655-8A3B-C8D32082FCD3}" name="Tabela przestawna4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5">
  <location ref="J3:K16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57"/>
    </i>
    <i>
      <x v="65"/>
    </i>
    <i>
      <x v="69"/>
    </i>
    <i>
      <x v="39"/>
    </i>
    <i>
      <x v="27"/>
    </i>
    <i>
      <x v="73"/>
    </i>
    <i>
      <x v="28"/>
    </i>
    <i>
      <x v="31"/>
    </i>
    <i>
      <x v="32"/>
    </i>
    <i>
      <x v="70"/>
    </i>
    <i>
      <x v="60"/>
    </i>
    <i t="grand">
      <x/>
    </i>
  </rowItems>
  <colItems count="1">
    <i/>
  </colItems>
  <pageFields count="1">
    <pageField fld="2" hier="-1"/>
  </pageFields>
  <dataFields count="1">
    <dataField name="Suma z stl" fld="12" baseField="0" baseItem="0" numFmtId="164"/>
  </dataField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C525D-CF32-47F8-89C0-9945DA7C6C8D}" name="Tabela przestawna3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2">
  <location ref="G3:H16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13"/>
    </i>
    <i>
      <x v="70"/>
    </i>
    <i>
      <x v="28"/>
    </i>
    <i>
      <x v="67"/>
    </i>
    <i>
      <x v="40"/>
    </i>
    <i>
      <x v="6"/>
    </i>
    <i>
      <x v="62"/>
    </i>
    <i>
      <x v="41"/>
    </i>
    <i>
      <x v="52"/>
    </i>
    <i>
      <x v="58"/>
    </i>
    <i>
      <x v="60"/>
    </i>
    <i t="grand">
      <x/>
    </i>
  </rowItems>
  <colItems count="1">
    <i/>
  </colItems>
  <pageFields count="1">
    <pageField fld="2" hier="-1"/>
  </pageFields>
  <dataFields count="1">
    <dataField name="Suma z asst" fld="15" baseField="0" baseItem="0" numFmtId="164"/>
  </dataFields>
  <chartFormats count="2">
    <chartFormat chart="0" format="3" series="1">
      <pivotArea type="data" outline="0" fieldPosition="0"/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EAE68-60B2-4177-9FC7-C6592199141A}" name="Tabela przestawna2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2">
  <location ref="D3:E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16"/>
    </i>
    <i>
      <x v="42"/>
    </i>
    <i>
      <x v="32"/>
    </i>
    <i>
      <x v="70"/>
    </i>
    <i>
      <x v="10"/>
    </i>
    <i>
      <x v="18"/>
    </i>
    <i>
      <x v="28"/>
    </i>
    <i>
      <x v="31"/>
    </i>
    <i>
      <x v="71"/>
    </i>
    <i>
      <x v="52"/>
    </i>
    <i t="grand">
      <x/>
    </i>
  </rowItems>
  <colItems count="1">
    <i/>
  </colItems>
  <pageFields count="1">
    <pageField fld="2" hier="-1"/>
  </pageFields>
  <dataFields count="1">
    <dataField name="Suma z reb total" fld="18" baseField="0" baseItem="0" numFmtId="164"/>
  </dataFields>
  <chartFormats count="2">
    <chartFormat chart="0" format="3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10" filterVal="10"/>
        </filterColumn>
      </autoFilter>
    </filter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6C7A-5BB6-4BA1-9B89-6E59ECD6D6E2}" name="Tabela przestawna1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14">
  <location ref="A3:B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73"/>
    </i>
    <i>
      <x v="35"/>
    </i>
    <i>
      <x v="18"/>
    </i>
    <i>
      <x v="28"/>
    </i>
    <i>
      <x v="67"/>
    </i>
    <i>
      <x v="70"/>
    </i>
    <i>
      <x v="12"/>
    </i>
    <i>
      <x v="60"/>
    </i>
    <i>
      <x v="10"/>
    </i>
    <i>
      <x v="57"/>
    </i>
    <i t="grand">
      <x/>
    </i>
  </rowItems>
  <colItems count="1">
    <i/>
  </colItems>
  <pageFields count="1">
    <pageField fld="2" hier="-1"/>
  </pageFields>
  <dataFields count="1">
    <dataField name="Suma z pts" fld="17" baseField="0" baseItem="0" numFmtId="164"/>
  </dataFields>
  <chartFormats count="2">
    <chartFormat chart="0" format="3" series="1">
      <pivotArea type="data" outline="0" fieldPosition="0"/>
    </chartFormat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10" filterVal="10"/>
        </filterColumn>
      </autoFilter>
    </filter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6D882-0356-4FA1-B708-9593372C2407}" name="Tabela przestawna5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6">
  <location ref="M3:N16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70"/>
    </i>
    <i>
      <x v="41"/>
    </i>
    <i>
      <x v="34"/>
    </i>
    <i>
      <x v="10"/>
    </i>
    <i>
      <x v="22"/>
    </i>
    <i>
      <x v="23"/>
    </i>
    <i>
      <x v="32"/>
    </i>
    <i>
      <x v="57"/>
    </i>
    <i>
      <x v="18"/>
    </i>
    <i>
      <x v="65"/>
    </i>
    <i>
      <x v="71"/>
    </i>
    <i t="grand">
      <x/>
    </i>
  </rowItems>
  <colItems count="1">
    <i/>
  </colItems>
  <pageFields count="1">
    <pageField fld="2" hier="-1"/>
  </pageFields>
  <dataFields count="1">
    <dataField name="Suma z blk" fld="14" baseField="0" baseItem="0" numFmtId="164"/>
  </dataField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E1105-B6E5-4806-9C41-98DF6F96BCC9}" name="Tabela przestawna9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D3:E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2"/>
    </i>
    <i>
      <x v="70"/>
    </i>
    <i>
      <x v="42"/>
    </i>
    <i>
      <x v="56"/>
    </i>
    <i>
      <x v="16"/>
    </i>
    <i>
      <x v="35"/>
    </i>
    <i>
      <x v="15"/>
    </i>
    <i>
      <x v="6"/>
    </i>
    <i>
      <x v="10"/>
    </i>
    <i>
      <x v="57"/>
    </i>
    <i t="grand">
      <x/>
    </i>
  </rowItems>
  <colItems count="1">
    <i/>
  </colItems>
  <pageFields count="1">
    <pageField fld="2" hier="-1"/>
  </pageFields>
  <dataFields count="1">
    <dataField name="Suma z ftm" fld="7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615E6-7E31-4120-84C1-AA665A3D64B2}" name="Tabela przestawna10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G3:H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7"/>
    </i>
    <i>
      <x v="28"/>
    </i>
    <i>
      <x v="31"/>
    </i>
    <i>
      <x v="18"/>
    </i>
    <i>
      <x v="70"/>
    </i>
    <i>
      <x v="32"/>
    </i>
    <i>
      <x v="23"/>
    </i>
    <i>
      <x v="57"/>
    </i>
    <i>
      <x v="60"/>
    </i>
    <i>
      <x v="4"/>
    </i>
    <i t="grand">
      <x/>
    </i>
  </rowItems>
  <colItems count="1">
    <i/>
  </colItems>
  <pageFields count="1">
    <pageField fld="2" hier="-1"/>
  </pageFields>
  <dataFields count="1">
    <dataField name="Suma z fg%" fld="19" baseField="0" baseItem="0" numFmtId="9"/>
  </dataFields>
  <formats count="3">
    <format dxfId="324">
      <pivotArea outline="0" fieldPosition="0">
        <references count="1">
          <reference field="43" count="10" selected="0">
            <x v="18"/>
            <x v="23"/>
            <x v="28"/>
            <x v="31"/>
            <x v="32"/>
            <x v="39"/>
            <x v="53"/>
            <x v="57"/>
            <x v="60"/>
            <x v="70"/>
          </reference>
        </references>
      </pivotArea>
    </format>
    <format dxfId="323">
      <pivotArea outline="0" fieldPosition="0">
        <references count="1">
          <reference field="43" count="10" selected="0">
            <x v="6"/>
            <x v="16"/>
            <x v="18"/>
            <x v="24"/>
            <x v="30"/>
            <x v="37"/>
            <x v="51"/>
            <x v="54"/>
            <x v="59"/>
            <x v="61"/>
          </reference>
        </references>
      </pivotArea>
    </format>
    <format dxfId="322">
      <pivotArea dataOnly="0" grandCol="1" outline="0" axis="axisCol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63032-478D-4A4A-B53D-A687A6C6FEAD}" name="Tabela przestawna7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4">
  <location ref="A3:B21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7">
    <i>
      <x v="35"/>
    </i>
    <i>
      <x v="40"/>
    </i>
    <i>
      <x v="73"/>
    </i>
    <i>
      <x v="41"/>
    </i>
    <i>
      <x v="26"/>
    </i>
    <i>
      <x v="67"/>
    </i>
    <i>
      <x v="62"/>
    </i>
    <i>
      <x v="30"/>
    </i>
    <i>
      <x v="64"/>
    </i>
    <i>
      <x v="27"/>
    </i>
    <i>
      <x v="70"/>
    </i>
    <i>
      <x v="28"/>
    </i>
    <i>
      <x v="39"/>
    </i>
    <i>
      <x v="31"/>
    </i>
    <i>
      <x v="10"/>
    </i>
    <i>
      <x v="12"/>
    </i>
    <i t="grand">
      <x/>
    </i>
  </rowItems>
  <colItems count="1">
    <i/>
  </colItems>
  <pageFields count="1">
    <pageField fld="2" hier="-1"/>
  </pageFields>
  <dataFields count="1">
    <dataField name="Suma z 3pm" fld="5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C9AC4-FB01-400E-92FF-51A193B9DE56}" name="Tabela przestawna13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P3:Q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"/>
    </i>
    <i>
      <x v="27"/>
    </i>
    <i>
      <x v="10"/>
    </i>
    <i>
      <x v="70"/>
    </i>
    <i>
      <x v="60"/>
    </i>
    <i>
      <x v="32"/>
    </i>
    <i>
      <x v="31"/>
    </i>
    <i>
      <x v="57"/>
    </i>
    <i>
      <x v="23"/>
    </i>
    <i>
      <x v="4"/>
    </i>
    <i t="grand">
      <x/>
    </i>
  </rowItems>
  <colItems count="1">
    <i/>
  </colItems>
  <pageFields count="1">
    <pageField fld="2" hier="-1"/>
  </pageFields>
  <dataFields count="1">
    <dataField name="Suma z PpS" fld="32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642E4-9B42-4E2A-9856-A46EC16870C8}" name="Tabela przestawna12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M3:N17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3">
    <i>
      <x v="40"/>
    </i>
    <i>
      <x v="18"/>
    </i>
    <i>
      <x v="56"/>
    </i>
    <i>
      <x v="64"/>
    </i>
    <i>
      <x v="27"/>
    </i>
    <i>
      <x v="70"/>
    </i>
    <i>
      <x v="62"/>
    </i>
    <i>
      <x v="23"/>
    </i>
    <i>
      <x v="31"/>
    </i>
    <i>
      <x v="34"/>
    </i>
    <i>
      <x v="65"/>
    </i>
    <i>
      <x v="42"/>
    </i>
    <i t="grand">
      <x/>
    </i>
  </rowItems>
  <colItems count="1">
    <i/>
  </colItems>
  <pageFields count="1">
    <pageField fld="2" hier="-1"/>
  </pageFields>
  <dataFields count="1">
    <dataField name="Suma z 3p%" fld="20" baseField="0" baseItem="0" numFmtId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7C2D3-E09B-4226-8087-E890913EFA00}" name="Tabela przestawna11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J3:K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10"/>
    </i>
    <i>
      <x v="28"/>
    </i>
    <i>
      <x v="18"/>
    </i>
    <i>
      <x v="32"/>
    </i>
    <i>
      <x v="70"/>
    </i>
    <i>
      <x v="60"/>
    </i>
    <i>
      <x v="57"/>
    </i>
    <i>
      <x v="31"/>
    </i>
    <i>
      <x v="23"/>
    </i>
    <i>
      <x v="4"/>
    </i>
    <i t="grand">
      <x/>
    </i>
  </rowItems>
  <colItems count="1">
    <i/>
  </colItems>
  <pageFields count="1">
    <pageField fld="2" hier="-1"/>
  </pageFields>
  <dataFields count="1">
    <dataField name="Suma z TS%" fld="23" baseField="0" baseItem="0" numFmtId="9"/>
  </dataFields>
  <formats count="2">
    <format dxfId="326">
      <pivotArea outline="0" fieldPosition="0">
        <references count="1">
          <reference field="43" count="10" selected="0">
            <x v="18"/>
            <x v="23"/>
            <x v="28"/>
            <x v="31"/>
            <x v="32"/>
            <x v="39"/>
            <x v="57"/>
            <x v="60"/>
            <x v="69"/>
            <x v="70"/>
          </reference>
        </references>
      </pivotArea>
    </format>
    <format dxfId="325">
      <pivotArea dataOnly="0" grandCol="1" outline="0" axis="axisCol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0EE10-9A50-48CD-84FF-3FAA1643FBD4}" name="Tabela przestawna19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P3:Q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27"/>
    </i>
    <i>
      <x v="6"/>
    </i>
    <i>
      <x v="31"/>
    </i>
    <i>
      <x v="52"/>
    </i>
    <i>
      <x v="18"/>
    </i>
    <i>
      <x v="71"/>
    </i>
    <i>
      <x v="70"/>
    </i>
    <i>
      <x v="60"/>
    </i>
    <i>
      <x v="57"/>
    </i>
    <i>
      <x v="32"/>
    </i>
    <i t="grand">
      <x/>
    </i>
  </rowItems>
  <colItems count="1">
    <i/>
  </colItems>
  <pageFields count="1">
    <pageField fld="2" hier="-1"/>
  </pageFields>
  <dataFields count="1">
    <dataField name="Suma z EVAL/40" fld="39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B1EB5-465E-48E3-A354-61BD81298252}" name="Tabela przestawna18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M3:N23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9">
    <i>
      <x v="34"/>
    </i>
    <i>
      <x v="38"/>
    </i>
    <i>
      <x v="39"/>
    </i>
    <i>
      <x v="73"/>
    </i>
    <i>
      <x v="52"/>
    </i>
    <i>
      <x v="30"/>
    </i>
    <i>
      <x v="58"/>
    </i>
    <i>
      <x v="26"/>
    </i>
    <i>
      <x v="64"/>
    </i>
    <i>
      <x v="70"/>
    </i>
    <i>
      <x v="16"/>
    </i>
    <i>
      <x v="13"/>
    </i>
    <i>
      <x v="28"/>
    </i>
    <i>
      <x v="24"/>
    </i>
    <i>
      <x v="61"/>
    </i>
    <i>
      <x v="71"/>
    </i>
    <i>
      <x v="10"/>
    </i>
    <i>
      <x v="32"/>
    </i>
    <i t="grand">
      <x/>
    </i>
  </rowItems>
  <colItems count="1">
    <i/>
  </colItems>
  <pageFields count="1">
    <pageField fld="2" hier="-1"/>
  </pageFields>
  <dataFields count="1">
    <dataField name="Suma z foul" fld="11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DC87B-2433-4791-AA81-FF08AEF51A76}" name="Tabela przestawna17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J3:K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22"/>
    </i>
    <i>
      <x v="57"/>
    </i>
    <i>
      <x v="69"/>
    </i>
    <i>
      <x v="73"/>
    </i>
    <i>
      <x v="71"/>
    </i>
    <i>
      <x v="70"/>
    </i>
    <i>
      <x v="65"/>
    </i>
    <i>
      <x v="60"/>
    </i>
    <i>
      <x v="27"/>
    </i>
    <i>
      <x v="32"/>
    </i>
    <i t="grand">
      <x/>
    </i>
  </rowItems>
  <colItems count="1">
    <i/>
  </colItems>
  <pageFields count="1">
    <pageField fld="2" hier="-1"/>
  </pageFields>
  <dataFields count="1">
    <dataField name="Suma z DP40" fld="33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EC8A9-3BA2-45F1-81BD-595EB0815F7D}" name="Tabela przestawna15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D3:E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7"/>
    </i>
    <i>
      <x v="18"/>
    </i>
    <i>
      <x v="32"/>
    </i>
    <i>
      <x v="31"/>
    </i>
    <i>
      <x v="52"/>
    </i>
    <i>
      <x v="28"/>
    </i>
    <i>
      <x v="10"/>
    </i>
    <i>
      <x v="70"/>
    </i>
    <i>
      <x v="57"/>
    </i>
    <i>
      <x v="60"/>
    </i>
    <i t="grand">
      <x/>
    </i>
  </rowItems>
  <colItems count="1">
    <i/>
  </colItems>
  <pageFields count="1">
    <pageField fld="2" hier="-1"/>
  </pageFields>
  <dataFields count="1">
    <dataField name="Suma z GmSc" fld="37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B3C4-D64E-41EB-894E-B29FE0D56BF3}" name="Tabela przestawna16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G3:H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dataField="1"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50"/>
    </i>
    <i>
      <x v="34"/>
    </i>
    <i>
      <x v="16"/>
    </i>
    <i>
      <x v="60"/>
    </i>
    <i>
      <x v="31"/>
    </i>
    <i>
      <x v="70"/>
    </i>
    <i>
      <x v="65"/>
    </i>
    <i>
      <x v="27"/>
    </i>
    <i>
      <x v="71"/>
    </i>
    <i>
      <x v="32"/>
    </i>
    <i t="grand">
      <x/>
    </i>
  </rowItems>
  <colItems count="1">
    <i/>
  </colItems>
  <pageFields count="1">
    <pageField fld="2" hier="-1"/>
  </pageFields>
  <dataFields count="1">
    <dataField name="Suma z DEpM" fld="36" baseField="0" baseItem="0" numFmtId="166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855EC-E08B-4EAE-94A0-48D4852F0920}" name="Tabela przestawna14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A3:B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6">
        <item h="1" m="1" x="4"/>
        <item h="1" x="3"/>
        <item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dataField="1"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80">
        <item x="30"/>
        <item x="34"/>
        <item x="11"/>
        <item m="1" x="71"/>
        <item x="50"/>
        <item x="17"/>
        <item x="1"/>
        <item x="49"/>
        <item m="1" x="73"/>
        <item m="1" x="77"/>
        <item x="29"/>
        <item x="54"/>
        <item x="12"/>
        <item x="39"/>
        <item x="33"/>
        <item x="32"/>
        <item x="56"/>
        <item x="23"/>
        <item x="0"/>
        <item x="45"/>
        <item m="1" x="76"/>
        <item m="1" x="72"/>
        <item x="43"/>
        <item x="16"/>
        <item x="3"/>
        <item x="47"/>
        <item x="19"/>
        <item x="26"/>
        <item x="10"/>
        <item x="44"/>
        <item x="2"/>
        <item x="46"/>
        <item x="37"/>
        <item m="1" x="70"/>
        <item x="20"/>
        <item x="14"/>
        <item x="52"/>
        <item x="5"/>
        <item x="41"/>
        <item x="25"/>
        <item x="27"/>
        <item x="31"/>
        <item x="28"/>
        <item x="42"/>
        <item m="1" x="75"/>
        <item x="53"/>
        <item x="38"/>
        <item m="1" x="78"/>
        <item x="35"/>
        <item x="48"/>
        <item x="21"/>
        <item m="1" x="68"/>
        <item x="13"/>
        <item x="15"/>
        <item x="7"/>
        <item m="1" x="74"/>
        <item x="18"/>
        <item x="22"/>
        <item x="55"/>
        <item x="4"/>
        <item x="9"/>
        <item x="8"/>
        <item x="24"/>
        <item m="1" x="69"/>
        <item x="40"/>
        <item x="51"/>
        <item x="57"/>
        <item x="58"/>
        <item x="59"/>
        <item x="60"/>
        <item x="36"/>
        <item x="61"/>
        <item x="62"/>
        <item x="63"/>
        <item x="64"/>
        <item x="65"/>
        <item x="66"/>
        <item x="6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18"/>
    </i>
    <i>
      <x v="28"/>
    </i>
    <i>
      <x v="13"/>
    </i>
    <i>
      <x v="67"/>
    </i>
    <i>
      <x v="70"/>
    </i>
    <i>
      <x v="60"/>
    </i>
    <i>
      <x v="57"/>
    </i>
    <i>
      <x v="35"/>
    </i>
    <i>
      <x v="10"/>
    </i>
    <i>
      <x v="12"/>
    </i>
    <i t="grand">
      <x/>
    </i>
  </rowItems>
  <colItems count="1">
    <i/>
  </colItems>
  <pageFields count="1">
    <pageField fld="2" hier="-1"/>
  </pageFields>
  <dataFields count="1">
    <dataField name="Suma z USG%" fld="28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28B1B-1B2A-49F8-AE4F-1A21A104A106}" name="Tabela przestawna28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AB3:AC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5"/>
    </i>
    <i>
      <x v="2"/>
    </i>
    <i>
      <x v="3"/>
    </i>
    <i>
      <x v="1"/>
    </i>
    <i t="grand">
      <x/>
    </i>
  </rowItems>
  <colItems count="1">
    <i/>
  </colItems>
  <dataFields count="1">
    <dataField name="Suma z TS%" fld="24" baseField="0" baseItem="0" numFmtId="9"/>
  </dataFields>
  <formats count="1">
    <format dxfId="310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DFA8A-3F62-43F5-9300-624DB8426645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E3:AF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4"/>
    </i>
    <i>
      <x/>
    </i>
    <i>
      <x v="5"/>
    </i>
    <i>
      <x v="3"/>
    </i>
    <i>
      <x v="1"/>
    </i>
    <i t="grand">
      <x/>
    </i>
  </rowItems>
  <colItems count="1">
    <i/>
  </colItems>
  <dataFields count="1">
    <dataField name="Suma z Orating" fld="31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1F94F-9FA6-455C-B590-2A0AE88F5121}" name="Tabela przestawna23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I3:L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7" baseField="0" baseItem="0"/>
    <dataField name="Oddane" fld="8" baseField="0" baseItem="0"/>
    <dataField name="Skuteczność %" fld="22" baseField="0" baseItem="0" numFmtId="9"/>
  </dataFields>
  <formats count="2">
    <format dxfId="312">
      <pivotArea outline="0" fieldPosition="0">
        <references count="2">
          <reference field="4294967294" count="2" selected="0">
            <x v="0"/>
            <x v="1"/>
          </reference>
          <reference field="0" count="0" selected="0"/>
        </references>
      </pivotArea>
    </format>
    <format dxfId="311">
      <pivotArea outline="0" fieldPosition="0">
        <references count="2">
          <reference field="4294967294" count="1" selected="0">
            <x v="2"/>
          </reference>
          <reference field="0" count="0" selected="0"/>
        </references>
      </pivotArea>
    </format>
  </formats>
  <chartFormats count="1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3515D-9614-466E-B3A2-4CEB3CF93C2D}" name="Tabela przestawna5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K3:AL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Suma z Pace" fld="30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7CD11-4685-4F61-A277-84B0C83686AA}" name="Tabela przestawna27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Y3:Z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4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Suma z asst" fld="17" baseField="0" baseItem="0"/>
  </dataFields>
  <formats count="1">
    <format dxfId="313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D962B-73B2-4057-BA76-151A3B9C6B69}" name="Tabela przestawna25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>
  <location ref="S3:T11" firstHeaderRow="2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TS%" fld="24" baseField="0" baseItem="0" numFmtId="9"/>
  </dataFields>
  <formats count="1">
    <format dxfId="314">
      <pivotArea outline="0" fieldPosition="0">
        <references count="1">
          <reference field="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CB95-FF28-4ECB-BC85-7F32DE30B800}" name="Tabela przestawna2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N3:Q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9" baseField="0" baseItem="0"/>
    <dataField name="Oddane" fld="10" baseField="0" baseItem="0"/>
    <dataField name="Skuteczność %" fld="23" baseField="0" baseItem="0" numFmtId="9"/>
  </dataFields>
  <formats count="2">
    <format dxfId="316">
      <pivotArea outline="0" fieldPosition="0">
        <references count="2">
          <reference field="4294967294" count="2" selected="0">
            <x v="0"/>
            <x v="1"/>
          </reference>
          <reference field="0" count="0" selected="0"/>
        </references>
      </pivotArea>
    </format>
    <format dxfId="315">
      <pivotArea outline="0" fieldPosition="0">
        <references count="2">
          <reference field="4294967294" count="1" selected="0">
            <x v="2"/>
          </reference>
          <reference field="0" count="0" selected="0"/>
        </references>
      </pivotArea>
    </format>
  </formats>
  <chartFormats count="1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52405-C0C2-4A9C-81AF-24D614F6EECC}" name="Tabela przestawna6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N3:AO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2"/>
    </i>
    <i>
      <x v="5"/>
    </i>
    <i>
      <x v="3"/>
    </i>
    <i>
      <x v="1"/>
    </i>
    <i t="grand">
      <x/>
    </i>
  </rowItems>
  <colItems count="1">
    <i/>
  </colItems>
  <dataFields count="1">
    <dataField name="Suma z eFG%" fld="25" baseField="0" baseItem="0" numFmtId="9"/>
  </dataFields>
  <formats count="1">
    <format dxfId="317">
      <pivotArea outline="0" fieldPosition="0">
        <references count="1">
          <reference field="0" count="0" selected="0"/>
        </references>
      </pivotArea>
    </format>
  </format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883BE-F6D1-4B02-9CC6-EB48E6433C1C}" name="Tabela przestawna2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D3:G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5" baseField="0" baseItem="0"/>
    <dataField name="Oddane" fld="6" baseField="0" baseItem="0"/>
    <dataField name="Skuteczność %" fld="21" baseField="0" baseItem="0" numFmtId="9"/>
  </dataFields>
  <formats count="2">
    <format dxfId="319">
      <pivotArea outline="0" fieldPosition="0">
        <references count="2">
          <reference field="4294967294" count="2" selected="0">
            <x v="0"/>
            <x v="1"/>
          </reference>
          <reference field="0" count="0" selected="0"/>
        </references>
      </pivotArea>
    </format>
    <format dxfId="318">
      <pivotArea outline="0" fieldPosition="0">
        <references count="2">
          <reference field="4294967294" count="1" selected="0">
            <x v="2"/>
          </reference>
          <reference field="0" count="0" selected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175E3-3BA2-4B7D-A2C2-BBF74FD37B79}" name="Tabela przestawna3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H3:AI11" firstHeaderRow="2" firstDataRow="2" firstDataCol="1"/>
  <pivotFields count="63">
    <pivotField axis="axisRow" compact="0" outline="0" showAll="0" sortType="de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5"/>
    </i>
    <i>
      <x v="4"/>
    </i>
    <i>
      <x v="3"/>
    </i>
    <i t="grand">
      <x/>
    </i>
  </rowItems>
  <colItems count="1">
    <i/>
  </colItems>
  <dataFields count="1">
    <dataField name="Suma z Drating" fld="32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D6530-61E7-4E14-B7B7-795360E62234}" name="Tabela przestawna20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3:B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Suma z pts" fld="19" baseField="0" baseItem="0"/>
  </dataFields>
  <formats count="1">
    <format dxfId="320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060B1-7EC6-4BA0-86E3-9723EA6DAF15}" name="Tabela przestawna26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V3:W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2"/>
    </i>
    <i>
      <x v="4"/>
    </i>
    <i>
      <x v="5"/>
    </i>
    <i>
      <x v="3"/>
    </i>
    <i>
      <x v="1"/>
    </i>
    <i t="grand">
      <x/>
    </i>
  </rowItems>
  <colItems count="1">
    <i/>
  </colItems>
  <dataFields count="1">
    <dataField name="Suma z eval (bez strat)" fld="26" baseField="0" baseItem="0"/>
  </dataFields>
  <formats count="1">
    <format dxfId="321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79B70-8AE1-4F94-9D75-7B9EA7F35D5F}" name="Tabela przestawna9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Z3:AA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3"/>
    </i>
    <i>
      <x v="1"/>
    </i>
    <i>
      <x/>
    </i>
    <i>
      <x v="2"/>
    </i>
    <i>
      <x v="4"/>
    </i>
    <i>
      <x v="5"/>
    </i>
    <i t="grand">
      <x/>
    </i>
  </rowItems>
  <colItems count="1">
    <i/>
  </colItems>
  <dataFields count="1">
    <dataField name="Suma z foul" fld="13" baseField="0" baseItem="0"/>
  </dataFields>
  <formats count="1">
    <format dxfId="303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FD88F-C2AC-407D-93C7-834CCBD7F99D}" name="Tabela przestawna8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W3:X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5"/>
    </i>
    <i>
      <x v="1"/>
    </i>
    <i>
      <x v="2"/>
    </i>
    <i>
      <x v="3"/>
    </i>
    <i t="grand">
      <x/>
    </i>
  </rowItems>
  <colItems count="1">
    <i/>
  </colItems>
  <dataFields count="1">
    <dataField name="Suma z Poss" fld="29" baseField="0" baseItem="0" numFmtId="164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22150-361C-4FC9-90C8-8EF6D8AE1CBA}" name="Tabela przestawna7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T3:U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dataField="1"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3"/>
    </i>
    <i>
      <x v="4"/>
    </i>
    <i>
      <x v="2"/>
    </i>
    <i>
      <x v="1"/>
    </i>
    <i>
      <x/>
    </i>
    <i t="grand">
      <x/>
    </i>
  </rowItems>
  <colItems count="1">
    <i/>
  </colItems>
  <dataFields count="1">
    <dataField name="Suma z AST%" fld="35" baseField="0" baseItem="0" numFmtId="9"/>
  </dataFields>
  <formats count="1">
    <format dxfId="304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4C2E2-15DC-42B2-A84C-9922FEFC295A}" name="Tabela przestawna6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Q3:R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dataField="1"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2"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Suma z TRB%" fld="40" baseField="0" baseItem="0" numFmtId="9"/>
  </dataFields>
  <formats count="1">
    <format dxfId="305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5F84D-79AD-4C38-8EC1-C8237705AF77}" name="Tabela przestawna5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L3:O11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numFmtId="9" outline="0" showAll="0"/>
    <pivotField dataField="1"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zuty za 3" fld="28" baseField="0" baseItem="0" numFmtId="9"/>
    <dataField name="Rzuty za 2" fld="45" baseField="0" baseItem="0" numFmtId="9"/>
    <dataField name="Rzuty Osobiste" fld="27" baseField="0" baseItem="0" numFmtId="9"/>
  </dataFields>
  <formats count="1">
    <format dxfId="306">
      <pivotArea outline="0" fieldPosition="0">
        <references count="1">
          <reference field="0" count="0" selected="0"/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B672E-C1DE-44D4-9F31-81AAE7CA1E18}" name="Tabela przestawna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8">
  <location ref="G3:J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fensywne" fld="11" baseField="0" baseItem="0"/>
    <dataField name="Defensywne" fld="12" baseField="0" baseItem="0"/>
    <dataField name="Suma z reb total" fld="20" baseField="0" baseItem="0"/>
  </dataFields>
  <formats count="1">
    <format dxfId="307">
      <pivotArea outline="0" fieldPosition="0">
        <references count="1">
          <reference field="0" count="0" selected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F9AB8-691A-4FAB-92AF-0D637802944F}" name="Tabela przestawna3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D3:E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1"/>
    </i>
    <i>
      <x v="3"/>
    </i>
    <i>
      <x v="5"/>
    </i>
    <i>
      <x v="4"/>
    </i>
    <i>
      <x/>
    </i>
    <i t="grand">
      <x/>
    </i>
  </rowItems>
  <colItems count="1">
    <i/>
  </colItems>
  <dataFields count="1">
    <dataField name="Suma z blk" fld="16" baseField="0" baseItem="0"/>
  </dataFields>
  <formats count="1">
    <format dxfId="308">
      <pivotArea outline="0" fieldPosition="0">
        <references count="1">
          <reference field="0" count="0" selected="0"/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F0309-356B-4033-999D-E261420A2D5A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A3:B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2"/>
    </i>
    <i>
      <x v="1"/>
    </i>
    <i>
      <x v="5"/>
    </i>
    <i>
      <x v="3"/>
    </i>
    <i t="grand">
      <x/>
    </i>
  </rowItems>
  <colItems count="1">
    <i/>
  </colItems>
  <dataFields count="1">
    <dataField name="Suma z stl" fld="14" baseField="0" baseItem="0"/>
  </dataFields>
  <formats count="1">
    <format dxfId="309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B4CAE-B12F-4BF4-9307-F446A00EC19E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I3:K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8" baseField="0" baseItem="0"/>
    <dataField name="Tracone" fld="52" baseField="0" baseItem="0"/>
  </dataFields>
  <formats count="1">
    <format dxfId="297">
      <pivotArea outline="0" fieldPosition="0">
        <references count="1">
          <reference field="0" count="0" selected="0"/>
        </references>
      </pivotArea>
    </format>
  </formats>
  <chartFormats count="1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21FA3-8913-4350-A5C3-415D709EFB11}" name="Tabela przestawna10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3:C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6" baseField="0" baseItem="0"/>
    <dataField name="Tracone" fld="50" baseField="0" baseItem="0"/>
  </dataFields>
  <formats count="1">
    <format dxfId="298">
      <pivotArea outline="0" fieldPosition="0">
        <references count="1">
          <reference field="0" count="0" selected="0"/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00B54-CFE3-4BF0-95FC-EA87AFC87607}" name="Tabela przestawna1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E3:G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7" baseField="0" baseItem="0"/>
    <dataField name="Tracone" fld="51" baseField="0" baseItem="0"/>
  </dataFields>
  <formats count="1">
    <format dxfId="299">
      <pivotArea outline="0" fieldPosition="0">
        <references count="1">
          <reference field="0" count="0" selected="0"/>
        </references>
      </pivotArea>
    </format>
  </formats>
  <chartFormats count="14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083A1-D759-4B9F-8921-CD812081DA49}" name="Tabela przestawna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W3:AA11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z %O1" fld="59" baseField="0" baseItem="0" numFmtId="9"/>
    <dataField name="Suma z %O2" fld="60" baseField="0" baseItem="0" numFmtId="9"/>
    <dataField name="Suma z %O3" fld="61" baseField="0" baseItem="0" numFmtId="9"/>
    <dataField name="Suma z %O4" fld="62" baseField="0" baseItem="0" numFmtId="9"/>
  </dataFields>
  <formats count="1">
    <format dxfId="300">
      <pivotArea outline="0" fieldPosition="0">
        <references count="1">
          <reference field="0" count="0" selected="0"/>
        </references>
      </pivotArea>
    </format>
  </formats>
  <chartFormats count="28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B8A86-E6CD-4D59-8191-5AFDD29417B6}" name="Tabela przestawna3" cacheId="5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compact="0" compactData="0" gridDropZones="1" multipleFieldFilters="0" chartFormat="3">
  <location ref="Q3:U10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Kwarta 1" fld="55" baseField="0" baseItem="0" numFmtId="9"/>
    <dataField name="Kwarta 2" fld="56" baseField="0" baseItem="0" numFmtId="9"/>
    <dataField name="Kwarta 3" fld="57" baseField="0" baseItem="0" numFmtId="9"/>
    <dataField name="Kwarta 4" fld="58" baseField="0" baseItem="0" numFmtId="9"/>
  </dataFields>
  <formats count="1">
    <format dxfId="301">
      <pivotArea outline="0" collapsedLevelsAreSubtotals="1" fieldPosition="0"/>
    </format>
  </formats>
  <chartFormats count="28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E06BB-A417-46C0-9373-EBF1FA33E71A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M3:O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9" baseField="0" baseItem="0"/>
    <dataField name="Tracone" fld="53" baseField="0" baseItem="0"/>
  </dataFields>
  <formats count="1">
    <format dxfId="302">
      <pivotArea outline="0" fieldPosition="0">
        <references count="1">
          <reference field="0" count="0" selected="0"/>
        </references>
      </pivotArea>
    </format>
  </formats>
  <chartFormats count="1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" xr10:uid="{31B3F370-76C5-415D-A0FF-1212D433877B}" sourceName="zespół">
  <pivotTables>
    <pivotTable tabId="8" name="Tabela przestawna1"/>
    <pivotTable tabId="8" name="Tabela przestawna2"/>
    <pivotTable tabId="8" name="Tabela przestawna3"/>
    <pivotTable tabId="8" name="Tabela przestawna4"/>
    <pivotTable tabId="8" name="Tabela przestawna5"/>
    <pivotTable tabId="8" name="Tabela przestawna6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1" xr10:uid="{C0C614AD-D7A8-4D06-9BE0-1F0C5C9A0A46}" sourceName="zespół">
  <pivotTables>
    <pivotTable tabId="10" name="Tabela przestawna7"/>
    <pivotTable tabId="10" name="Tabela przestawna10"/>
    <pivotTable tabId="10" name="Tabela przestawna11"/>
    <pivotTable tabId="10" name="Tabela przestawna12"/>
    <pivotTable tabId="10" name="Tabela przestawna13"/>
    <pivotTable tabId="10" name="Tabela przestawna9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2" xr10:uid="{E5B2B177-1512-4745-BA45-1EEAB8C93F94}" sourceName="zespół">
  <pivotTables>
    <pivotTable tabId="12" name="Tabela przestawna14"/>
    <pivotTable tabId="12" name="Tabela przestawna15"/>
    <pivotTable tabId="12" name="Tabela przestawna16"/>
    <pivotTable tabId="12" name="Tabela przestawna17"/>
    <pivotTable tabId="12" name="Tabela przestawna18"/>
    <pivotTable tabId="12" name="Tabela przestawna19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" xr10:uid="{1375FAC3-32E5-415A-9DE5-488D6B9EE62C}" cache="Fragmentator_zespół" caption="zespół" columnCount="6" style="SlicerStyleDark5" rowHeight="468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 1" xr10:uid="{8FB82F8B-1A01-4325-956D-5EBC42B3BEFF}" cache="Fragmentator_zespół1" caption="zespół" columnCount="6" style="SlicerStyleDark2" rowHeight="540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 2" xr10:uid="{B3B5EB40-63BA-47F8-ABF9-9EBC578EBD92}" cache="Fragmentator_zespół2" caption="zespół" columnCount="6" style="SlicerStyleDark6" rowHeight="50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D9478-C015-48A2-AEC4-BEDB1343D18D}" name="tbl_główna_GRACZE" displayName="tbl_główna_GRACZE" ref="A5:AW194" totalsRowShown="0" headerRowDxfId="451" headerRowCellStyle="Procentowy">
  <autoFilter ref="A5:AW194" xr:uid="{1CDD9478-C015-48A2-AEC4-BEDB1343D18D}"/>
  <tableColumns count="49">
    <tableColumn id="1" xr3:uid="{7C536AE9-8591-44F1-8337-CC7C747714D2}" name="zespół"/>
    <tableColumn id="2" xr3:uid="{8E854209-E6E0-4029-B520-0DB9750CCDB0}" name="przeciwnik"/>
    <tableColumn id="3" xr3:uid="{A97A6C3D-79CF-4111-809A-E4D8D6AC57F2}" name="H/A"/>
    <tableColumn id="4" xr3:uid="{3342365B-62F1-4B19-A651-0E8C5181B12F}" name="#mecz">
      <calculatedColumnFormula>IF(C6="H",VLOOKUP($A6,tab_nazwy_zespołów[],2,0)&amp;VLOOKUP($B6,tab_nazwy_zespołów[],2,0),VLOOKUP($B6,tab_nazwy_zespołów[],2,0)&amp;VLOOKUP($A6,tab_nazwy_zespołów[],2,0))</calculatedColumnFormula>
    </tableColumn>
    <tableColumn id="5" xr3:uid="{4E890F9D-0E9C-4C4D-9CE2-7C081A4ACFD9}" name="GW"/>
    <tableColumn id="45" xr3:uid="{1F569A99-4FB4-461C-A590-8494FAF9158B}" name="Czy jest" dataDxfId="450">
      <calculatedColumnFormula>COUNTIF(tbl_zawodnicy_sumy[I. Nazwisko],tbl_główna_GRACZE[[#This Row],[I. Nazwisko]])</calculatedColumnFormula>
    </tableColumn>
    <tableColumn id="42" xr3:uid="{141E72B2-B004-462D-9FA7-B61F9CD70BA1}" name="I. Nazwisko" dataDxfId="449">
      <calculatedColumnFormula>RIGHT(tbl_główna_GRACZE[[#This Row],[Kolumna1]],LEN(tbl_główna_GRACZE[[#This Row],[Kolumna1]])-FIND(" ",tbl_główna_GRACZE[[#This Row],[Kolumna1]]))</calculatedColumnFormula>
    </tableColumn>
    <tableColumn id="6" xr3:uid="{51C40D26-B763-4C6A-84C9-AD735CFD4EFD}" name="Kolumna1" dataDxfId="448"/>
    <tableColumn id="7" xr3:uid="{8400263F-3E76-4D2A-8F03-0C9F51B0A2DD}" name="fgm" dataDxfId="447"/>
    <tableColumn id="8" xr3:uid="{2386E545-6809-4B59-9E5D-9BCCF4EF78DE}" name="fga" dataDxfId="446"/>
    <tableColumn id="9" xr3:uid="{4D7DDAA8-7FFA-488E-854F-D7BE7B535966}" name="3pm" dataDxfId="445"/>
    <tableColumn id="10" xr3:uid="{D47F3C48-EF25-4CFF-A234-C4F50E070475}" name="3pa" dataDxfId="444"/>
    <tableColumn id="11" xr3:uid="{150B749E-1419-42F9-BCEE-F92F1EF48C1C}" name="ftm" dataDxfId="443"/>
    <tableColumn id="12" xr3:uid="{6495B844-C3E0-4C25-BD33-33DA3D1AB747}" name="fta" dataDxfId="442"/>
    <tableColumn id="13" xr3:uid="{F6E7399E-74F8-4D7C-978A-727639DA615F}" name="oreb" dataDxfId="441"/>
    <tableColumn id="14" xr3:uid="{AA8B89E6-4FB9-4FBC-AFBA-24E713B54BE3}" name="dreb" dataDxfId="440"/>
    <tableColumn id="15" xr3:uid="{C69BCC49-D7DC-40D2-871D-1E9252BF0640}" name="foul" dataDxfId="439"/>
    <tableColumn id="16" xr3:uid="{5A1D0393-08B3-4B75-ACFC-52FAE15E639A}" name="stl" dataDxfId="438"/>
    <tableColumn id="17" xr3:uid="{335612F9-804B-4E53-B592-3C87DEEAB51E}" name="to" dataDxfId="437"/>
    <tableColumn id="18" xr3:uid="{E88B4327-8107-47D0-A71D-FFDAADE41046}" name="blk" dataDxfId="436"/>
    <tableColumn id="19" xr3:uid="{996C2D6D-43BF-4949-BD3D-0AB509D9ABA3}" name="asst" dataDxfId="435"/>
    <tableColumn id="20" xr3:uid="{F28EF8D0-F362-4402-B0D0-FF717C827C16}" name="min" dataDxfId="434"/>
    <tableColumn id="21" xr3:uid="{039D48C4-87FA-425C-AA7B-B9679D3EADD8}" name="pts" dataDxfId="433"/>
    <tableColumn id="22" xr3:uid="{C5951E72-EDEE-40C7-9E21-A54CBB3F4242}" name="reb total" dataDxfId="432">
      <calculatedColumnFormula>O6+P6</calculatedColumnFormula>
    </tableColumn>
    <tableColumn id="23" xr3:uid="{FEAE442A-1D34-4637-BDEF-46526A1D95AA}" name="fg%" dataDxfId="431" dataCellStyle="Procentowy">
      <calculatedColumnFormula>I6/J6</calculatedColumnFormula>
    </tableColumn>
    <tableColumn id="24" xr3:uid="{098576F7-4E68-4E57-9B91-ECF8AB51B9DD}" name="3p%" dataDxfId="430" dataCellStyle="Procentowy">
      <calculatedColumnFormula>IFERROR(K6/L6,0)</calculatedColumnFormula>
    </tableColumn>
    <tableColumn id="25" xr3:uid="{3B57B792-8FA4-4C9D-BF43-8790BCA0CE34}" name="ft%" dataDxfId="429" dataCellStyle="Procentowy">
      <calculatedColumnFormula>IFERROR(M6/N6,0)</calculatedColumnFormula>
    </tableColumn>
    <tableColumn id="46" xr3:uid="{92C6A900-37C6-4CEB-8399-987D0E4648A9}" name="2p%" dataDxfId="428" dataCellStyle="Procentowy">
      <calculatedColumnFormula>IFERROR(tbl_główna_GRACZE[[#This Row],[2pm]]/tbl_główna_GRACZE[[#This Row],[2pa]],0)</calculatedColumnFormula>
    </tableColumn>
    <tableColumn id="26" xr3:uid="{498E76F9-0919-4448-88E2-78C3680C0887}" name="TS%" dataDxfId="427" dataCellStyle="Procentowy">
      <calculatedColumnFormula>W6/(2*(J6+0.44*N6))</calculatedColumnFormula>
    </tableColumn>
    <tableColumn id="27" xr3:uid="{AF4189AB-8D40-4989-AB8D-B464E253E5D6}" name="eFG%" dataDxfId="426" dataCellStyle="Procentowy">
      <calculatedColumnFormula>(I6+0.5*K6)/J6</calculatedColumnFormula>
    </tableColumn>
    <tableColumn id="28" xr3:uid="{9BD25964-874A-487F-8AF9-7397810F9DF7}" name="EVAL" dataDxfId="425">
      <calculatedColumnFormula>R6+T6+U6+W6+X6-(J6-I6)-(N6-M6)</calculatedColumnFormula>
    </tableColumn>
    <tableColumn id="29" xr3:uid="{49DE86F4-6A05-473B-9BCB-865C43679C53}" name="FTr" dataDxfId="424" dataCellStyle="Procentowy">
      <calculatedColumnFormula>N6/J6</calculatedColumnFormula>
    </tableColumn>
    <tableColumn id="30" xr3:uid="{66469A85-03C1-4827-90A0-5058E59B3754}" name="3PAr " dataDxfId="423" dataCellStyle="Procentowy">
      <calculatedColumnFormula>L6/J6</calculatedColumnFormula>
    </tableColumn>
    <tableColumn id="31" xr3:uid="{C489D791-AA9E-42AE-8231-728DFA647A21}" name="USG%" dataDxfId="422" dataCellStyle="Procentowy">
      <calculatedColumnFormula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calculatedColumnFormula>
    </tableColumn>
    <tableColumn id="40" xr3:uid="{1721C9D8-2A2D-45A0-9835-242F03DBAD57}" name="Pts/40" dataDxfId="421" dataCellStyle="Procentowy">
      <calculatedColumnFormula>tbl_główna_GRACZE[[#This Row],[pts]]*(40/tbl_główna_GRACZE[[#This Row],[min]])</calculatedColumnFormula>
    </tableColumn>
    <tableColumn id="39" xr3:uid="{21B97B27-ED36-42B9-8EA1-7E9399D13D14}" name="Reb/40" dataDxfId="420" dataCellStyle="Procentowy">
      <calculatedColumnFormula>tbl_główna_GRACZE[[#This Row],[reb total]]*(40/tbl_główna_GRACZE[[#This Row],[min]])</calculatedColumnFormula>
    </tableColumn>
    <tableColumn id="38" xr3:uid="{50981498-53F2-43AA-BC70-9536FAF9466B}" name="A/40" dataDxfId="419" dataCellStyle="Procentowy">
      <calculatedColumnFormula>tbl_główna_GRACZE[[#This Row],[asst]]*(40/tbl_główna_GRACZE[[#This Row],[min]])</calculatedColumnFormula>
    </tableColumn>
    <tableColumn id="32" xr3:uid="{1E0FE42A-AADD-4FDD-8D1B-A506C5327399}" name="PpS" dataDxfId="418">
      <calculatedColumnFormula>W6/J6</calculatedColumnFormula>
    </tableColumn>
    <tableColumn id="36" xr3:uid="{FFDC5FA1-017E-4186-9762-0B38E96CCAC9}" name="DP40" dataDxfId="417">
      <calculatedColumnFormula>(tbl_główna_GRACZE[[#This Row],[stl]]+tbl_główna_GRACZE[[#This Row],[blk]])*(40/tbl_główna_GRACZE[[#This Row],[min]])</calculatedColumnFormula>
    </tableColumn>
    <tableColumn id="33" xr3:uid="{405EA0F2-175B-4BC8-BD9C-5212A8EA2585}" name="DI" dataDxfId="416">
      <calculatedColumnFormula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calculatedColumnFormula>
    </tableColumn>
    <tableColumn id="35" xr3:uid="{A3B2AE48-DB2C-4D8C-82A5-89823C709544}" name="DA" dataDxfId="415" dataCellStyle="Procentowy">
      <calculatedColumnFormula>tbl_główna_GRACZE[[#This Row],[stl]]+tbl_główna_GRACZE[[#This Row],[blk]]+(tbl_główna_GRACZE[[#This Row],[dreb]]*0.5)</calculatedColumnFormula>
    </tableColumn>
    <tableColumn id="37" xr3:uid="{3B92B03F-B2D9-4DD2-A5FC-8FC6DA12709D}" name="DEpM" dataDxfId="414" dataCellStyle="Procentowy">
      <calculatedColumnFormula>(tbl_główna_GRACZE[[#This Row],[stl]]+tbl_główna_GRACZE[[#This Row],[blk]]+0.5*tbl_główna_GRACZE[[#This Row],[dreb]])/tbl_główna_GRACZE[[#This Row],[min]]</calculatedColumnFormula>
    </tableColumn>
    <tableColumn id="34" xr3:uid="{8739ACA5-E849-4673-8C1C-CA7F8C42C629}" name="GmSc" dataDxfId="413">
      <calculatedColumnFormula>W6+0.4*I6-0.7*J6-0.4*(N6-M6)+0.7*O6+0.3*P6+R6+0.7*U6+0.7*T6</calculatedColumnFormula>
    </tableColumn>
    <tableColumn id="43" xr3:uid="{065478A6-B0FC-4154-AE2D-B6ABC3FEE5BF}" name="GmSc/40" dataDxfId="412">
      <calculatedColumnFormula>tbl_główna_GRACZE[[#This Row],[GmSc]]*(40/tbl_główna_GRACZE[[#This Row],[min]])</calculatedColumnFormula>
    </tableColumn>
    <tableColumn id="44" xr3:uid="{02449A63-D96C-4C09-8AAE-DE4A098A05D0}" name="EVAL/40" dataDxfId="411">
      <calculatedColumnFormula>tbl_główna_GRACZE[[#This Row],[EVAL]]*(40/tbl_główna_GRACZE[[#This Row],[min]])</calculatedColumnFormula>
    </tableColumn>
    <tableColumn id="48" xr3:uid="{0EF604F8-C18D-4FBE-A36A-BB0A81DC499E}" name="2pm" dataDxfId="410">
      <calculatedColumnFormula>tbl_główna_GRACZE[[#This Row],[fgm]]-tbl_główna_GRACZE[[#This Row],[3pm]]</calculatedColumnFormula>
    </tableColumn>
    <tableColumn id="47" xr3:uid="{3374374F-009F-4443-B14E-4473645BA032}" name="2pa" dataDxfId="409">
      <calculatedColumnFormula>tbl_główna_GRACZE[[#This Row],[fga]]-tbl_główna_GRACZE[[#This Row],[3pa]]</calculatedColumnFormula>
    </tableColumn>
    <tableColumn id="41" xr3:uid="{EB696334-FF02-4CA4-902E-2CAB8B96D3C9}" name="Played?" dataDxfId="408">
      <calculatedColumnFormula>IF(tbl_główna_GRACZE[[#This Row],[min]]&gt;0,1,0)</calculatedColumnFormula>
    </tableColumn>
    <tableColumn id="49" xr3:uid="{8590E2BF-FEE6-4325-B52A-DA2E769CA7C3}" name="szukaj" dataDxfId="407">
      <calculatedColumnFormula>tbl_główna_GRACZE[[#This Row],[I. Nazwisko]]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078A1-5942-4DBC-BE05-0176F0644B10}" name="tbl_ZESPOŁY_dane" displayName="tbl_ZESPOŁY_dane" ref="A4:BD28">
  <autoFilter ref="A4:BD28" xr:uid="{F62078A1-5942-4DBC-BE05-0176F0644B10}"/>
  <tableColumns count="56">
    <tableColumn id="1" xr3:uid="{645AF4D9-511D-4A59-BE04-2B83AA5C69B1}" name="zespół" totalsRowLabel="Suma" dataDxfId="406"/>
    <tableColumn id="2" xr3:uid="{794A1120-4E87-4986-BE5D-35BDE959D4A3}" name="przeciwnik"/>
    <tableColumn id="3" xr3:uid="{F8B059EA-0BE8-485D-9BBE-100470A16A67}" name="H/A"/>
    <tableColumn id="4" xr3:uid="{6B5D1E86-57A7-4363-B593-507FC87428E7}" name="#mecz" dataDxfId="405" totalsRowDxfId="404">
      <calculatedColumnFormula>IF(C5="H",VLOOKUP($A5,tab_nazwy_zespołów[],2,0)&amp;VLOOKUP($B5,tab_nazwy_zespołów[],2,0),VLOOKUP($B5,tab_nazwy_zespołów[],2,0)&amp;VLOOKUP($A5,tab_nazwy_zespołów[],2,0))</calculatedColumnFormula>
    </tableColumn>
    <tableColumn id="5" xr3:uid="{3A459C3E-FFD4-4088-852E-55915905D6CD}" name="GW"/>
    <tableColumn id="7" xr3:uid="{22169873-EB03-4A9A-92A4-3D258B19EE4D}" name="fgm" totalsRowFunction="average" dataDxfId="403" totalsRowDxfId="402">
      <calculatedColumnFormula>SUMIFS(tbl_główna_GRACZE[fgm],tbl_główna_GRACZE[zespół],tbl_ZESPOŁY_dane[[#This Row],[zespół]],tbl_główna_GRACZE['#mecz],tbl_ZESPOŁY_dane[[#This Row],['#mecz]])</calculatedColumnFormula>
    </tableColumn>
    <tableColumn id="8" xr3:uid="{102907C3-2A33-48FA-9BE4-C4AC3EC32888}" name="fga" totalsRowFunction="average" dataDxfId="401" totalsRowDxfId="400">
      <calculatedColumnFormula>SUMIFS(tbl_główna_GRACZE[fga],tbl_główna_GRACZE[zespół],tbl_ZESPOŁY_dane[[#This Row],[zespół]],tbl_główna_GRACZE['#mecz],tbl_ZESPOŁY_dane[[#This Row],['#mecz]])</calculatedColumnFormula>
    </tableColumn>
    <tableColumn id="9" xr3:uid="{A4E3DAAA-737D-4B04-AC53-18FB2A36D3BA}" name="3pm" totalsRowFunction="average" dataDxfId="399" totalsRowDxfId="398">
      <calculatedColumnFormula>SUMIFS(tbl_główna_GRACZE[3pm],tbl_główna_GRACZE[zespół],tbl_ZESPOŁY_dane[[#This Row],[zespół]],tbl_główna_GRACZE['#mecz],tbl_ZESPOŁY_dane[[#This Row],['#mecz]])</calculatedColumnFormula>
    </tableColumn>
    <tableColumn id="10" xr3:uid="{7BE3290C-C8FC-481E-92C9-952AEEEDA397}" name="3pa" totalsRowFunction="average" dataDxfId="397" totalsRowDxfId="396">
      <calculatedColumnFormula>SUMIFS(tbl_główna_GRACZE[3pa],tbl_główna_GRACZE[zespół],tbl_ZESPOŁY_dane[[#This Row],[zespół]],tbl_główna_GRACZE['#mecz],tbl_ZESPOŁY_dane[[#This Row],['#mecz]])</calculatedColumnFormula>
    </tableColumn>
    <tableColumn id="11" xr3:uid="{1591FC40-24F3-42D2-93AD-E8D764A525CB}" name="ftm" totalsRowFunction="average" dataDxfId="395" totalsRowDxfId="394">
      <calculatedColumnFormula>SUMIFS(tbl_główna_GRACZE[ftm],tbl_główna_GRACZE[zespół],tbl_ZESPOŁY_dane[[#This Row],[zespół]],tbl_główna_GRACZE['#mecz],tbl_ZESPOŁY_dane[[#This Row],['#mecz]])</calculatedColumnFormula>
    </tableColumn>
    <tableColumn id="12" xr3:uid="{C41514F9-8EDF-4EFA-8309-67FB4CCACA5F}" name="fta" totalsRowFunction="average" dataDxfId="393" totalsRowDxfId="392">
      <calculatedColumnFormula>SUMIFS(tbl_główna_GRACZE[fta],tbl_główna_GRACZE[zespół],tbl_ZESPOŁY_dane[[#This Row],[zespół]],tbl_główna_GRACZE['#mecz],tbl_ZESPOŁY_dane[[#This Row],['#mecz]])</calculatedColumnFormula>
    </tableColumn>
    <tableColumn id="13" xr3:uid="{CD97D446-1222-4A0F-A3D4-A8699D33553A}" name="oreb" totalsRowFunction="average" dataDxfId="391" totalsRowDxfId="390">
      <calculatedColumnFormula>SUMIFS(tbl_główna_GRACZE[oreb],tbl_główna_GRACZE[zespół],tbl_ZESPOŁY_dane[[#This Row],[zespół]],tbl_główna_GRACZE['#mecz],tbl_ZESPOŁY_dane[[#This Row],['#mecz]])</calculatedColumnFormula>
    </tableColumn>
    <tableColumn id="14" xr3:uid="{E0A6D448-03DA-42C2-A42D-B4A3D824235F}" name="dreb" totalsRowFunction="average" dataDxfId="389" totalsRowDxfId="388">
      <calculatedColumnFormula>SUMIFS(tbl_główna_GRACZE[dreb],tbl_główna_GRACZE[zespół],tbl_ZESPOŁY_dane[[#This Row],[zespół]],tbl_główna_GRACZE['#mecz],tbl_ZESPOŁY_dane[[#This Row],['#mecz]])</calculatedColumnFormula>
    </tableColumn>
    <tableColumn id="15" xr3:uid="{B0547783-0FFE-43B4-AAB8-170521FD3540}" name="foul" totalsRowFunction="average" dataDxfId="387" totalsRowDxfId="386">
      <calculatedColumnFormula>SUMIFS(tbl_główna_GRACZE[foul],tbl_główna_GRACZE[zespół],tbl_ZESPOŁY_dane[[#This Row],[zespół]],tbl_główna_GRACZE['#mecz],tbl_ZESPOŁY_dane[[#This Row],['#mecz]])</calculatedColumnFormula>
    </tableColumn>
    <tableColumn id="16" xr3:uid="{E41241A9-36B7-44A5-8650-70FE5A125D76}" name="stl" totalsRowFunction="average" dataDxfId="385" totalsRowDxfId="384">
      <calculatedColumnFormula>SUMIFS(tbl_główna_GRACZE[stl],tbl_główna_GRACZE[zespół],tbl_ZESPOŁY_dane[[#This Row],[zespół]],tbl_główna_GRACZE['#mecz],tbl_ZESPOŁY_dane[[#This Row],['#mecz]])</calculatedColumnFormula>
    </tableColumn>
    <tableColumn id="17" xr3:uid="{CDD0EF3E-A205-4133-9956-AD84BC18A8AE}" name="to" totalsRowFunction="average" dataDxfId="383" totalsRowDxfId="382">
      <calculatedColumnFormula>SUMIFS(tbl_główna_GRACZE[to],tbl_główna_GRACZE[zespół],tbl_ZESPOŁY_dane[[#This Row],[zespół]],tbl_główna_GRACZE['#mecz],tbl_ZESPOŁY_dane[[#This Row],['#mecz]])</calculatedColumnFormula>
    </tableColumn>
    <tableColumn id="18" xr3:uid="{E4258489-49C9-4744-AB2E-BEA8A139AB9D}" name="blk" totalsRowFunction="average" dataDxfId="381" totalsRowDxfId="380">
      <calculatedColumnFormula>SUMIFS(tbl_główna_GRACZE[blk],tbl_główna_GRACZE[zespół],tbl_ZESPOŁY_dane[[#This Row],[zespół]],tbl_główna_GRACZE['#mecz],tbl_ZESPOŁY_dane[[#This Row],['#mecz]])</calculatedColumnFormula>
    </tableColumn>
    <tableColumn id="19" xr3:uid="{045CBC99-57D7-4A61-BD37-74E8F7716D4D}" name="asst" totalsRowFunction="average" dataDxfId="379" totalsRowDxfId="378">
      <calculatedColumnFormula>SUMIFS(tbl_główna_GRACZE[asst],tbl_główna_GRACZE[zespół],tbl_ZESPOŁY_dane[[#This Row],[zespół]],tbl_główna_GRACZE['#mecz],tbl_ZESPOŁY_dane[[#This Row],['#mecz]])</calculatedColumnFormula>
    </tableColumn>
    <tableColumn id="20" xr3:uid="{14F5819D-F9C7-4B7F-A035-50BDA1437DD8}" name="min" totalsRowFunction="average" dataDxfId="377">
      <calculatedColumnFormula>SUMIFS(tbl_główna_GRACZE[min],tbl_główna_GRACZE[zespół],tbl_ZESPOŁY_dane[[#This Row],[zespół]],tbl_główna_GRACZE['#mecz],tbl_ZESPOŁY_dane[[#This Row],['#mecz]])</calculatedColumnFormula>
    </tableColumn>
    <tableColumn id="21" xr3:uid="{9717B35E-B765-42EA-BD67-448E4D6EF415}" name="pts" totalsRowFunction="average" dataDxfId="376" totalsRowDxfId="375">
      <calculatedColumnFormula>SUMIFS(tbl_główna_GRACZE[pts],tbl_główna_GRACZE[zespół],tbl_ZESPOŁY_dane[[#This Row],[zespół]],tbl_główna_GRACZE['#mecz],tbl_ZESPOŁY_dane[[#This Row],['#mecz]])</calculatedColumnFormula>
    </tableColumn>
    <tableColumn id="22" xr3:uid="{0EE978AF-C1CE-446F-9815-BB7B552B5248}" name="reb total" totalsRowFunction="average" dataDxfId="374">
      <calculatedColumnFormula>tbl_ZESPOŁY_dane[[#This Row],[oreb]]+tbl_ZESPOŁY_dane[[#This Row],[dreb]]</calculatedColumnFormula>
    </tableColumn>
    <tableColumn id="23" xr3:uid="{1C4BF9D5-A95C-460A-862D-D1218CBCA23F}" name="fg%" totalsRowFunction="average" dataDxfId="373" totalsRowDxfId="372" dataCellStyle="Procentowy">
      <calculatedColumnFormula>F5/G5</calculatedColumnFormula>
    </tableColumn>
    <tableColumn id="24" xr3:uid="{5A0EDB5B-E85C-4C26-A25A-3E1D7E645210}" name="3p%" totalsRowFunction="average" dataDxfId="371" totalsRowDxfId="370" dataCellStyle="Procentowy">
      <calculatedColumnFormula>H5/I5</calculatedColumnFormula>
    </tableColumn>
    <tableColumn id="25" xr3:uid="{3AEA14E7-7EA4-44EE-85B3-B87364C2E02C}" name="ft%" totalsRowFunction="average" dataDxfId="369" totalsRowDxfId="368" dataCellStyle="Procentowy">
      <calculatedColumnFormula>IFERROR(J5/K5,"-")</calculatedColumnFormula>
    </tableColumn>
    <tableColumn id="26" xr3:uid="{C9F54451-67E8-48C3-BAF3-F45228DFC357}" name="TS%" totalsRowFunction="average" dataDxfId="367" totalsRowDxfId="366" dataCellStyle="Procentowy">
      <calculatedColumnFormula>T5/(2*(G5+0.44*K5))</calculatedColumnFormula>
    </tableColumn>
    <tableColumn id="27" xr3:uid="{1CF39BA9-0E93-4113-A6C6-4B3EFD08780D}" name="eFG%" totalsRowFunction="average" dataDxfId="365" totalsRowDxfId="364" dataCellStyle="Procentowy">
      <calculatedColumnFormula>(F5+0.5*H5)/G5</calculatedColumnFormula>
    </tableColumn>
    <tableColumn id="28" xr3:uid="{396C0448-3EBF-4BB5-B494-488D1F34CD32}" name="eval (bez strat)" totalsRowFunction="average" dataDxfId="363">
      <calculatedColumnFormula>SUMIFS(tbl_główna_GRACZE[EVAL],tbl_główna_GRACZE[zespół],$A5,tbl_główna_GRACZE['#mecz],tbl_ZESPOŁY_dane[[#This Row],['#mecz]])</calculatedColumnFormula>
    </tableColumn>
    <tableColumn id="29" xr3:uid="{ECFBDF69-BD9B-46CC-8DF2-4446A870EC32}" name="FTr" totalsRowFunction="average" dataDxfId="362" totalsRowDxfId="361" dataCellStyle="Procentowy">
      <calculatedColumnFormula>K5/G5</calculatedColumnFormula>
    </tableColumn>
    <tableColumn id="30" xr3:uid="{841D484C-388D-4567-BFAC-A88DFF2510D3}" name="3PAr " totalsRowFunction="average" dataDxfId="360" dataCellStyle="Procentowy">
      <calculatedColumnFormula>I5/G5</calculatedColumnFormula>
    </tableColumn>
    <tableColumn id="39" xr3:uid="{A2C1D5D3-EF0F-467C-B4B2-F6FAF37C0F9F}" name="Poss" dataDxfId="359" totalsRowDxfId="358" dataCellStyle="Procentowy">
      <calculatedColumnFormula>tbl_ZESPOŁY_dane[[#This Row],[fga]]+0.44*tbl_ZESPOŁY_dane[[#This Row],[fta]]-tbl_ZESPOŁY_dane[[#This Row],[oreb]]</calculatedColumnFormula>
    </tableColumn>
    <tableColumn id="38" xr3:uid="{9501AFFB-3E06-4E30-B502-AD17D288DC74}" name="Pace" dataDxfId="357" totalsRowDxfId="356" dataCellStyle="Procentowy">
      <calculatedColumnFormula>SUMIFS(tbl_ZESPOŁY_dane[Poss],tbl_ZESPOŁY_dane['#mecz],tbl_ZESPOŁY_dane[[#This Row],['#mecz]])/2</calculatedColumnFormula>
    </tableColumn>
    <tableColumn id="37" xr3:uid="{A7E0A3FC-52D0-4DA7-864C-114DFAE9CA6D}" name="Orating" dataDxfId="355" totalsRowDxfId="354" dataCellStyle="Procentowy">
      <calculatedColumnFormula>tbl_ZESPOŁY_dane[[#This Row],[pts]]/tbl_ZESPOŁY_dane[[#This Row],[Poss]]*100</calculatedColumnFormula>
    </tableColumn>
    <tableColumn id="36" xr3:uid="{581D3EAA-2DFD-4EC7-AD11-A17E1708F523}" name="Drating" dataDxfId="353" totalsRowDxfId="352" dataCellStyle="Procentowy">
      <calculatedColumnFormula>SUMIFS(tbl_ZESPOŁY_dane[Orating],tbl_ZESPOŁY_dane['#mecz],tbl_ZESPOŁY_dane[[#This Row],['#mecz]],tbl_ZESPOŁY_dane[zespół],tbl_ZESPOŁY_dane[[#This Row],[przeciwnik]])</calculatedColumnFormula>
    </tableColumn>
    <tableColumn id="31" xr3:uid="{D0C63EEF-E627-4F2A-8BA5-9BDFC66836F1}" name="Net RTG" dataDxfId="351">
      <calculatedColumnFormula>tbl_ZESPOŁY_dane[[#This Row],[Orating]]-tbl_ZESPOŁY_dane[[#This Row],[Drating]]</calculatedColumnFormula>
    </tableColumn>
    <tableColumn id="32" xr3:uid="{6728CECF-118D-4A6B-97F6-A7DE5EB551F7}" name="Points per Shot" totalsRowFunction="average" dataDxfId="350" totalsRowDxfId="349">
      <calculatedColumnFormula>T5/G5</calculatedColumnFormula>
    </tableColumn>
    <tableColumn id="33" xr3:uid="{F52D1AF7-C37F-4B87-BC4C-DB4D327EECF2}" name="AST%" dataCellStyle="Procentowy">
      <calculatedColumnFormula>tbl_ZESPOŁY_dane[[#This Row],[asst]]/tbl_ZESPOŁY_dane[[#This Row],[fgm]]</calculatedColumnFormula>
    </tableColumn>
    <tableColumn id="35" xr3:uid="{60578726-6944-4DE2-B68A-43BD8DFCBC35}" name="ASTR" dataDxfId="348" dataCellStyle="Procentowy">
      <calculatedColumnFormula>tbl_ZESPOŁY_dane[[#This Row],[asst]]/tbl_ZESPOŁY_dane[[#This Row],[Poss]]*100</calculatedColumnFormula>
    </tableColumn>
    <tableColumn id="34" xr3:uid="{1AB4D170-394B-4D98-8D59-49893245329A}" name="SQI" totalsRowFunction="average" dataDxfId="347" totalsRowDxfId="346">
      <calculatedColumnFormula>(tbl_ZESPOŁY_dane[[#This Row],[eFG%]]*0.7+tbl_ZESPOŁY_dane[[#This Row],[AST%]]*0.3)*100</calculatedColumnFormula>
    </tableColumn>
    <tableColumn id="40" xr3:uid="{030ED207-B483-4D0D-B41C-69AA24B758A8}" name="ORB%" dataCellStyle="Procentowy">
      <calculatedColumnFormula>tbl_ZESPOŁY_dane[[#This Row],[oreb]]/(tbl_ZESPOŁY_dane[[#This Row],[oreb]]+SUMIFS(tbl_ZESPOŁY_dane[dreb],tbl_ZESPOŁY_dane[zespół],tbl_ZESPOŁY_dane[[#This Row],[przeciwnik]],tbl_ZESPOŁY_dane['#mecz],tbl_ZESPOŁY_dane[[#This Row],['#mecz]]))</calculatedColumnFormula>
    </tableColumn>
    <tableColumn id="41" xr3:uid="{E5844C08-3C2F-4663-995A-D7C474803FA6}" name="DRB%" dataDxfId="345" dataCellStyle="Procentowy">
      <calculatedColumnFormula>tbl_ZESPOŁY_dane[[#This Row],[dreb]]/(tbl_ZESPOŁY_dane[[#This Row],[dreb]]+SUMIFS(tbl_ZESPOŁY_dane[oreb],tbl_ZESPOŁY_dane[zespół],tbl_ZESPOŁY_dane[[#This Row],[przeciwnik]],tbl_ZESPOŁY_dane['#mecz],tbl_ZESPOŁY_dane[[#This Row],['#mecz]]))</calculatedColumnFormula>
    </tableColumn>
    <tableColumn id="42" xr3:uid="{C4F89B35-E680-48D3-8ADC-E72BEBCC6011}" name="TRB%" dataDxfId="344" dataCellStyle="Procentowy">
      <calculatedColumnFormula>tbl_ZESPOŁY_dane[[#This Row],[reb total]]/(tbl_ZESPOŁY_dane[[#This Row],[reb total]]+SUMIFS(tbl_ZESPOŁY_dane[reb total],tbl_ZESPOŁY_dane[zespół],tbl_ZESPOŁY_dane[[#This Row],[przeciwnik]],tbl_ZESPOŁY_dane['#mecz],tbl_ZESPOŁY_dane[[#This Row],['#mecz]]))</calculatedColumnFormula>
    </tableColumn>
    <tableColumn id="43" xr3:uid="{A227934C-2FFD-4C3B-AF23-05169A382130}" name="RebDiff" dataDxfId="343">
      <calculatedColumnFormula>tbl_ZESPOŁY_dane[[#This Row],[reb total]]-SUMIFS(tbl_ZESPOŁY_dane[reb total],tbl_ZESPOŁY_dane[zespół],tbl_ZESPOŁY_dane[[#This Row],[przeciwnik]],tbl_ZESPOŁY_dane['#mecz],tbl_ZESPOŁY_dane[[#This Row],['#mecz]])</calculatedColumnFormula>
    </tableColumn>
    <tableColumn id="44" xr3:uid="{885A02B9-DFA9-4491-BFD5-1EC2542D54EC}" name="OR.R" dataCellStyle="Procentowy">
      <calculatedColumnFormula>tbl_ZESPOŁY_dane[[#This Row],[oreb]]/(tbl_ZESPOŁY_dane[[#This Row],[fga]]-tbl_ZESPOŁY_dane[[#This Row],[fgm]])</calculatedColumnFormula>
    </tableColumn>
    <tableColumn id="45" xr3:uid="{5B3A4DC7-0507-4457-BEE1-63F4CB7668D8}" name="RPA" dataDxfId="342">
      <calculatedColumnFormula>(tbl_ZESPOŁY_dane[[#This Row],[oreb]]*1.1)+(tbl_ZESPOŁY_dane[[#This Row],[dreb]]*0.3)</calculatedColumnFormula>
    </tableColumn>
    <tableColumn id="46" xr3:uid="{E2EF5728-B051-4C8C-9AD4-0EE99D774FE8}" name="GmScore" dataDxfId="341">
      <calculatedColumnFormula>T5+0.4*F5-0.7*G5-0.4*(K5-J5)+0.7*L5+0.3*M5+O5+0.7*R5+0.7*Q5</calculatedColumnFormula>
    </tableColumn>
    <tableColumn id="6" xr3:uid="{5E6C44B8-60EA-4E44-9F24-90A17A568CE6}" name="2P%" dataCellStyle="Procentowy">
      <calculatedColumnFormula>(tbl_ZESPOŁY_dane[[#This Row],[fgm]]-tbl_ZESPOŁY_dane[[#This Row],[3pm]])/(tbl_ZESPOŁY_dane[[#This Row],[fga]]-tbl_ZESPOŁY_dane[[#This Row],[3pa]])</calculatedColumnFormula>
    </tableColumn>
    <tableColumn id="47" xr3:uid="{10CA3275-DA9B-4EC4-9F75-2AF9CFC6CDBB}" name="played?" dataDxfId="340">
      <calculatedColumnFormula>IF(tbl_ZESPOŁY_dane[[#This Row],[pts]]&gt;0,1,0)</calculatedColumnFormula>
    </tableColumn>
    <tableColumn id="48" xr3:uid="{2B35EC44-A595-45EE-B37A-562BD2D754C7}" name="Q1" dataDxfId="339"/>
    <tableColumn id="49" xr3:uid="{0600A282-4FB8-4372-B494-E6CBE4348ADB}" name="Q2" dataDxfId="338"/>
    <tableColumn id="50" xr3:uid="{CB28FDA4-BFE6-4F0E-A983-19D0A61A05DE}" name="Q3" dataDxfId="337"/>
    <tableColumn id="51" xr3:uid="{0B808ADC-AB77-468B-BC23-1A17D0ED1AE0}" name="Q4" dataDxfId="336"/>
    <tableColumn id="52" xr3:uid="{94A48C3E-5AE8-4E24-B9EF-42C0229C45E1}" name="O1" dataDxfId="335">
      <calculatedColumnFormula>SUMIFS(tbl_ZESPOŁY_dane[Q1],tbl_ZESPOŁY_dane[przeciwnik],tbl_ZESPOŁY_dane[[#This Row],[zespół]],tbl_ZESPOŁY_dane[GW],tbl_ZESPOŁY_dane[[#This Row],[GW]])</calculatedColumnFormula>
    </tableColumn>
    <tableColumn id="53" xr3:uid="{C55129EB-466D-43AD-9E1E-1A7D42D733CA}" name="O2" dataDxfId="334">
      <calculatedColumnFormula>SUMIFS(tbl_ZESPOŁY_dane[Q2],tbl_ZESPOŁY_dane[przeciwnik],tbl_ZESPOŁY_dane[[#This Row],[zespół]],tbl_ZESPOŁY_dane[GW],tbl_ZESPOŁY_dane[[#This Row],[GW]])</calculatedColumnFormula>
    </tableColumn>
    <tableColumn id="54" xr3:uid="{78D24049-374A-4BDF-AAD7-01F172B02417}" name="O3" dataDxfId="333">
      <calculatedColumnFormula>SUMIFS(tbl_ZESPOŁY_dane[Q3],tbl_ZESPOŁY_dane[przeciwnik],tbl_ZESPOŁY_dane[[#This Row],[zespół]],tbl_ZESPOŁY_dane[GW],tbl_ZESPOŁY_dane[[#This Row],[GW]])</calculatedColumnFormula>
    </tableColumn>
    <tableColumn id="55" xr3:uid="{8D9B08C6-47EE-4D4C-A7C3-65C730122203}" name="O4" dataDxfId="332">
      <calculatedColumnFormula>SUMIFS(tbl_ZESPOŁY_dane[Q4],tbl_ZESPOŁY_dane[przeciwnik],tbl_ZESPOŁY_dane[[#This Row],[zespół]],tbl_ZESPOŁY_dane[GW],tbl_ZESPOŁY_dane[[#This Row],[GW]])</calculatedColumnFormula>
    </tableColumn>
    <tableColumn id="56" xr3:uid="{EDDF97AB-E1F8-469D-9243-1445CD68A53D}" name="pts OPP" dataDxfId="331">
      <calculatedColumnFormula>tbl_ZESPOŁY_dane[[#This Row],[O1]]+tbl_ZESPOŁY_dane[[#This Row],[O2]]+tbl_ZESPOŁY_dane[[#This Row],[O3]]+tbl_ZESPOŁY_dane[[#This Row],[O4]]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3F3986-3F72-4FDE-A443-379113FFBEA4}" name="tbl_zawodnicy_sumy" displayName="tbl_zawodnicy_sumy" ref="A10:AQ86" totalsRowShown="0" headerRowDxfId="296" headerRowCellStyle="Procentowy">
  <autoFilter ref="A10:AQ86" xr:uid="{043F3986-3F72-4FDE-A443-379113FFBEA4}"/>
  <tableColumns count="43">
    <tableColumn id="1" xr3:uid="{393DFBA0-4C44-4DDE-9716-FA8132492727}" name="zespół" dataDxfId="295"/>
    <tableColumn id="42" xr3:uid="{8618A4A5-F423-4190-B6FB-3C3FC45169B5}" name="I. Nazwisko" dataDxfId="294"/>
    <tableColumn id="41" xr3:uid="{22603FB6-DA4D-4FC1-90C4-7E9DE4DB604A}" name="Played" dataDxfId="293">
      <calculatedColumnFormula>SUMIF(tbl_główna_GRACZE[I. Nazwisko],tbl_zawodnicy_sumy[[#This Row],[I. Nazwisko]],tbl_główna_GRACZE[Played?])</calculatedColumnFormula>
    </tableColumn>
    <tableColumn id="7" xr3:uid="{6997771B-13AC-4078-8441-E5160718BA84}" name="fgm" dataDxfId="292">
      <calculatedColumnFormula>SUMIF(tbl_główna_GRACZE[I. Nazwisko],tbl_zawodnicy_sumy[[#This Row],[I. Nazwisko]],tbl_główna_GRACZE[fgm])</calculatedColumnFormula>
    </tableColumn>
    <tableColumn id="8" xr3:uid="{FF7393AC-687C-481B-8CA4-7F278A9C89B5}" name="fga" dataDxfId="291">
      <calculatedColumnFormula>SUMIF(tbl_główna_GRACZE[I. Nazwisko],tbl_zawodnicy_sumy[[#This Row],[I. Nazwisko]],tbl_główna_GRACZE[fga])</calculatedColumnFormula>
    </tableColumn>
    <tableColumn id="9" xr3:uid="{3E20F40B-24FD-4D0C-8C07-254610C9F196}" name="3pm" dataDxfId="290">
      <calculatedColumnFormula>SUMIF(tbl_główna_GRACZE[I. Nazwisko],tbl_zawodnicy_sumy[[#This Row],[I. Nazwisko]],tbl_główna_GRACZE[3pm])</calculatedColumnFormula>
    </tableColumn>
    <tableColumn id="10" xr3:uid="{91981A55-C0CB-4DA1-BD61-5D315812090B}" name="3pa" dataDxfId="289">
      <calculatedColumnFormula>SUMIF(tbl_główna_GRACZE[I. Nazwisko],tbl_zawodnicy_sumy[[#This Row],[I. Nazwisko]],tbl_główna_GRACZE[3pa])</calculatedColumnFormula>
    </tableColumn>
    <tableColumn id="11" xr3:uid="{38DEFC64-6B70-4E16-A003-2C786B9854FA}" name="ftm" dataDxfId="288">
      <calculatedColumnFormula>SUMIF(tbl_główna_GRACZE[I. Nazwisko],tbl_zawodnicy_sumy[[#This Row],[I. Nazwisko]],tbl_główna_GRACZE[ftm])</calculatedColumnFormula>
    </tableColumn>
    <tableColumn id="12" xr3:uid="{00AB1501-59B8-46A6-98F4-89215E61ECF8}" name="fta" dataDxfId="287">
      <calculatedColumnFormula>SUMIF(tbl_główna_GRACZE[I. Nazwisko],tbl_zawodnicy_sumy[[#This Row],[I. Nazwisko]],tbl_główna_GRACZE[fta])</calculatedColumnFormula>
    </tableColumn>
    <tableColumn id="13" xr3:uid="{26EC64BD-1920-407B-96D5-7CC775289532}" name="oreb" dataDxfId="286">
      <calculatedColumnFormula>SUMIF(tbl_główna_GRACZE[I. Nazwisko],tbl_zawodnicy_sumy[[#This Row],[I. Nazwisko]],tbl_główna_GRACZE[oreb])</calculatedColumnFormula>
    </tableColumn>
    <tableColumn id="14" xr3:uid="{872FDF20-0637-4385-820F-351A2C9F9B29}" name="dreb" dataDxfId="285">
      <calculatedColumnFormula>SUMIF(tbl_główna_GRACZE[I. Nazwisko],tbl_zawodnicy_sumy[[#This Row],[I. Nazwisko]],tbl_główna_GRACZE[dreb])</calculatedColumnFormula>
    </tableColumn>
    <tableColumn id="15" xr3:uid="{1780F079-6607-4DFE-B54A-68720F36248E}" name="foul" dataDxfId="284">
      <calculatedColumnFormula>SUMIF(tbl_główna_GRACZE[I. Nazwisko],tbl_zawodnicy_sumy[[#This Row],[I. Nazwisko]],tbl_główna_GRACZE[foul])</calculatedColumnFormula>
    </tableColumn>
    <tableColumn id="16" xr3:uid="{3F20385B-C999-473E-B73C-9A320FA42091}" name="stl" dataDxfId="283">
      <calculatedColumnFormula>SUMIF(tbl_główna_GRACZE[I. Nazwisko],tbl_zawodnicy_sumy[[#This Row],[I. Nazwisko]],tbl_główna_GRACZE[stl])</calculatedColumnFormula>
    </tableColumn>
    <tableColumn id="17" xr3:uid="{2A8F89FA-2E6B-4565-A9EA-654F87FC1932}" name="to" dataDxfId="282">
      <calculatedColumnFormula>SUMIF(tbl_główna_GRACZE[I. Nazwisko],tbl_zawodnicy_sumy[[#This Row],[I. Nazwisko]],tbl_główna_GRACZE[to])</calculatedColumnFormula>
    </tableColumn>
    <tableColumn id="18" xr3:uid="{0E1EBC48-01BB-4B2B-82D6-C43DC92CD0F4}" name="blk" dataDxfId="281">
      <calculatedColumnFormula>SUMIF(tbl_główna_GRACZE[I. Nazwisko],tbl_zawodnicy_sumy[[#This Row],[I. Nazwisko]],tbl_główna_GRACZE[blk])</calculatedColumnFormula>
    </tableColumn>
    <tableColumn id="19" xr3:uid="{8601F76E-F0E2-4C6C-A74A-474A03F86D47}" name="asst" dataDxfId="280">
      <calculatedColumnFormula>SUMIF(tbl_główna_GRACZE[I. Nazwisko],tbl_zawodnicy_sumy[[#This Row],[I. Nazwisko]],tbl_główna_GRACZE[asst])</calculatedColumnFormula>
    </tableColumn>
    <tableColumn id="20" xr3:uid="{2B981338-C2DE-4DFA-9B4A-81E0AB58FB3A}" name="min" dataDxfId="279">
      <calculatedColumnFormula>SUMIF(tbl_główna_GRACZE[I. Nazwisko],tbl_zawodnicy_sumy[[#This Row],[I. Nazwisko]],tbl_główna_GRACZE[min])</calculatedColumnFormula>
    </tableColumn>
    <tableColumn id="21" xr3:uid="{99B8CB7C-2FFD-444F-83C1-CEF377AE7F25}" name="pts" dataDxfId="278">
      <calculatedColumnFormula>SUMIF(tbl_główna_GRACZE[I. Nazwisko],tbl_zawodnicy_sumy[[#This Row],[I. Nazwisko]],tbl_główna_GRACZE[pts])</calculatedColumnFormula>
    </tableColumn>
    <tableColumn id="22" xr3:uid="{3B8F38E0-1BFE-429A-B38B-3A115408F90D}" name="reb total" dataDxfId="277">
      <calculatedColumnFormula>J11+K11</calculatedColumnFormula>
    </tableColumn>
    <tableColumn id="23" xr3:uid="{B3E2F95D-B08E-4EA7-B233-C49AA0723908}" name="fg%" dataDxfId="276" dataCellStyle="Procentowy">
      <calculatedColumnFormula>IFERROR(D11/E11,0)</calculatedColumnFormula>
    </tableColumn>
    <tableColumn id="24" xr3:uid="{01AA000C-F3BF-41FC-823B-E4D675B4FDA0}" name="3p%" dataDxfId="275" dataCellStyle="Procentowy">
      <calculatedColumnFormula>IFERROR(F11/G11,0)</calculatedColumnFormula>
    </tableColumn>
    <tableColumn id="25" xr3:uid="{C76970D8-69AB-44F2-A224-C9AC01DC02E5}" name="ft%" dataDxfId="274" dataCellStyle="Procentowy">
      <calculatedColumnFormula>IFERROR(H11/I11,0)</calculatedColumnFormula>
    </tableColumn>
    <tableColumn id="6" xr3:uid="{E83DA072-A78B-46B7-84C2-27E713357429}" name="2p%" dataDxfId="273" dataCellStyle="Procentowy">
      <calculatedColumnFormula>IFERROR(tbl_zawodnicy_sumy[[#This Row],[2pm]]/tbl_zawodnicy_sumy[[#This Row],[2pa]],0)</calculatedColumnFormula>
    </tableColumn>
    <tableColumn id="26" xr3:uid="{7AC76C98-D922-45D9-9336-DC1FA70DD421}" name="TS%" dataDxfId="272" dataCellStyle="Procentowy">
      <calculatedColumnFormula>IFERROR(R11/(2*(E11+0.44*I11)),0)</calculatedColumnFormula>
    </tableColumn>
    <tableColumn id="27" xr3:uid="{696DF79D-2678-4E91-AD12-262EA791CC91}" name="eFG%" dataDxfId="271" dataCellStyle="Procentowy">
      <calculatedColumnFormula>IFERROR((D11+0.5*F11)/E11,0)</calculatedColumnFormula>
    </tableColumn>
    <tableColumn id="28" xr3:uid="{A3365237-4119-4D40-A232-54084618C8F6}" name="EVAL" dataDxfId="270">
      <calculatedColumnFormula>M11+O11+P11+R11+S11-(E11-D11)-(I11-H11)</calculatedColumnFormula>
    </tableColumn>
    <tableColumn id="29" xr3:uid="{81673C75-1185-4188-8EE2-5FA993CB5988}" name="FTr" dataDxfId="269" dataCellStyle="Procentowy">
      <calculatedColumnFormula>IFERROR(I11/E11,0)</calculatedColumnFormula>
    </tableColumn>
    <tableColumn id="30" xr3:uid="{20416EDD-04E2-4D28-91AA-82EEBABDA156}" name="3PAr " dataDxfId="268" dataCellStyle="Procentowy">
      <calculatedColumnFormula>IFERROR(G11/E11,0)</calculatedColumnFormula>
    </tableColumn>
    <tableColumn id="31" xr3:uid="{E2E81BF9-B01A-421B-A51A-7D629BD62813}" name="USG%" dataDxfId="267" dataCellStyle="Procentowy">
      <calculatedColumnFormula>IFERROR((SUMIF(tbl_główna_GRACZE[I. Nazwisko],tbl_zawodnicy_sumy[[#This Row],[I. Nazwisko]],tbl_główna_GRACZE[USG%]))/tbl_zawodnicy_sumy[[#This Row],[Played]],0)</calculatedColumnFormula>
    </tableColumn>
    <tableColumn id="40" xr3:uid="{E04D45E0-BAFC-4523-9D52-1440F6F430D0}" name="Pts/40" dataDxfId="266" dataCellStyle="Procentowy">
      <calculatedColumnFormula>IFERROR(tbl_zawodnicy_sumy[[#This Row],[pts]]*(40/tbl_zawodnicy_sumy[[#This Row],[min]]),0)</calculatedColumnFormula>
    </tableColumn>
    <tableColumn id="39" xr3:uid="{FE999B76-35AA-40B7-BB67-0E4318113F14}" name="Reb/40" dataDxfId="265" dataCellStyle="Procentowy">
      <calculatedColumnFormula>IFERROR(tbl_zawodnicy_sumy[[#This Row],[reb total]]*(40/tbl_zawodnicy_sumy[[#This Row],[min]]),0)</calculatedColumnFormula>
    </tableColumn>
    <tableColumn id="38" xr3:uid="{B625A85D-F0DF-43BB-A64D-21A14F8D46C1}" name="A/40" dataDxfId="264" dataCellStyle="Procentowy">
      <calculatedColumnFormula>IFERROR(tbl_zawodnicy_sumy[[#This Row],[asst]]*(40/tbl_zawodnicy_sumy[[#This Row],[min]]),0)</calculatedColumnFormula>
    </tableColumn>
    <tableColumn id="32" xr3:uid="{012F8387-F265-4930-B73B-18D3AF900C73}" name="PpS" dataDxfId="263">
      <calculatedColumnFormula>IFERROR(R11/E11,0)</calculatedColumnFormula>
    </tableColumn>
    <tableColumn id="36" xr3:uid="{805EC810-8961-4D1C-A879-AA32D0AED484}" name="DP40" dataDxfId="262">
      <calculatedColumnFormula>IFERROR((tbl_zawodnicy_sumy[[#This Row],[stl]]+tbl_zawodnicy_sumy[[#This Row],[blk]])*(40/tbl_zawodnicy_sumy[[#This Row],[min]]),0)</calculatedColumnFormula>
    </tableColumn>
    <tableColumn id="33" xr3:uid="{A2C5285F-BFC2-4BE8-9C88-5478F9FAE44E}" name="DI" dataDxfId="261" dataCellStyle="Procentowy">
      <calculatedColumnFormula>IFERROR((SUMIF(tbl_główna_GRACZE[I. Nazwisko],tbl_zawodnicy_sumy[[#This Row],[I. Nazwisko]],tbl_główna_GRACZE[DI]))/tbl_zawodnicy_sumy[[#This Row],[Played]],0)</calculatedColumnFormula>
    </tableColumn>
    <tableColumn id="35" xr3:uid="{9E0F8F0A-1E5C-473D-BAAA-0DA03A443448}" name="DA" dataDxfId="260" dataCellStyle="Procentowy">
      <calculatedColumnFormula>tbl_zawodnicy_sumy[[#This Row],[stl]]+tbl_zawodnicy_sumy[[#This Row],[blk]]+(tbl_zawodnicy_sumy[[#This Row],[dreb]]*0.5)</calculatedColumnFormula>
    </tableColumn>
    <tableColumn id="37" xr3:uid="{E3BEAD94-5188-463A-AC98-DFDD0DF2F26F}" name="DEpM" dataDxfId="259" dataCellStyle="Procentowy">
      <calculatedColumnFormula>IFERROR((tbl_zawodnicy_sumy[[#This Row],[stl]]+tbl_zawodnicy_sumy[[#This Row],[blk]]+0.5*tbl_zawodnicy_sumy[[#This Row],[dreb]])/tbl_zawodnicy_sumy[[#This Row],[min]],0)</calculatedColumnFormula>
    </tableColumn>
    <tableColumn id="34" xr3:uid="{D0E484DE-ECF5-4209-84B8-89CB8A34B937}" name="GmSc" dataDxfId="258">
      <calculatedColumnFormula>R11+0.4*D11-0.7*E11-0.4*(I11-H11)+0.7*J11+0.3*K11+M11+0.7*P11+0.7*O11</calculatedColumnFormula>
    </tableColumn>
    <tableColumn id="2" xr3:uid="{DDC4E8D2-0052-42F5-97DB-023301F587CC}" name="GmSc/40" dataDxfId="257">
      <calculatedColumnFormula>IFERROR(tbl_zawodnicy_sumy[[#This Row],[GmSc]]*(40/tbl_zawodnicy_sumy[[#This Row],[min]]),0)</calculatedColumnFormula>
    </tableColumn>
    <tableColumn id="3" xr3:uid="{A0EA94F7-5EB3-41AF-ADEE-6A111D83FF49}" name="EVAL/40" dataDxfId="256">
      <calculatedColumnFormula>IFERROR(tbl_zawodnicy_sumy[[#This Row],[EVAL]]*(40/tbl_zawodnicy_sumy[[#This Row],[min]]),0)</calculatedColumnFormula>
    </tableColumn>
    <tableColumn id="5" xr3:uid="{35833E17-CC4D-4A18-B1C2-E0D9939EDE31}" name="2pm" dataDxfId="255">
      <calculatedColumnFormula>tbl_zawodnicy_sumy[[#This Row],[fgm]]-tbl_zawodnicy_sumy[[#This Row],[3pm]]</calculatedColumnFormula>
    </tableColumn>
    <tableColumn id="4" xr3:uid="{4AA1420C-3BE5-4C92-8D51-877FB16886AA}" name="2pa" dataDxfId="254">
      <calculatedColumnFormula>tbl_zawodnicy_sumy[[#This Row],[fga]]-tbl_zawodnicy_sumy[[#This Row],[3pa]]</calculatedColumnFormula>
    </tableColumn>
    <tableColumn id="43" xr3:uid="{9ACD4425-1674-413F-A4BD-8E9D9A3A6347}" name="ID" dataDxfId="253">
      <calculatedColumnFormula>SUMIF(tbl_zawodnicy_średnie[I. Nazwisko],tbl_zawodnicy_sumy[[#This Row],[I. Nazwisko]],tbl_zawodnicy_średnie[ID])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DA5597-D71E-4F00-A6C2-95AAA57FA1D3}" name="tbl_zawodnicy_średnie" displayName="tbl_zawodnicy_średnie" ref="A10:AR78" totalsRowShown="0" headerRowDxfId="252" headerRowCellStyle="Procentowy">
  <autoFilter ref="A10:AR78" xr:uid="{4ADA5597-D71E-4F00-A6C2-95AAA57FA1D3}"/>
  <tableColumns count="44">
    <tableColumn id="1" xr3:uid="{8B60C591-F5AC-47FD-B6DB-2EE67D7513F7}" name="zespół"/>
    <tableColumn id="42" xr3:uid="{43AA3A44-F984-47BC-8924-0523AC190AA8}" name="I. Nazwisko" dataDxfId="251"/>
    <tableColumn id="41" xr3:uid="{8CB40FB5-E80E-4D6E-A525-F442BCF2C91E}" name="Played" dataDxfId="250">
      <calculatedColumnFormula>SUMIF(tbl_główna_GRACZE[I. Nazwisko],tbl_zawodnicy_średnie[[#This Row],[I. Nazwisko]],tbl_główna_GRACZE[Played?])</calculatedColumnFormula>
    </tableColumn>
    <tableColumn id="7" xr3:uid="{911E25AB-AE99-4D4E-A1A8-B931DC81DE79}" name="fgm" dataDxfId="249">
      <calculatedColumnFormula>IFERROR((SUMIF(tbl_główna_GRACZE[I. Nazwisko],tbl_zawodnicy_średnie[[#This Row],[I. Nazwisko]],tbl_główna_GRACZE[fgm]))/tbl_zawodnicy_średnie[[#This Row],[Played]],0)</calculatedColumnFormula>
    </tableColumn>
    <tableColumn id="8" xr3:uid="{E08BA541-6FA4-4CBA-BA30-A20FE553016A}" name="fga" dataDxfId="248">
      <calculatedColumnFormula>IFERROR((SUMIF(tbl_główna_GRACZE[I. Nazwisko],tbl_zawodnicy_średnie[[#This Row],[I. Nazwisko]],tbl_główna_GRACZE[fga]))/tbl_zawodnicy_średnie[[#This Row],[Played]],0)</calculatedColumnFormula>
    </tableColumn>
    <tableColumn id="9" xr3:uid="{57D1AE4E-0636-422D-B9C2-27E428AFFFDA}" name="3pm" dataDxfId="247">
      <calculatedColumnFormula>IFERROR((SUMIF(tbl_główna_GRACZE[I. Nazwisko],tbl_zawodnicy_średnie[[#This Row],[I. Nazwisko]],tbl_główna_GRACZE[3pm]))/tbl_zawodnicy_średnie[[#This Row],[Played]],0)</calculatedColumnFormula>
    </tableColumn>
    <tableColumn id="10" xr3:uid="{E8EEDFCE-AB45-447B-958D-BC762232C901}" name="3pa" dataDxfId="246">
      <calculatedColumnFormula>IFERROR((SUMIF(tbl_główna_GRACZE[I. Nazwisko],tbl_zawodnicy_średnie[[#This Row],[I. Nazwisko]],tbl_główna_GRACZE[3pa]))/tbl_zawodnicy_średnie[[#This Row],[Played]],0)</calculatedColumnFormula>
    </tableColumn>
    <tableColumn id="11" xr3:uid="{FA194201-6605-4A41-9A64-053BAFD8E816}" name="ftm" dataDxfId="245">
      <calculatedColumnFormula>IFERROR((SUMIF(tbl_główna_GRACZE[I. Nazwisko],tbl_zawodnicy_średnie[[#This Row],[I. Nazwisko]],tbl_główna_GRACZE[ftm]))/tbl_zawodnicy_średnie[[#This Row],[Played]],0)</calculatedColumnFormula>
    </tableColumn>
    <tableColumn id="12" xr3:uid="{E2E60C53-43D2-43CE-B3E2-6B209A432FED}" name="fta" dataDxfId="244">
      <calculatedColumnFormula>IFERROR((SUMIF(tbl_główna_GRACZE[I. Nazwisko],tbl_zawodnicy_średnie[[#This Row],[I. Nazwisko]],tbl_główna_GRACZE[fta]))/tbl_zawodnicy_średnie[[#This Row],[Played]],0)</calculatedColumnFormula>
    </tableColumn>
    <tableColumn id="13" xr3:uid="{2A81A017-A8BF-47EF-9B7D-9669E7541F97}" name="oreb" dataDxfId="243">
      <calculatedColumnFormula>IFERROR((SUMIF(tbl_główna_GRACZE[I. Nazwisko],tbl_zawodnicy_średnie[[#This Row],[I. Nazwisko]],tbl_główna_GRACZE[oreb]))/tbl_zawodnicy_średnie[[#This Row],[Played]],0)</calculatedColumnFormula>
    </tableColumn>
    <tableColumn id="14" xr3:uid="{8C861869-A506-48AF-9303-9D7BFF7F1A2F}" name="dreb" dataDxfId="242">
      <calculatedColumnFormula>IFERROR((SUMIF(tbl_główna_GRACZE[I. Nazwisko],tbl_zawodnicy_średnie[[#This Row],[I. Nazwisko]],tbl_główna_GRACZE[dreb]))/tbl_zawodnicy_średnie[[#This Row],[Played]],0)</calculatedColumnFormula>
    </tableColumn>
    <tableColumn id="15" xr3:uid="{BC60DDEA-20E7-41EF-A38B-DEEBD58EF45D}" name="foul" dataDxfId="241">
      <calculatedColumnFormula>IFERROR((SUMIF(tbl_główna_GRACZE[I. Nazwisko],tbl_zawodnicy_średnie[[#This Row],[I. Nazwisko]],tbl_główna_GRACZE[foul]))/tbl_zawodnicy_średnie[[#This Row],[Played]],0)</calculatedColumnFormula>
    </tableColumn>
    <tableColumn id="16" xr3:uid="{23BFA3DB-15C9-4E68-A77D-6B03B98EB841}" name="stl" dataDxfId="240">
      <calculatedColumnFormula>IFERROR((SUMIF(tbl_główna_GRACZE[I. Nazwisko],tbl_zawodnicy_średnie[[#This Row],[I. Nazwisko]],tbl_główna_GRACZE[stl]))/tbl_zawodnicy_średnie[[#This Row],[Played]],0)</calculatedColumnFormula>
    </tableColumn>
    <tableColumn id="17" xr3:uid="{2D6DD633-BBE6-4A8C-AC72-56AFBF494C3D}" name="to" dataDxfId="239">
      <calculatedColumnFormula>IFERROR((SUMIF(tbl_główna_GRACZE[I. Nazwisko],tbl_zawodnicy_średnie[[#This Row],[I. Nazwisko]],tbl_główna_GRACZE[to]))/tbl_zawodnicy_średnie[[#This Row],[Played]],0)</calculatedColumnFormula>
    </tableColumn>
    <tableColumn id="18" xr3:uid="{22633726-B444-4FC2-80FD-B1B94A0A7032}" name="blk" dataDxfId="238">
      <calculatedColumnFormula>IFERROR((SUMIF(tbl_główna_GRACZE[I. Nazwisko],tbl_zawodnicy_średnie[[#This Row],[I. Nazwisko]],tbl_główna_GRACZE[blk]))/tbl_zawodnicy_średnie[[#This Row],[Played]],0)</calculatedColumnFormula>
    </tableColumn>
    <tableColumn id="19" xr3:uid="{EE74E914-E3BF-4C4A-B0DA-B76ED922D439}" name="asst" dataDxfId="237">
      <calculatedColumnFormula>IFERROR((SUMIF(tbl_główna_GRACZE[I. Nazwisko],tbl_zawodnicy_średnie[[#This Row],[I. Nazwisko]],tbl_główna_GRACZE[asst]))/tbl_zawodnicy_średnie[[#This Row],[Played]],0)</calculatedColumnFormula>
    </tableColumn>
    <tableColumn id="20" xr3:uid="{63FDFB36-57FD-4FC1-A645-B7FB953129C5}" name="min" dataDxfId="236">
      <calculatedColumnFormula>IFERROR((SUMIF(tbl_główna_GRACZE[I. Nazwisko],tbl_zawodnicy_średnie[[#This Row],[I. Nazwisko]],tbl_główna_GRACZE[min]))/tbl_zawodnicy_średnie[[#This Row],[Played]],0)</calculatedColumnFormula>
    </tableColumn>
    <tableColumn id="21" xr3:uid="{A9AE30FF-59FD-4AC0-B195-1400DFC5EF76}" name="pts" dataDxfId="235">
      <calculatedColumnFormula>IFERROR((SUMIF(tbl_główna_GRACZE[I. Nazwisko],tbl_zawodnicy_średnie[[#This Row],[I. Nazwisko]],tbl_główna_GRACZE[pts]))/tbl_zawodnicy_średnie[[#This Row],[Played]],0)</calculatedColumnFormula>
    </tableColumn>
    <tableColumn id="22" xr3:uid="{F4963A7B-6597-42CF-9E86-48F6CD583F66}" name="reb total" dataDxfId="234">
      <calculatedColumnFormula>J11+K11</calculatedColumnFormula>
    </tableColumn>
    <tableColumn id="23" xr3:uid="{07AB4EEB-F8D2-4438-BA68-D5B0763FD396}" name="fg%" dataDxfId="233" dataCellStyle="Procentowy">
      <calculatedColumnFormula>IFERROR(D11/E11,0)</calculatedColumnFormula>
    </tableColumn>
    <tableColumn id="24" xr3:uid="{D92770A2-F49B-444D-8B41-5611CB4D1D43}" name="3p%" dataDxfId="232" dataCellStyle="Procentowy">
      <calculatedColumnFormula>IFERROR(F11/G11,0)</calculatedColumnFormula>
    </tableColumn>
    <tableColumn id="25" xr3:uid="{52D82613-4D9F-4E02-A621-1CD45BCD1D57}" name="ft%" dataDxfId="231" dataCellStyle="Procentowy">
      <calculatedColumnFormula>IFERROR(H11/I11,0)</calculatedColumnFormula>
    </tableColumn>
    <tableColumn id="5" xr3:uid="{4EAEB082-AABC-4560-AC0B-62EE627FB4F2}" name="2p%" dataDxfId="230" dataCellStyle="Procentowy">
      <calculatedColumnFormula>IFERROR(tbl_zawodnicy_średnie[[#This Row],[2pm]]/tbl_zawodnicy_średnie[[#This Row],[2pa]],0)</calculatedColumnFormula>
    </tableColumn>
    <tableColumn id="26" xr3:uid="{EB8A026E-E139-4828-84ED-1CE00AA7F02B}" name="TS%" dataDxfId="229" dataCellStyle="Procentowy">
      <calculatedColumnFormula>IFERROR(R11/(2*(E11+0.44*I11)),0)</calculatedColumnFormula>
    </tableColumn>
    <tableColumn id="27" xr3:uid="{5620AF19-2F62-4F0F-92C2-976ECABE3033}" name="eFG%" dataDxfId="228" dataCellStyle="Procentowy">
      <calculatedColumnFormula>IFERROR((D11+0.5*F11)/E11,0)</calculatedColumnFormula>
    </tableColumn>
    <tableColumn id="28" xr3:uid="{86F3F7EE-EC03-4835-98EA-F4C1BF4D935C}" name="EVAL" dataDxfId="227">
      <calculatedColumnFormula>M11+O11+P11+R11+S11-(E11-D11)-(I11-H11)</calculatedColumnFormula>
    </tableColumn>
    <tableColumn id="29" xr3:uid="{9FEB9C7D-F2A6-4FC7-8727-21841038EBEE}" name="FTr" dataDxfId="226" dataCellStyle="Procentowy">
      <calculatedColumnFormula>IFERROR(I11/E11,)</calculatedColumnFormula>
    </tableColumn>
    <tableColumn id="30" xr3:uid="{337EA7DE-1C46-4C2B-ADFC-D5F4D0478506}" name="3PAr " dataDxfId="225" dataCellStyle="Procentowy">
      <calculatedColumnFormula>IFERROR(G11/E11,0)</calculatedColumnFormula>
    </tableColumn>
    <tableColumn id="31" xr3:uid="{CC6106F1-C37E-4CEA-9CF6-6432E496C2B4}" name="USG%" dataDxfId="224" dataCellStyle="Procentowy">
      <calculatedColumnFormula>IFERROR((SUMIF(tbl_główna_GRACZE[I. Nazwisko],tbl_zawodnicy_średnie[[#This Row],[I. Nazwisko]],tbl_główna_GRACZE[USG%]))/tbl_zawodnicy_średnie[[#This Row],[Played]],0)</calculatedColumnFormula>
    </tableColumn>
    <tableColumn id="40" xr3:uid="{29B102E4-5D3B-49EB-9841-84CF482DE9C3}" name="Pts/40" dataDxfId="223" dataCellStyle="Procentowy">
      <calculatedColumnFormula>IFERROR(tbl_zawodnicy_średnie[[#This Row],[pts]]*(40/tbl_zawodnicy_średnie[[#This Row],[min]]),0)</calculatedColumnFormula>
    </tableColumn>
    <tableColumn id="39" xr3:uid="{9019AAB9-ADB7-4865-B761-B7C8590CD45B}" name="Reb/40" dataDxfId="222" dataCellStyle="Procentowy">
      <calculatedColumnFormula>IFERROR(tbl_zawodnicy_średnie[[#This Row],[reb total]]*(40/tbl_zawodnicy_średnie[[#This Row],[min]]),0)</calculatedColumnFormula>
    </tableColumn>
    <tableColumn id="38" xr3:uid="{FB655652-1D79-46AF-A031-D05D40D9E155}" name="A/40" dataDxfId="221" dataCellStyle="Procentowy">
      <calculatedColumnFormula>IFERROR(tbl_zawodnicy_średnie[[#This Row],[asst]]*(40/tbl_zawodnicy_średnie[[#This Row],[min]]),0)</calculatedColumnFormula>
    </tableColumn>
    <tableColumn id="32" xr3:uid="{730ABB3F-B6B5-4798-853E-504475FCDDF9}" name="PpS" dataDxfId="220">
      <calculatedColumnFormula>IFERROR(R11/E11,0)</calculatedColumnFormula>
    </tableColumn>
    <tableColumn id="36" xr3:uid="{834D8D02-4F85-4D71-A3EB-B7D54DE42D9C}" name="DP40" dataDxfId="219">
      <calculatedColumnFormula>IFERROR((tbl_zawodnicy_średnie[[#This Row],[stl]]+tbl_zawodnicy_średnie[[#This Row],[blk]])*(40/tbl_zawodnicy_średnie[[#This Row],[min]]),0)</calculatedColumnFormula>
    </tableColumn>
    <tableColumn id="33" xr3:uid="{4C027E2F-D4BF-482F-A0A1-5712E15B390F}" name="DI" dataDxfId="218">
      <calculatedColumnFormula>IFERROR((SUMIF(tbl_główna_GRACZE[I. Nazwisko],tbl_zawodnicy_średnie[[#This Row],[I. Nazwisko]],tbl_główna_GRACZE[DI]))/tbl_zawodnicy_średnie[[#This Row],[Played]],0)</calculatedColumnFormula>
    </tableColumn>
    <tableColumn id="35" xr3:uid="{B5BED8A2-A8F3-440B-BE0F-3E73985311FF}" name="DA" dataDxfId="217" dataCellStyle="Procentowy">
      <calculatedColumnFormula>tbl_zawodnicy_średnie[[#This Row],[stl]]+tbl_zawodnicy_średnie[[#This Row],[blk]]+(tbl_zawodnicy_średnie[[#This Row],[dreb]]*0.5)</calculatedColumnFormula>
    </tableColumn>
    <tableColumn id="37" xr3:uid="{DA516E8C-602F-4ED5-8A97-501F9FA2B027}" name="DEpM" dataDxfId="216" dataCellStyle="Procentowy">
      <calculatedColumnFormula>IFERROR((tbl_zawodnicy_średnie[[#This Row],[stl]]+tbl_zawodnicy_średnie[[#This Row],[blk]]+0.5*tbl_zawodnicy_średnie[[#This Row],[dreb]])/tbl_zawodnicy_średnie[[#This Row],[min]],0)</calculatedColumnFormula>
    </tableColumn>
    <tableColumn id="34" xr3:uid="{6AD381FD-2374-46C0-92AC-B7B85DF33B5C}" name="GmSc" dataDxfId="215">
      <calculatedColumnFormula>IFERROR(R11+0.4*D11-0.7*E11-0.4*(I11-H11)+0.7*J11+0.3*K11+M11+0.7*P11+0.7*O11,0)</calculatedColumnFormula>
    </tableColumn>
    <tableColumn id="3" xr3:uid="{0A12A70C-A95E-43FE-ACB7-612FCD93A218}" name="GmSc/40" dataDxfId="214">
      <calculatedColumnFormula>IFERROR(tbl_zawodnicy_średnie[[#This Row],[GmSc]]*(40/tbl_zawodnicy_średnie[[#This Row],[min]]),0)</calculatedColumnFormula>
    </tableColumn>
    <tableColumn id="2" xr3:uid="{FEA6510A-091C-467E-8032-E54AE2143E7A}" name="EVAL/40" dataDxfId="213">
      <calculatedColumnFormula>IFERROR(tbl_zawodnicy_średnie[[#This Row],[EVAL]]*(40/tbl_zawodnicy_średnie[[#This Row],[min]]),0)</calculatedColumnFormula>
    </tableColumn>
    <tableColumn id="44" xr3:uid="{4586D58A-FB8F-4D75-89DD-6DC48D2EAAE8}" name="2pm" dataDxfId="212">
      <calculatedColumnFormula>tbl_zawodnicy_średnie[[#This Row],[fgm]]-tbl_zawodnicy_średnie[[#This Row],[3pm]]</calculatedColumnFormula>
    </tableColumn>
    <tableColumn id="6" xr3:uid="{DD106133-19CA-4C22-BD88-CEE627DE570D}" name="2pa" dataDxfId="211">
      <calculatedColumnFormula>tbl_zawodnicy_średnie[[#This Row],[fga]]-tbl_zawodnicy_średnie[[#This Row],[3pa]]</calculatedColumnFormula>
    </tableColumn>
    <tableColumn id="43" xr3:uid="{178EACAF-4919-4940-99AF-8ECFCEF08434}" name="ID"/>
    <tableColumn id="4" xr3:uid="{638C3D3D-7D88-46E6-AC6A-071804B74073}" name="I.Nazw[ZES]" dataDxfId="210">
      <calculatedColumnFormula>tbl_zawodnicy_średnie[[#This Row],[I. Nazwisko]]&amp;" ["&amp;VLOOKUP(tbl_zawodnicy_średnie[[#This Row],[zespół]],tab_nazwy_zespołów[],2,0)&amp;"]"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DFD454-B08D-4916-9A56-00C9C50922DC}" name="Tabela5" displayName="Tabela5" ref="A4:BK11" totalsRowCount="1" headerRowDxfId="209" headerRowBorderDxfId="208" tableBorderDxfId="207">
  <autoFilter ref="A4:BK10" xr:uid="{B0DFD454-B08D-4916-9A56-00C9C50922DC}"/>
  <tableColumns count="63">
    <tableColumn id="1" xr3:uid="{E1250EA6-E775-45BB-BA04-70C8AF37D956}" name="zespół" totalsRowLabel="Średnie:" dataDxfId="206" totalsRowDxfId="205"/>
    <tableColumn id="45" xr3:uid="{156512BB-19C6-4BD1-9CCD-0C8B1AD53297}" name="Played" dataDxfId="204" totalsRowDxfId="203">
      <calculatedColumnFormula>SUMIF(tbl_ZESPOŁY_dane[zespół],Tabela5[[#This Row],[zespół]],tbl_ZESPOŁY_dane[played?])</calculatedColumnFormula>
    </tableColumn>
    <tableColumn id="44" xr3:uid="{AFFB1436-36C8-4034-8F3E-BBD385B68DF2}" name="Kolumna3" dataDxfId="202" totalsRowDxfId="201"/>
    <tableColumn id="43" xr3:uid="{E71CFF12-6831-41D5-B5FC-68D982A8AE34}" name="Kolumna2" dataDxfId="200" totalsRowDxfId="199"/>
    <tableColumn id="42" xr3:uid="{5BF32802-ED96-4588-ACDA-C549A5AD1DE7}" name="Kolumna1" dataDxfId="198" totalsRowDxfId="197"/>
    <tableColumn id="2" xr3:uid="{5CC43495-0D70-4FC5-8915-32A1CCBA8EC5}" name="fgm" totalsRowFunction="custom" dataDxfId="196" totalsRowDxfId="195">
      <calculatedColumnFormula>SUMIF(tbl_ZESPOŁY_dane[zespół],$A5,tbl_ZESPOŁY_dane[fgm])</calculatedColumnFormula>
      <totalsRowFormula>AVERAGE(Tabela5[fgm])</totalsRowFormula>
    </tableColumn>
    <tableColumn id="3" xr3:uid="{85DF2158-EFC0-4EC2-92A0-D68578B964D5}" name="fga" totalsRowFunction="custom" dataDxfId="194" totalsRowDxfId="193">
      <calculatedColumnFormula>SUMIF(tbl_ZESPOŁY_dane[zespół],$A5,tbl_ZESPOŁY_dane[fga])</calculatedColumnFormula>
      <totalsRowFormula>AVERAGE(Tabela5[fga])</totalsRowFormula>
    </tableColumn>
    <tableColumn id="4" xr3:uid="{73C68D00-F5ED-4441-A319-B11D66A2F472}" name="3pm" totalsRowFunction="custom" dataDxfId="192" totalsRowDxfId="191">
      <calculatedColumnFormula>SUMIF(tbl_ZESPOŁY_dane[zespół],$A5,tbl_ZESPOŁY_dane[3pm])</calculatedColumnFormula>
      <totalsRowFormula>AVERAGE(Tabela5[3pm])</totalsRowFormula>
    </tableColumn>
    <tableColumn id="5" xr3:uid="{79CCE139-64A8-4238-A96F-B0A8291E917C}" name="3pa" totalsRowFunction="custom" dataDxfId="190" totalsRowDxfId="189">
      <calculatedColumnFormula>SUMIF(tbl_ZESPOŁY_dane[zespół],$A5,tbl_ZESPOŁY_dane[3pa])</calculatedColumnFormula>
      <totalsRowFormula>AVERAGE(Tabela5[3pa])</totalsRowFormula>
    </tableColumn>
    <tableColumn id="6" xr3:uid="{E97DEE93-FC91-4007-B139-6B1CDB30BD03}" name="ftm" totalsRowFunction="custom" dataDxfId="188" totalsRowDxfId="187">
      <calculatedColumnFormula>SUMIF(tbl_ZESPOŁY_dane[zespół],$A5,tbl_ZESPOŁY_dane[ftm])</calculatedColumnFormula>
      <totalsRowFormula>AVERAGE(Tabela5[ftm])</totalsRowFormula>
    </tableColumn>
    <tableColumn id="7" xr3:uid="{7D6A2DE4-E387-4999-AC35-A1684998B165}" name="fta" totalsRowFunction="custom" dataDxfId="186" totalsRowDxfId="185">
      <calculatedColumnFormula>SUMIF(tbl_ZESPOŁY_dane[zespół],$A5,tbl_ZESPOŁY_dane[fta])</calculatedColumnFormula>
      <totalsRowFormula>AVERAGE(Tabela5[fta])</totalsRowFormula>
    </tableColumn>
    <tableColumn id="8" xr3:uid="{D83F4228-2FAA-4DD5-A81E-A25669EBB12B}" name="oreb" totalsRowFunction="custom" dataDxfId="184" totalsRowDxfId="183">
      <calculatedColumnFormula>SUMIF(tbl_ZESPOŁY_dane[zespół],$A5,tbl_ZESPOŁY_dane[oreb])</calculatedColumnFormula>
      <totalsRowFormula>AVERAGE(Tabela5[oreb])</totalsRowFormula>
    </tableColumn>
    <tableColumn id="9" xr3:uid="{D317BAE2-AFE5-44C2-920C-C54F75A5E440}" name="dreb" totalsRowFunction="custom" dataDxfId="182" totalsRowDxfId="181">
      <calculatedColumnFormula>SUMIF(tbl_ZESPOŁY_dane[zespół],$A5,tbl_ZESPOŁY_dane[dreb])</calculatedColumnFormula>
      <totalsRowFormula>AVERAGE(Tabela5[dreb])</totalsRowFormula>
    </tableColumn>
    <tableColumn id="10" xr3:uid="{59C423DC-1C9D-4211-BDD2-67BA3AD2CA87}" name="foul" totalsRowFunction="custom" dataDxfId="180" totalsRowDxfId="179">
      <calculatedColumnFormula>SUMIF(tbl_ZESPOŁY_dane[zespół],$A5,tbl_ZESPOŁY_dane[foul])</calculatedColumnFormula>
      <totalsRowFormula>AVERAGE(Tabela5[foul])</totalsRowFormula>
    </tableColumn>
    <tableColumn id="11" xr3:uid="{F23DACF1-5677-49C9-8654-987B56C2D0E2}" name="stl" totalsRowFunction="custom" dataDxfId="178" totalsRowDxfId="177">
      <calculatedColumnFormula>SUMIF(tbl_ZESPOŁY_dane[zespół],$A5,tbl_ZESPOŁY_dane[stl])</calculatedColumnFormula>
      <totalsRowFormula>AVERAGE(Tabela5[stl])</totalsRowFormula>
    </tableColumn>
    <tableColumn id="12" xr3:uid="{FDB058C1-D56C-4AAC-844F-2B2E93A0B85D}" name="to" totalsRowFunction="custom" dataDxfId="176" totalsRowDxfId="175">
      <calculatedColumnFormula>SUMIF(tbl_ZESPOŁY_dane[zespół],$A5,tbl_ZESPOŁY_dane[to])</calculatedColumnFormula>
      <totalsRowFormula>AVERAGE(Tabela5[to])</totalsRowFormula>
    </tableColumn>
    <tableColumn id="13" xr3:uid="{C6A3E283-1CE4-43FD-A403-69F0215E6DA6}" name="blk" totalsRowFunction="custom" dataDxfId="174" totalsRowDxfId="173">
      <calculatedColumnFormula>SUMIF(tbl_ZESPOŁY_dane[zespół],$A5,tbl_ZESPOŁY_dane[blk])</calculatedColumnFormula>
      <totalsRowFormula>AVERAGE(Tabela5[blk])</totalsRowFormula>
    </tableColumn>
    <tableColumn id="14" xr3:uid="{6E0E2EB4-7354-4F9C-87A2-2C7C944AE1DC}" name="asst" totalsRowFunction="custom" dataDxfId="172" totalsRowDxfId="171">
      <calculatedColumnFormula>SUMIF(tbl_ZESPOŁY_dane[zespół],$A5,tbl_ZESPOŁY_dane[asst])</calculatedColumnFormula>
      <totalsRowFormula>AVERAGE(Tabela5[asst])</totalsRowFormula>
    </tableColumn>
    <tableColumn id="15" xr3:uid="{CE988FC1-EDCE-457C-BF04-EEFC01D1D8BE}" name="min" totalsRowFunction="custom" dataDxfId="170" totalsRowDxfId="169">
      <calculatedColumnFormula>SUMIF(tbl_ZESPOŁY_dane[zespół],$A5,tbl_ZESPOŁY_dane[min])</calculatedColumnFormula>
      <totalsRowFormula>AVERAGE(Tabela5[min])</totalsRowFormula>
    </tableColumn>
    <tableColumn id="16" xr3:uid="{CF79B96B-C965-45C8-B0EA-3258CE94D4B9}" name="pts" totalsRowFunction="custom" dataDxfId="168" totalsRowDxfId="167">
      <calculatedColumnFormula>SUMIF(tbl_ZESPOŁY_dane[zespół],$A5,tbl_ZESPOŁY_dane[pts])</calculatedColumnFormula>
      <totalsRowFormula>AVERAGE(Tabela5[pts])</totalsRowFormula>
    </tableColumn>
    <tableColumn id="17" xr3:uid="{F2158A0E-2A23-4D74-B7CD-186642DC727A}" name="reb total" totalsRowFunction="custom" dataDxfId="166" totalsRowDxfId="165">
      <calculatedColumnFormula>Tabela5[[#This Row],[oreb]]+Tabela5[[#This Row],[dreb]]</calculatedColumnFormula>
      <totalsRowFormula>AVERAGE(Tabela5[reb total])</totalsRowFormula>
    </tableColumn>
    <tableColumn id="18" xr3:uid="{12DCFF54-DA51-4BE9-BE56-0A85CB0191C2}" name="fg%" totalsRowFunction="custom" totalsRowDxfId="164" dataCellStyle="Procentowy">
      <calculatedColumnFormula>Tabela5[[#This Row],[fgm]]/Tabela5[[#This Row],[fga]]</calculatedColumnFormula>
      <totalsRowFormula>AVERAGE(Tabela5[fg%])</totalsRowFormula>
    </tableColumn>
    <tableColumn id="19" xr3:uid="{04A46D1C-C025-45C1-8B9C-7F9DCE9A358E}" name="3p%" totalsRowFunction="custom" dataDxfId="163" totalsRowDxfId="162" dataCellStyle="Procentowy">
      <calculatedColumnFormula>Tabela5[[#This Row],[3pm]]/Tabela5[[#This Row],[3pa]]</calculatedColumnFormula>
      <totalsRowFormula>AVERAGE(Tabela5[3p%])</totalsRowFormula>
    </tableColumn>
    <tableColumn id="20" xr3:uid="{BA390970-DF11-4355-A3F1-C5F32FA5719F}" name="ft%" totalsRowFunction="custom" dataDxfId="161" totalsRowDxfId="160" dataCellStyle="Procentowy">
      <calculatedColumnFormula>Tabela5[[#This Row],[ftm]]/Tabela5[[#This Row],[fta]]</calculatedColumnFormula>
      <totalsRowFormula>AVERAGE(Tabela5[ft%])</totalsRowFormula>
    </tableColumn>
    <tableColumn id="21" xr3:uid="{9F7D8B1C-EB2A-4A21-BC98-7693BB3210FD}" name="TS%" totalsRowFunction="custom" dataDxfId="159" totalsRowDxfId="158" dataCellStyle="Procentowy">
      <calculatedColumnFormula>T5/(2*(G5+0.44*K5))</calculatedColumnFormula>
      <totalsRowFormula>AVERAGE(Tabela5[TS%])</totalsRowFormula>
    </tableColumn>
    <tableColumn id="22" xr3:uid="{5E34121C-6060-4D72-A741-FA00CCA8CFDE}" name="eFG%" totalsRowFunction="custom" totalsRowDxfId="157" dataCellStyle="Procentowy">
      <calculatedColumnFormula>(F5+0.5*H5)/G5</calculatedColumnFormula>
      <totalsRowFormula>AVERAGE(Tabela5[eFG%])</totalsRowFormula>
    </tableColumn>
    <tableColumn id="23" xr3:uid="{129BDF26-AC36-479F-AFB1-27DD9FC64B96}" name="eval (bez strat)" totalsRowFunction="custom" dataDxfId="156" totalsRowDxfId="155">
      <calculatedColumnFormula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calculatedColumnFormula>
      <totalsRowFormula>AVERAGE(Tabela5[eval (bez strat)])</totalsRowFormula>
    </tableColumn>
    <tableColumn id="24" xr3:uid="{32D0E57E-16F4-4724-9B8F-C3C62AE7EA1F}" name="FTr" totalsRowFunction="custom" totalsRowDxfId="154" dataCellStyle="Procentowy">
      <calculatedColumnFormula>K5/G5</calculatedColumnFormula>
      <totalsRowFormula>AVERAGE(Tabela5[FTr])</totalsRowFormula>
    </tableColumn>
    <tableColumn id="25" xr3:uid="{D75F4924-EC0C-4D75-A486-B56442F589D9}" name="3PAr " totalsRowFunction="custom" dataDxfId="153" totalsRowDxfId="152" dataCellStyle="Procentowy">
      <calculatedColumnFormula>I5/G5</calculatedColumnFormula>
      <totalsRowFormula>AVERAGE(Tabela5[[3PAr ]])</totalsRowFormula>
    </tableColumn>
    <tableColumn id="26" xr3:uid="{768A52E0-D3C3-478B-8238-A4338381653C}" name="Poss" totalsRowFunction="custom" dataDxfId="151" totalsRowDxfId="150">
      <calculatedColumnFormula>(Tabela5[[#This Row],[fga]]+0.44*Tabela5[[#This Row],[fta]]-Tabela5[[#This Row],[oreb]])/Tabela5[[#This Row],[Played]]</calculatedColumnFormula>
      <totalsRowFormula>AVERAGE(Tabela5[Poss])</totalsRowFormula>
    </tableColumn>
    <tableColumn id="27" xr3:uid="{CDD88BF3-A6A3-4614-9189-92C1B32D41B3}" name="Pace" totalsRowFunction="custom" dataDxfId="149" totalsRowDxfId="148">
      <calculatedColumnFormula>(SUMIF(tbl_ZESPOŁY_dane[zespół],Tabela5[[#This Row],[zespół]],tbl_ZESPOŁY_dane[Pace]))/Tabela5[[#This Row],[Played]]</calculatedColumnFormula>
      <totalsRowFormula>AVERAGE(Tabela5[Pace])</totalsRowFormula>
    </tableColumn>
    <tableColumn id="28" xr3:uid="{296B8853-40CD-44E7-848B-BE6729E5A033}" name="Orating" totalsRowFunction="custom" dataDxfId="147" totalsRowDxfId="146">
      <calculatedColumnFormula>(Tabela5[[#This Row],[pts]]/Tabela5[[#This Row],[Poss]]*100)/Tabela5[[#This Row],[Played]]</calculatedColumnFormula>
      <totalsRowFormula>AVERAGE(Tabela5[Orating])</totalsRowFormula>
    </tableColumn>
    <tableColumn id="29" xr3:uid="{F4CC5CC7-3030-4481-BE1E-972CB02A52FE}" name="Drating" totalsRowFunction="custom" dataDxfId="145" totalsRowDxfId="144">
      <calculatedColumnFormula>(SUMIFS(tbl_ZESPOŁY_dane[Drating],tbl_ZESPOŁY_dane[zespół],Tabela5[[#This Row],[zespół]],tbl_ZESPOŁY_dane[played?],1))/Tabela5[[#This Row],[Played]]</calculatedColumnFormula>
      <totalsRowFormula>AVERAGE(Tabela5[Drating])</totalsRowFormula>
    </tableColumn>
    <tableColumn id="30" xr3:uid="{574727EE-D1BC-4CFE-BB45-086A1C5ECCE1}" name="Net RTG" totalsRowFunction="custom" dataDxfId="143" totalsRowDxfId="142">
      <calculatedColumnFormula>Tabela5[[#This Row],[Orating]]-Tabela5[[#This Row],[Drating]]</calculatedColumnFormula>
      <totalsRowFormula>AVERAGE(Tabela5[Net RTG])</totalsRowFormula>
    </tableColumn>
    <tableColumn id="31" xr3:uid="{9B6F495C-2327-4C0D-B169-16FCC18B287A}" name="Points per Shot" totalsRowFunction="custom" dataDxfId="141" totalsRowDxfId="140">
      <calculatedColumnFormula>T5/G5</calculatedColumnFormula>
      <totalsRowFormula>AVERAGE(Tabela5[Points per Shot])</totalsRowFormula>
    </tableColumn>
    <tableColumn id="32" xr3:uid="{43341343-8FE9-4886-8581-B8178D76188A}" name="AST%" totalsRowFunction="custom" totalsRowDxfId="139" dataCellStyle="Procentowy">
      <calculatedColumnFormula>Tabela5[[#This Row],[asst]]/Tabela5[[#This Row],[fgm]]</calculatedColumnFormula>
      <totalsRowFormula>AVERAGE(Tabela5[AST%])</totalsRowFormula>
    </tableColumn>
    <tableColumn id="33" xr3:uid="{BAFCC340-24A8-4C9B-B9B1-BF26B40760D2}" name="ASTR" totalsRowFunction="custom" dataDxfId="138" totalsRowDxfId="137">
      <calculatedColumnFormula>Tabela5[[#This Row],[asst]]/Tabela5[[#This Row],[Poss]]*100</calculatedColumnFormula>
      <totalsRowFormula>AVERAGE(Tabela5[ASTR])</totalsRowFormula>
    </tableColumn>
    <tableColumn id="34" xr3:uid="{17A8F755-13EE-4449-BED3-E0A23735AC55}" name="SQI" totalsRowFunction="custom" dataDxfId="136" totalsRowDxfId="135">
      <calculatedColumnFormula>(Tabela5[[#This Row],[eFG%]]*0.7+Tabela5[[#This Row],[AST%]]*0.3)*100</calculatedColumnFormula>
      <totalsRowFormula>AVERAGE(Tabela5[SQI])</totalsRowFormula>
    </tableColumn>
    <tableColumn id="35" xr3:uid="{40D75BAA-7F8D-4E7D-82CB-0F88AC2DC194}" name="ORB%" totalsRowFunction="custom" totalsRowDxfId="134" dataCellStyle="Procentowy">
      <calculatedColumnFormula>Tabela5[[#This Row],[oreb]]/(Tabela5[[#This Row],[oreb]]+SUMIF(tbl_ZESPOŁY_dane[przeciwnik],Tabela5[[#This Row],[zespół]],tbl_ZESPOŁY_dane[dreb]))</calculatedColumnFormula>
      <totalsRowFormula>AVERAGE(Tabela5[ORB%])</totalsRowFormula>
    </tableColumn>
    <tableColumn id="36" xr3:uid="{ED994697-7FAB-4AF2-8589-973079909F23}" name="DRB%" totalsRowFunction="custom" totalsRowDxfId="133" dataCellStyle="Procentowy">
      <calculatedColumnFormula>Tabela5[[#This Row],[dreb]]/(Tabela5[[#This Row],[dreb]]+SUMIF(tbl_ZESPOŁY_dane[przeciwnik],Tabela5[[#This Row],[zespół]],tbl_ZESPOŁY_dane[oreb]))</calculatedColumnFormula>
      <totalsRowFormula>AVERAGE(Tabela5[DRB%])</totalsRowFormula>
    </tableColumn>
    <tableColumn id="37" xr3:uid="{F72D2426-5848-4E3A-932D-6A5D8404F48D}" name="TRB%" totalsRowFunction="custom" totalsRowDxfId="132" dataCellStyle="Procentowy">
      <calculatedColumnFormula>Tabela5[[#This Row],[reb total]]/(Tabela5[[#This Row],[reb total]]+SUMIF(tbl_ZESPOŁY_dane[przeciwnik],Tabela5[[#This Row],[zespół]],tbl_ZESPOŁY_dane[reb total]))</calculatedColumnFormula>
      <totalsRowFormula>AVERAGE(Tabela5[TRB%])</totalsRowFormula>
    </tableColumn>
    <tableColumn id="38" xr3:uid="{FB0EFBAE-E8AE-4A0C-9C85-F261DD165F97}" name="RebDiff" totalsRowFunction="custom" dataDxfId="131" totalsRowDxfId="130">
      <calculatedColumnFormula>Tabela5[[#This Row],[reb total]]-SUMIF(tbl_ZESPOŁY_dane[przeciwnik],Tabela5[[#This Row],[zespół]],tbl_ZESPOŁY_dane[reb total])</calculatedColumnFormula>
      <totalsRowFormula>AVERAGE(Tabela5[RebDiff])</totalsRowFormula>
    </tableColumn>
    <tableColumn id="39" xr3:uid="{42050E72-845B-4DFC-8B77-2DB9B5F6D003}" name="OR.R" totalsRowFunction="custom" totalsRowDxfId="129" dataCellStyle="Procentowy">
      <calculatedColumnFormula>Tabela5[[#This Row],[oreb]]/(Tabela5[[#This Row],[fga]]-Tabela5[[#This Row],[fgm]])</calculatedColumnFormula>
      <totalsRowFormula>AVERAGE(Tabela5[OR.R])</totalsRowFormula>
    </tableColumn>
    <tableColumn id="40" xr3:uid="{D778F5B3-B4B1-4FD2-98AA-6456C6F3CC04}" name="RPA" totalsRowFunction="custom" dataDxfId="128" totalsRowDxfId="127">
      <calculatedColumnFormula>(Tabela5[[#This Row],[oreb]]*1.1)+(Tabela5[[#This Row],[dreb]]*0.3)</calculatedColumnFormula>
      <totalsRowFormula>AVERAGE(Tabela5[RPA])</totalsRowFormula>
    </tableColumn>
    <tableColumn id="41" xr3:uid="{C8C40F57-44C8-4317-8081-BE1291F995CF}" name="GmScore" totalsRowFunction="custom" dataDxfId="126" totalsRowDxfId="125">
      <calculatedColumnFormula>T5+0.4*F5-0.7*G5-0.4*(K5-J5)+0.7*L5+0.3*M5+O5+0.7*R5+0.7*Q5</calculatedColumnFormula>
      <totalsRowFormula>AVERAGE(Tabela5[GmScore])</totalsRowFormula>
    </tableColumn>
    <tableColumn id="46" xr3:uid="{E1C8FEDA-CCC8-4B70-A2AC-3DD7CC31201C}" name="2pAr" totalsRowFunction="custom" dataDxfId="124" totalsRowDxfId="123">
      <calculatedColumnFormula>(Tabela5[[#This Row],[fga]]-Tabela5[[#This Row],[3pa]])/Tabela5[[#This Row],[fga]]</calculatedColumnFormula>
      <totalsRowFormula>AVERAGE(Tabela5[2pAr])</totalsRowFormula>
    </tableColumn>
    <tableColumn id="47" xr3:uid="{C455EC0D-8FFA-4628-B59E-5DEE6EFCE2B0}" name="Q1" dataDxfId="122">
      <calculatedColumnFormula>SUMIF(tbl_ZESPOŁY_dane[zespół],Tabela5[[#This Row],[zespół]],tbl_ZESPOŁY_dane[Q1])</calculatedColumnFormula>
    </tableColumn>
    <tableColumn id="48" xr3:uid="{6AE1E4F7-5E0A-4A69-833F-6A44E791A6A4}" name="Q2" dataDxfId="121">
      <calculatedColumnFormula>SUMIF(tbl_ZESPOŁY_dane[zespół],Tabela5[[#This Row],[zespół]],tbl_ZESPOŁY_dane[Q2])</calculatedColumnFormula>
    </tableColumn>
    <tableColumn id="49" xr3:uid="{7BD7181F-0A48-48C3-8031-73A121C760AE}" name="Q3" dataDxfId="120">
      <calculatedColumnFormula>SUMIF(tbl_ZESPOŁY_dane[zespół],Tabela5[[#This Row],[zespół]],tbl_ZESPOŁY_dane[Q3])</calculatedColumnFormula>
    </tableColumn>
    <tableColumn id="50" xr3:uid="{6494809B-FDA1-47A4-9FC3-D82C00705D23}" name="Q4" dataDxfId="119">
      <calculatedColumnFormula>SUMIF(tbl_ZESPOŁY_dane[zespół],Tabela5[[#This Row],[zespół]],tbl_ZESPOŁY_dane[Q4])</calculatedColumnFormula>
    </tableColumn>
    <tableColumn id="51" xr3:uid="{940E1C04-EB61-40AE-9740-EFD6F026C2BF}" name="O1" dataDxfId="118">
      <calculatedColumnFormula>SUMIF(tbl_ZESPOŁY_dane[zespół],Tabela5[[#This Row],[zespół]],tbl_ZESPOŁY_dane[O1])</calculatedColumnFormula>
    </tableColumn>
    <tableColumn id="52" xr3:uid="{6E371394-7BB8-4D69-8546-9901324E922B}" name="O2" dataDxfId="117">
      <calculatedColumnFormula>SUMIF(tbl_ZESPOŁY_dane[zespół],Tabela5[[#This Row],[zespół]],tbl_ZESPOŁY_dane[O2])</calculatedColumnFormula>
    </tableColumn>
    <tableColumn id="53" xr3:uid="{0555EAD7-BB9D-4D10-9AF5-B7764D1B7610}" name="O3" dataDxfId="116">
      <calculatedColumnFormula>SUMIF(tbl_ZESPOŁY_dane[zespół],Tabela5[[#This Row],[zespół]],tbl_ZESPOŁY_dane[O3])</calculatedColumnFormula>
    </tableColumn>
    <tableColumn id="54" xr3:uid="{567D1AB8-9E4B-4221-A970-FD531B0797AC}" name="O4" dataDxfId="115">
      <calculatedColumnFormula>SUMIF(tbl_ZESPOŁY_dane[zespół],Tabela5[[#This Row],[zespół]],tbl_ZESPOŁY_dane[O4])</calculatedColumnFormula>
    </tableColumn>
    <tableColumn id="55" xr3:uid="{485C1349-955E-4CFA-9271-33CD13803B6E}" name="pts OPP" dataDxfId="114">
      <calculatedColumnFormula>Tabela5[[#This Row],[O1]]+Tabela5[[#This Row],[O2]]+Tabela5[[#This Row],[O3]]+Tabela5[[#This Row],[O4]]</calculatedColumnFormula>
    </tableColumn>
    <tableColumn id="56" xr3:uid="{977A142E-29DE-4A58-AB1E-B1F68E5E8A25}" name="%Q1" dataDxfId="113" dataCellStyle="Procentowy">
      <calculatedColumnFormula>Tabela5[[#This Row],[Q1]]/Tabela5[[#This Row],[pts]]</calculatedColumnFormula>
    </tableColumn>
    <tableColumn id="57" xr3:uid="{8B9C0D45-EE89-4EEB-B3A3-702E6D31FAC0}" name="%Q2" dataDxfId="112" dataCellStyle="Procentowy">
      <calculatedColumnFormula>Tabela5[[#This Row],[Q2]]/Tabela5[[#This Row],[pts]]</calculatedColumnFormula>
    </tableColumn>
    <tableColumn id="58" xr3:uid="{FCE04699-01CD-4BF2-8385-8AFF539A39DA}" name="%Q3" dataDxfId="111" dataCellStyle="Procentowy">
      <calculatedColumnFormula>Tabela5[[#This Row],[Q3]]/Tabela5[[#This Row],[pts]]</calculatedColumnFormula>
    </tableColumn>
    <tableColumn id="59" xr3:uid="{87F092EE-821A-40F2-AC41-4347D274B22D}" name="%Q4" dataDxfId="110" dataCellStyle="Procentowy">
      <calculatedColumnFormula>Tabela5[[#This Row],[Q4]]/Tabela5[[#This Row],[pts]]</calculatedColumnFormula>
    </tableColumn>
    <tableColumn id="60" xr3:uid="{BF539D74-839B-4F73-A06D-01983C6DEDF5}" name="%O1" dataDxfId="109" dataCellStyle="Procentowy">
      <calculatedColumnFormula>Tabela5[[#This Row],[O1]]/Tabela5[[#This Row],[pts OPP]]</calculatedColumnFormula>
    </tableColumn>
    <tableColumn id="61" xr3:uid="{ABA52E7C-7B6F-4A39-BDB0-F74684574C98}" name="%O2" dataDxfId="108" dataCellStyle="Procentowy">
      <calculatedColumnFormula>Tabela5[[#This Row],[O2]]/Tabela5[[#This Row],[pts OPP]]</calculatedColumnFormula>
    </tableColumn>
    <tableColumn id="62" xr3:uid="{A2F15814-81A5-4C29-AF87-A06C2F5A8DE9}" name="%O3" dataDxfId="107" dataCellStyle="Procentowy">
      <calculatedColumnFormula>Tabela5[[#This Row],[O3]]/Tabela5[[#This Row],[pts OPP]]</calculatedColumnFormula>
    </tableColumn>
    <tableColumn id="63" xr3:uid="{C1AEAFC1-7805-45C6-A9CD-A7915AB6A654}" name="%O4" dataDxfId="106" dataCellStyle="Procentowy">
      <calculatedColumnFormula>Tabela5[[#This Row],[O4]]/Tabela5[[#This Row],[pts OPP]]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3E3A61-3BFE-4023-9C88-EE15700B456C}" name="tbl_zespoły_średnie" displayName="tbl_zespoły_średnie" ref="A20:BK27" totalsRowCount="1" headerRowDxfId="105" headerRowBorderDxfId="104" tableBorderDxfId="103">
  <autoFilter ref="A20:BK26" xr:uid="{653E3A61-3BFE-4023-9C88-EE15700B456C}"/>
  <tableColumns count="63">
    <tableColumn id="1" xr3:uid="{5D8E4DF3-65BD-4A1C-8D81-F3875FD51896}" name="zespół" totalsRowLabel="Średnie:" dataDxfId="102" totalsRowDxfId="101"/>
    <tableColumn id="45" xr3:uid="{14FECCCE-43C5-4A11-B380-2425EEA054CA}" name="Played" dataDxfId="100" totalsRowDxfId="99">
      <calculatedColumnFormula>SUMIF(tbl_ZESPOŁY_dane[zespół],tbl_zespoły_średnie[[#This Row],[zespół]],tbl_ZESPOŁY_dane[played?])</calculatedColumnFormula>
    </tableColumn>
    <tableColumn id="44" xr3:uid="{6420A68C-29FC-4A02-98E2-A51A067FC8DB}" name="Kolumna3" dataDxfId="98" totalsRowDxfId="97"/>
    <tableColumn id="43" xr3:uid="{D5052023-213A-413D-B9B5-56ACD20AAAF9}" name="Kolumna2" dataDxfId="96" totalsRowDxfId="95"/>
    <tableColumn id="42" xr3:uid="{058612BC-569F-4853-B50C-53F868264B0B}" name="Kolumna1" dataDxfId="94" totalsRowDxfId="93"/>
    <tableColumn id="2" xr3:uid="{4A11015F-B8FB-4E77-8BE9-58BDA17C1300}" name="fgm" totalsRowFunction="custom" dataDxfId="92" totalsRowDxfId="91">
      <calculatedColumnFormula>(SUMIF(tbl_ZESPOŁY_dane[zespół],$A21,tbl_ZESPOŁY_dane[fgm]))/tbl_zespoły_średnie[[#This Row],[Played]]</calculatedColumnFormula>
      <totalsRowFormula>AVERAGE(tbl_zespoły_średnie[fgm])</totalsRowFormula>
    </tableColumn>
    <tableColumn id="3" xr3:uid="{5A0D3A5E-DA49-46B0-83FA-266D2B835AE6}" name="fga" totalsRowFunction="custom" dataDxfId="90" totalsRowDxfId="89">
      <calculatedColumnFormula>(SUMIF(tbl_ZESPOŁY_dane[zespół],$A21,tbl_ZESPOŁY_dane[fga]))/tbl_zespoły_średnie[[#This Row],[Played]]</calculatedColumnFormula>
      <totalsRowFormula>AVERAGE(tbl_zespoły_średnie[fga])</totalsRowFormula>
    </tableColumn>
    <tableColumn id="4" xr3:uid="{58F724BB-CAE0-434C-AF62-9696249024B1}" name="3pm" totalsRowFunction="custom" dataDxfId="88" totalsRowDxfId="87">
      <calculatedColumnFormula>(SUMIF(tbl_ZESPOŁY_dane[zespół],$A21,tbl_ZESPOŁY_dane[3pm]))/tbl_zespoły_średnie[[#This Row],[Played]]</calculatedColumnFormula>
      <totalsRowFormula>AVERAGE(tbl_zespoły_średnie[3pm])</totalsRowFormula>
    </tableColumn>
    <tableColumn id="5" xr3:uid="{4A986C09-F3D5-43BF-8E55-DF254FFD57C0}" name="3pa" totalsRowFunction="custom" dataDxfId="86" totalsRowDxfId="85">
      <calculatedColumnFormula>SUMIF(tbl_ZESPOŁY_dane[zespół],$A21,tbl_ZESPOŁY_dane[3pa])/tbl_zespoły_średnie[[#This Row],[Played]]</calculatedColumnFormula>
      <totalsRowFormula>AVERAGE(tbl_zespoły_średnie[3pa])</totalsRowFormula>
    </tableColumn>
    <tableColumn id="6" xr3:uid="{C0DEE43C-E5E9-48B6-9F0E-1A49A7C425CE}" name="ftm" totalsRowFunction="custom" dataDxfId="84" totalsRowDxfId="83">
      <calculatedColumnFormula>SUMIF(tbl_ZESPOŁY_dane[zespół],$A21,tbl_ZESPOŁY_dane[ftm])/tbl_zespoły_średnie[[#This Row],[Played]]</calculatedColumnFormula>
      <totalsRowFormula>AVERAGE(tbl_zespoły_średnie[ftm])</totalsRowFormula>
    </tableColumn>
    <tableColumn id="7" xr3:uid="{49DA91DF-6FC7-4A5F-9588-B3390F55B447}" name="fta" totalsRowFunction="custom" dataDxfId="82" totalsRowDxfId="81">
      <calculatedColumnFormula>SUMIF(tbl_ZESPOŁY_dane[zespół],$A21,tbl_ZESPOŁY_dane[fta])/tbl_zespoły_średnie[[#This Row],[Played]]</calculatedColumnFormula>
      <totalsRowFormula>AVERAGE(tbl_zespoły_średnie[fta])</totalsRowFormula>
    </tableColumn>
    <tableColumn id="8" xr3:uid="{986EA7C9-2764-4C5B-AD22-04113FB57683}" name="oreb" totalsRowFunction="custom" dataDxfId="80" totalsRowDxfId="79">
      <calculatedColumnFormula>SUMIF(tbl_ZESPOŁY_dane[zespół],$A21,tbl_ZESPOŁY_dane[oreb])/tbl_zespoły_średnie[[#This Row],[Played]]</calculatedColumnFormula>
      <totalsRowFormula>AVERAGE(tbl_zespoły_średnie[oreb])</totalsRowFormula>
    </tableColumn>
    <tableColumn id="9" xr3:uid="{DC61E5AB-92C1-44B7-84A7-D95B3891D40E}" name="dreb" totalsRowFunction="custom" dataDxfId="78" totalsRowDxfId="77">
      <calculatedColumnFormula>SUMIF(tbl_ZESPOŁY_dane[zespół],$A21,tbl_ZESPOŁY_dane[dreb])/tbl_zespoły_średnie[[#This Row],[Played]]</calculatedColumnFormula>
      <totalsRowFormula>AVERAGE(tbl_zespoły_średnie[dreb])</totalsRowFormula>
    </tableColumn>
    <tableColumn id="10" xr3:uid="{2E46E254-D349-4C4D-B0E4-B921919BE55D}" name="foul" totalsRowFunction="custom" dataDxfId="76" totalsRowDxfId="75">
      <calculatedColumnFormula>SUMIF(tbl_ZESPOŁY_dane[zespół],$A21,tbl_ZESPOŁY_dane[foul])/tbl_zespoły_średnie[[#This Row],[Played]]</calculatedColumnFormula>
      <totalsRowFormula>AVERAGE(tbl_zespoły_średnie[foul])</totalsRowFormula>
    </tableColumn>
    <tableColumn id="11" xr3:uid="{F3F50BAC-C494-4D8C-AA95-D5ADED5CD6CF}" name="stl" totalsRowFunction="custom" dataDxfId="74" totalsRowDxfId="73">
      <calculatedColumnFormula>SUMIF(tbl_ZESPOŁY_dane[zespół],$A21,tbl_ZESPOŁY_dane[stl])/tbl_zespoły_średnie[[#This Row],[Played]]</calculatedColumnFormula>
      <totalsRowFormula>AVERAGE(tbl_zespoły_średnie[stl])</totalsRowFormula>
    </tableColumn>
    <tableColumn id="12" xr3:uid="{CE5EE242-3F42-4DD8-920F-2C2A25A3B825}" name="to" totalsRowFunction="custom" dataDxfId="72" totalsRowDxfId="71">
      <calculatedColumnFormula>SUMIF(tbl_ZESPOŁY_dane[zespół],$A21,tbl_ZESPOŁY_dane[to])/tbl_zespoły_średnie[[#This Row],[Played]]</calculatedColumnFormula>
      <totalsRowFormula>AVERAGE(tbl_zespoły_średnie[to])</totalsRowFormula>
    </tableColumn>
    <tableColumn id="13" xr3:uid="{20A9C725-997E-4EA4-AE4B-AF47B7734EE4}" name="blk" totalsRowFunction="custom" dataDxfId="70" totalsRowDxfId="69">
      <calculatedColumnFormula>SUMIF(tbl_ZESPOŁY_dane[zespół],$A21,tbl_ZESPOŁY_dane[blk])/tbl_zespoły_średnie[[#This Row],[Played]]</calculatedColumnFormula>
      <totalsRowFormula>AVERAGE(tbl_zespoły_średnie[blk])</totalsRowFormula>
    </tableColumn>
    <tableColumn id="14" xr3:uid="{CE236AEC-1BB7-45F8-8742-1B22189F6117}" name="asst" totalsRowFunction="custom" dataDxfId="68" totalsRowDxfId="67">
      <calculatedColumnFormula>SUMIF(tbl_ZESPOŁY_dane[zespół],$A21,tbl_ZESPOŁY_dane[asst])/tbl_zespoły_średnie[[#This Row],[Played]]</calculatedColumnFormula>
      <totalsRowFormula>AVERAGE(tbl_zespoły_średnie[asst])</totalsRowFormula>
    </tableColumn>
    <tableColumn id="15" xr3:uid="{E298F520-A8B6-4889-9FDD-CC5EAB4418A6}" name="min" totalsRowFunction="custom" dataDxfId="66" totalsRowDxfId="65">
      <calculatedColumnFormula>SUMIF(tbl_ZESPOŁY_dane[zespół],$A21,tbl_ZESPOŁY_dane[min])/tbl_zespoły_średnie[[#This Row],[Played]]</calculatedColumnFormula>
      <totalsRowFormula>AVERAGE(tbl_zespoły_średnie[min])</totalsRowFormula>
    </tableColumn>
    <tableColumn id="16" xr3:uid="{671054ED-2DEF-4EF2-A653-B607261F971D}" name="pts" totalsRowFunction="custom" dataDxfId="64" totalsRowDxfId="63">
      <calculatedColumnFormula>SUMIF(tbl_ZESPOŁY_dane[zespół],$A21,tbl_ZESPOŁY_dane[pts])/tbl_zespoły_średnie[[#This Row],[Played]]</calculatedColumnFormula>
      <totalsRowFormula>AVERAGE(tbl_zespoły_średnie[pts])</totalsRowFormula>
    </tableColumn>
    <tableColumn id="17" xr3:uid="{9E193502-2D89-4976-9604-1956C9630451}" name="reb total" totalsRowFunction="custom" dataDxfId="62" totalsRowDxfId="61">
      <calculatedColumnFormula>(tbl_zespoły_średnie[[#This Row],[oreb]]+tbl_zespoły_średnie[[#This Row],[dreb]])</calculatedColumnFormula>
      <totalsRowFormula>AVERAGE(tbl_zespoły_średnie[reb total])</totalsRowFormula>
    </tableColumn>
    <tableColumn id="18" xr3:uid="{2191A0C8-D263-42E2-B0AB-C989E92DBB7C}" name="fg%" totalsRowFunction="custom" totalsRowDxfId="60" dataCellStyle="Procentowy">
      <calculatedColumnFormula>tbl_zespoły_średnie[[#This Row],[fgm]]/tbl_zespoły_średnie[[#This Row],[fga]]</calculatedColumnFormula>
      <totalsRowFormula>AVERAGE(tbl_zespoły_średnie[fg%])</totalsRowFormula>
    </tableColumn>
    <tableColumn id="19" xr3:uid="{A9ACB521-7353-4432-9305-4961BB531141}" name="3p%" totalsRowFunction="custom" dataDxfId="59" totalsRowDxfId="58" dataCellStyle="Procentowy">
      <calculatedColumnFormula>tbl_zespoły_średnie[[#This Row],[3pm]]/tbl_zespoły_średnie[[#This Row],[3pa]]</calculatedColumnFormula>
      <totalsRowFormula>AVERAGE(tbl_zespoły_średnie[3p%])</totalsRowFormula>
    </tableColumn>
    <tableColumn id="20" xr3:uid="{426484CB-8AB6-4988-963A-8D95F2958068}" name="ft%" totalsRowFunction="custom" dataDxfId="57" totalsRowDxfId="56" dataCellStyle="Procentowy">
      <calculatedColumnFormula>tbl_zespoły_średnie[[#This Row],[ftm]]/tbl_zespoły_średnie[[#This Row],[fta]]</calculatedColumnFormula>
      <totalsRowFormula>AVERAGE(tbl_zespoły_średnie[ft%])</totalsRowFormula>
    </tableColumn>
    <tableColumn id="21" xr3:uid="{AB0E726A-AE35-46DF-B639-022C0FDD61F3}" name="TS%" totalsRowFunction="custom" dataDxfId="55" totalsRowDxfId="54" dataCellStyle="Procentowy">
      <calculatedColumnFormula>T21/(2*(G21+0.44*K21))</calculatedColumnFormula>
      <totalsRowFormula>AVERAGE(tbl_zespoły_średnie[TS%])</totalsRowFormula>
    </tableColumn>
    <tableColumn id="22" xr3:uid="{E427B89B-01E9-4196-A146-81D5118D9EAA}" name="eFG%" totalsRowFunction="custom" totalsRowDxfId="53" dataCellStyle="Procentowy">
      <calculatedColumnFormula>(F21+0.5*H21)/G21</calculatedColumnFormula>
      <totalsRowFormula>AVERAGE(tbl_zespoły_średnie[eFG%])</totalsRowFormula>
    </tableColumn>
    <tableColumn id="23" xr3:uid="{7976CC52-D519-4D4A-AB81-6D8B2656A79C}" name="eval (bez strat)" totalsRowFunction="custom" dataDxfId="52" totalsRowDxfId="51">
      <calculatedColumnFormula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calculatedColumnFormula>
      <totalsRowFormula>AVERAGE(tbl_zespoły_średnie[eval (bez strat)])</totalsRowFormula>
    </tableColumn>
    <tableColumn id="24" xr3:uid="{0106D874-062D-40C4-B75C-2B57C31BA2C5}" name="FTr" totalsRowFunction="custom" totalsRowDxfId="50" dataCellStyle="Procentowy">
      <calculatedColumnFormula>K21/G21</calculatedColumnFormula>
      <totalsRowFormula>AVERAGE(tbl_zespoły_średnie[FTr])</totalsRowFormula>
    </tableColumn>
    <tableColumn id="25" xr3:uid="{C9B0B006-99BF-43C1-9043-4BE6E09C9AFE}" name="3PAr " totalsRowFunction="custom" dataDxfId="49" totalsRowDxfId="48" dataCellStyle="Procentowy">
      <calculatedColumnFormula>I21/G21</calculatedColumnFormula>
      <totalsRowFormula>AVERAGE(tbl_zespoły_średnie[[3PAr ]])</totalsRowFormula>
    </tableColumn>
    <tableColumn id="26" xr3:uid="{1BAAD525-15BA-448D-AA3D-A5D2CC6AFF08}" name="Poss" totalsRowFunction="custom" dataDxfId="47" totalsRowDxfId="46">
      <calculatedColumnFormula>tbl_zespoły_średnie[[#This Row],[fga]]+0.44*tbl_zespoły_średnie[[#This Row],[fta]]-tbl_zespoły_średnie[[#This Row],[oreb]]</calculatedColumnFormula>
      <totalsRowFormula>AVERAGE(tbl_zespoły_średnie[Poss])</totalsRowFormula>
    </tableColumn>
    <tableColumn id="27" xr3:uid="{FCB50E82-E0DD-41B6-B518-F5037496235C}" name="Pace" totalsRowFunction="custom" dataDxfId="45" totalsRowDxfId="44">
      <calculatedColumnFormula>(SUMIF(tbl_ZESPOŁY_dane[zespół],tbl_zespoły_średnie[[#This Row],[zespół]],tbl_ZESPOŁY_dane[Pace]))/tbl_zespoły_średnie[[#This Row],[Played]]</calculatedColumnFormula>
      <totalsRowFormula>AVERAGE(tbl_zespoły_średnie[Pace])</totalsRowFormula>
    </tableColumn>
    <tableColumn id="28" xr3:uid="{4449E3B4-C6C7-4760-908E-CE77A2234F91}" name="Orating" totalsRowFunction="custom" dataDxfId="43" totalsRowDxfId="42">
      <calculatedColumnFormula>tbl_zespoły_średnie[[#This Row],[pts]]/tbl_zespoły_średnie[[#This Row],[Poss]]*100</calculatedColumnFormula>
      <totalsRowFormula>AVERAGE(tbl_zespoły_średnie[Orating])</totalsRowFormula>
    </tableColumn>
    <tableColumn id="29" xr3:uid="{47DD1CB5-3933-42E3-A7B1-79A2F3ABC8EF}" name="Drating" totalsRowFunction="custom" dataDxfId="41" totalsRowDxfId="40">
      <calculatedColumnFormula>AG5</calculatedColumnFormula>
      <totalsRowFormula>AVERAGE(tbl_zespoły_średnie[Drating])</totalsRowFormula>
    </tableColumn>
    <tableColumn id="30" xr3:uid="{B683408B-93D8-4873-B665-5A9CE1483717}" name="Net RTG" totalsRowFunction="custom" dataDxfId="39" totalsRowDxfId="38">
      <calculatedColumnFormula>tbl_zespoły_średnie[[#This Row],[Orating]]-tbl_zespoły_średnie[[#This Row],[Drating]]</calculatedColumnFormula>
      <totalsRowFormula>AVERAGE(tbl_zespoły_średnie[Net RTG])</totalsRowFormula>
    </tableColumn>
    <tableColumn id="31" xr3:uid="{BE954647-40C8-4282-B132-7548DD80D28D}" name="Points per Shot" totalsRowFunction="custom" dataDxfId="37" totalsRowDxfId="36">
      <calculatedColumnFormula>T21/G21</calculatedColumnFormula>
      <totalsRowFormula>AVERAGE(tbl_zespoły_średnie[Points per Shot])</totalsRowFormula>
    </tableColumn>
    <tableColumn id="32" xr3:uid="{15B3AFC6-70EB-43A8-B5EC-8FED68C111B2}" name="AST%" totalsRowFunction="custom" totalsRowDxfId="35" dataCellStyle="Procentowy">
      <calculatedColumnFormula>tbl_zespoły_średnie[[#This Row],[asst]]/tbl_zespoły_średnie[[#This Row],[fgm]]</calculatedColumnFormula>
      <totalsRowFormula>AVERAGE(tbl_zespoły_średnie[AST%])</totalsRowFormula>
    </tableColumn>
    <tableColumn id="33" xr3:uid="{F0823542-3720-46F4-B476-48193858DD6A}" name="ASTR" totalsRowFunction="custom" dataDxfId="34" totalsRowDxfId="33">
      <calculatedColumnFormula>tbl_zespoły_średnie[[#This Row],[asst]]/tbl_zespoły_średnie[[#This Row],[Poss]]*100</calculatedColumnFormula>
      <totalsRowFormula>AVERAGE(tbl_zespoły_średnie[ASTR])</totalsRowFormula>
    </tableColumn>
    <tableColumn id="34" xr3:uid="{AD87F91B-553E-4483-AC49-F93EA02B7CBC}" name="SQI" totalsRowFunction="custom" dataDxfId="32" totalsRowDxfId="31">
      <calculatedColumnFormula>(tbl_zespoły_średnie[[#This Row],[eFG%]]*0.7+tbl_zespoły_średnie[[#This Row],[AST%]]*0.3)*100</calculatedColumnFormula>
      <totalsRowFormula>AVERAGE(tbl_zespoły_średnie[SQI])</totalsRowFormula>
    </tableColumn>
    <tableColumn id="35" xr3:uid="{665D3C65-A7CC-4E01-A724-D137189128D1}" name="ORB%" totalsRowFunction="custom" dataDxfId="30" totalsRowDxfId="29" dataCellStyle="Procentowy">
      <calculatedColumnFormula>AM5</calculatedColumnFormula>
      <totalsRowFormula>AVERAGE(tbl_zespoły_średnie[ORB%])</totalsRowFormula>
    </tableColumn>
    <tableColumn id="36" xr3:uid="{22873693-7C9F-4D47-8443-49D7C3442287}" name="DRB%" totalsRowFunction="custom" dataDxfId="28" totalsRowDxfId="27" dataCellStyle="Procentowy">
      <calculatedColumnFormula>AN5</calculatedColumnFormula>
      <totalsRowFormula>AVERAGE(tbl_zespoły_średnie[DRB%])</totalsRowFormula>
    </tableColumn>
    <tableColumn id="37" xr3:uid="{4465B58E-FA6E-4EC1-9B47-313134099B71}" name="TRB%" totalsRowFunction="custom" dataDxfId="26" totalsRowDxfId="25" dataCellStyle="Procentowy">
      <calculatedColumnFormula>AO5</calculatedColumnFormula>
      <totalsRowFormula>AVERAGE(tbl_zespoły_średnie[TRB%])</totalsRowFormula>
    </tableColumn>
    <tableColumn id="38" xr3:uid="{DFA80796-9049-4358-A04B-8703EF3FCEDB}" name="RebDiff" totalsRowFunction="custom" dataDxfId="24" totalsRowDxfId="23">
      <calculatedColumnFormula>SUMIFS(tbl_ZESPOŁY_dane[RebDiff],tbl_ZESPOŁY_dane[zespół],tbl_zespoły_średnie[[#This Row],[zespół]])</calculatedColumnFormula>
      <totalsRowFormula>AVERAGE(tbl_zespoły_średnie[RebDiff])</totalsRowFormula>
    </tableColumn>
    <tableColumn id="39" xr3:uid="{712411ED-C360-4A8D-902D-4356443A5022}" name="OR.R" totalsRowFunction="custom" totalsRowDxfId="22" dataCellStyle="Procentowy">
      <calculatedColumnFormula>tbl_zespoły_średnie[[#This Row],[oreb]]/(tbl_zespoły_średnie[[#This Row],[fga]]-tbl_zespoły_średnie[[#This Row],[fgm]])</calculatedColumnFormula>
      <totalsRowFormula>AVERAGE(tbl_zespoły_średnie[OR.R])</totalsRowFormula>
    </tableColumn>
    <tableColumn id="40" xr3:uid="{6AF2F144-6005-47AC-B74A-B84DD20B7B16}" name="RPA" totalsRowFunction="custom" dataDxfId="21" totalsRowDxfId="20">
      <calculatedColumnFormula>(tbl_zespoły_średnie[[#This Row],[oreb]]*1.1)+(tbl_zespoły_średnie[[#This Row],[dreb]]*0.3)</calculatedColumnFormula>
      <totalsRowFormula>AVERAGE(tbl_zespoły_średnie[RPA])</totalsRowFormula>
    </tableColumn>
    <tableColumn id="41" xr3:uid="{676B599D-084A-47C0-873A-2E81A733013D}" name="GmScore" totalsRowFunction="custom" dataDxfId="19" totalsRowDxfId="18">
      <calculatedColumnFormula>T21+0.4*F21-0.7*G21-0.4*(K21-J21)+0.7*L21+0.3*M21+O21+0.7*R21+0.7*Q21</calculatedColumnFormula>
      <totalsRowFormula>AVERAGE(tbl_zespoły_średnie[GmScore])</totalsRowFormula>
    </tableColumn>
    <tableColumn id="46" xr3:uid="{2738B27A-D3A5-424D-B73A-B106E6B261E7}" name="2pAr" totalsRowFunction="custom" totalsRowDxfId="17" dataCellStyle="Procentowy">
      <calculatedColumnFormula>(tbl_zespoły_średnie[[#This Row],[fga]]-tbl_zespoły_średnie[[#This Row],[3pa]])/tbl_zespoły_średnie[[#This Row],[fga]]</calculatedColumnFormula>
      <totalsRowFormula>AVERAGE(tbl_zespoły_średnie[2pAr])</totalsRowFormula>
    </tableColumn>
    <tableColumn id="47" xr3:uid="{90FF36CD-9DE4-4F0D-BDCF-88EB2E3D7BFA}" name="Q1" dataDxfId="16">
      <calculatedColumnFormula>SUMIF(tbl_ZESPOŁY_dane[zespół],tbl_zespoły_średnie[[#This Row],[zespół]],tbl_ZESPOŁY_dane[Q1])/tbl_zespoły_średnie[[#This Row],[Played]]</calculatedColumnFormula>
    </tableColumn>
    <tableColumn id="48" xr3:uid="{BE938373-7927-42BB-96E2-D4FCFCA6885F}" name="Q2" dataDxfId="15">
      <calculatedColumnFormula>SUMIF(tbl_ZESPOŁY_dane[zespół],tbl_zespoły_średnie[[#This Row],[zespół]],tbl_ZESPOŁY_dane[Q2])/tbl_zespoły_średnie[[#This Row],[Played]]</calculatedColumnFormula>
    </tableColumn>
    <tableColumn id="49" xr3:uid="{425FCDF2-B08A-4A4D-A983-E82A3C2745B6}" name="Q3" dataDxfId="14">
      <calculatedColumnFormula>SUMIF(tbl_ZESPOŁY_dane[zespół],tbl_zespoły_średnie[[#This Row],[zespół]],tbl_ZESPOŁY_dane[Q3])/tbl_zespoły_średnie[[#This Row],[Played]]</calculatedColumnFormula>
    </tableColumn>
    <tableColumn id="50" xr3:uid="{8552253D-AB28-427C-ABDD-7B7C3A03EFEF}" name="Q4" dataDxfId="13">
      <calculatedColumnFormula>SUMIF(tbl_ZESPOŁY_dane[zespół],tbl_zespoły_średnie[[#This Row],[zespół]],tbl_ZESPOŁY_dane[Q4])/tbl_zespoły_średnie[[#This Row],[Played]]</calculatedColumnFormula>
    </tableColumn>
    <tableColumn id="51" xr3:uid="{2E0EB022-A5B0-4E89-8E42-A2F4467C1731}" name="O1" dataDxfId="12">
      <calculatedColumnFormula>SUMIF(tbl_ZESPOŁY_dane[zespół],tbl_zespoły_średnie[[#This Row],[zespół]],tbl_ZESPOŁY_dane[O1])/tbl_zespoły_średnie[[#This Row],[Played]]</calculatedColumnFormula>
    </tableColumn>
    <tableColumn id="52" xr3:uid="{7044D45E-EDF1-4209-B4B6-9D4613B6EEBD}" name="O2" dataDxfId="11">
      <calculatedColumnFormula>SUMIF(tbl_ZESPOŁY_dane[zespół],tbl_zespoły_średnie[[#This Row],[zespół]],tbl_ZESPOŁY_dane[O2])/tbl_zespoły_średnie[[#This Row],[Played]]</calculatedColumnFormula>
    </tableColumn>
    <tableColumn id="53" xr3:uid="{9915DE0C-250C-4A98-BC6F-B46C15278B8B}" name="O3" dataDxfId="10">
      <calculatedColumnFormula>SUMIF(tbl_ZESPOŁY_dane[zespół],tbl_zespoły_średnie[[#This Row],[zespół]],tbl_ZESPOŁY_dane[O3])/tbl_zespoły_średnie[[#This Row],[Played]]</calculatedColumnFormula>
    </tableColumn>
    <tableColumn id="54" xr3:uid="{69C5D16F-8771-4EB3-A032-9990F4FE345F}" name="O4" dataDxfId="9">
      <calculatedColumnFormula>SUMIF(tbl_ZESPOŁY_dane[zespół],tbl_zespoły_średnie[[#This Row],[zespół]],tbl_ZESPOŁY_dane[O4])/tbl_zespoły_średnie[[#This Row],[Played]]</calculatedColumnFormula>
    </tableColumn>
    <tableColumn id="55" xr3:uid="{C2E2F1ED-16B7-481D-BA6C-5C7395430E9E}" name="pts OPP" dataDxfId="8">
      <calculatedColumnFormula>BC5/tbl_zespoły_średnie[[#This Row],[Played]]</calculatedColumnFormula>
    </tableColumn>
    <tableColumn id="56" xr3:uid="{1958ED9C-D249-4865-AE51-F9D8F149FEA0}" name="%Q1" dataDxfId="7">
      <calculatedColumnFormula>BD5</calculatedColumnFormula>
    </tableColumn>
    <tableColumn id="57" xr3:uid="{1031CB75-A33B-44C9-97CE-00B13707B1A1}" name="%Q2" dataDxfId="6">
      <calculatedColumnFormula>BE5</calculatedColumnFormula>
    </tableColumn>
    <tableColumn id="58" xr3:uid="{40987C53-7F6A-437D-B8E7-B2C7DCECA575}" name="%Q3" dataDxfId="5">
      <calculatedColumnFormula>BF5</calculatedColumnFormula>
    </tableColumn>
    <tableColumn id="59" xr3:uid="{E008A76F-0CB3-45C8-BC9A-398A21ADBC38}" name="%Q4" dataDxfId="4">
      <calculatedColumnFormula>BG5</calculatedColumnFormula>
    </tableColumn>
    <tableColumn id="60" xr3:uid="{9536C13D-D35F-46C7-8ECE-8D24B25F1F5E}" name="%O1" dataDxfId="3">
      <calculatedColumnFormula>BH5</calculatedColumnFormula>
    </tableColumn>
    <tableColumn id="61" xr3:uid="{5EE4BBE4-71C0-40DB-AD17-5F058A852B20}" name="%O2" dataDxfId="2">
      <calculatedColumnFormula>BI5</calculatedColumnFormula>
    </tableColumn>
    <tableColumn id="62" xr3:uid="{4F1B01A2-E5A2-43D2-99B6-BF72BB028C06}" name="%O3" dataDxfId="1">
      <calculatedColumnFormula>BJ5</calculatedColumnFormula>
    </tableColumn>
    <tableColumn id="63" xr3:uid="{AFA641C6-DBBA-4FAB-87B2-62CBA282F7B0}" name="%O4" dataDxfId="0">
      <calculatedColumnFormula>BK5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E4592-48EA-4D81-8331-18654CE48167}" name="tab_nazwy_zespołów" displayName="tab_nazwy_zespołów" ref="A2:B8" totalsRowShown="0">
  <autoFilter ref="A2:B8" xr:uid="{C6EE4592-48EA-4D81-8331-18654CE48167}"/>
  <tableColumns count="2">
    <tableColumn id="1" xr3:uid="{BD0B1F41-0A4B-4381-8EF5-9D687414F0D9}" name="Zespół"/>
    <tableColumn id="2" xr3:uid="{8F4BCB6C-0E1F-475E-BE72-FFE572E717D0}" name="Skró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07/relationships/slicer" Target="../slicers/slicer3.xml"/><Relationship Id="rId3" Type="http://schemas.openxmlformats.org/officeDocument/2006/relationships/pivotTable" Target="../pivotTables/pivotTable1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6.xml"/><Relationship Id="rId13" Type="http://schemas.openxmlformats.org/officeDocument/2006/relationships/drawing" Target="../drawings/drawing4.xml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12" Type="http://schemas.openxmlformats.org/officeDocument/2006/relationships/pivotTable" Target="../pivotTables/pivotTable30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11" Type="http://schemas.openxmlformats.org/officeDocument/2006/relationships/pivotTable" Target="../pivotTables/pivotTable29.xml"/><Relationship Id="rId5" Type="http://schemas.openxmlformats.org/officeDocument/2006/relationships/pivotTable" Target="../pivotTables/pivotTable23.xml"/><Relationship Id="rId10" Type="http://schemas.openxmlformats.org/officeDocument/2006/relationships/pivotTable" Target="../pivotTables/pivotTable28.xml"/><Relationship Id="rId4" Type="http://schemas.openxmlformats.org/officeDocument/2006/relationships/pivotTable" Target="../pivotTables/pivotTable22.xml"/><Relationship Id="rId9" Type="http://schemas.openxmlformats.org/officeDocument/2006/relationships/pivotTable" Target="../pivotTables/pivotTable2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8.xml"/><Relationship Id="rId3" Type="http://schemas.openxmlformats.org/officeDocument/2006/relationships/pivotTable" Target="../pivotTables/pivotTable33.xml"/><Relationship Id="rId7" Type="http://schemas.openxmlformats.org/officeDocument/2006/relationships/pivotTable" Target="../pivotTables/pivotTable37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6" Type="http://schemas.openxmlformats.org/officeDocument/2006/relationships/pivotTable" Target="../pivotTables/pivotTable36.xml"/><Relationship Id="rId5" Type="http://schemas.openxmlformats.org/officeDocument/2006/relationships/pivotTable" Target="../pivotTables/pivotTable35.xml"/><Relationship Id="rId4" Type="http://schemas.openxmlformats.org/officeDocument/2006/relationships/pivotTable" Target="../pivotTables/pivotTable34.xml"/><Relationship Id="rId9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1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40.xml"/><Relationship Id="rId1" Type="http://schemas.openxmlformats.org/officeDocument/2006/relationships/pivotTable" Target="../pivotTables/pivotTable39.xml"/><Relationship Id="rId6" Type="http://schemas.openxmlformats.org/officeDocument/2006/relationships/pivotTable" Target="../pivotTables/pivotTable44.xml"/><Relationship Id="rId5" Type="http://schemas.openxmlformats.org/officeDocument/2006/relationships/pivotTable" Target="../pivotTables/pivotTable43.xml"/><Relationship Id="rId4" Type="http://schemas.openxmlformats.org/officeDocument/2006/relationships/pivotTable" Target="../pivotTables/pivotTable4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50E8-F2FB-4D78-B200-C1A2B41FBCE1}">
  <dimension ref="A3:AW194"/>
  <sheetViews>
    <sheetView workbookViewId="0">
      <selection activeCell="G168" sqref="G168"/>
    </sheetView>
  </sheetViews>
  <sheetFormatPr defaultRowHeight="14.5" x14ac:dyDescent="0.35"/>
  <cols>
    <col min="1" max="2" width="15.54296875" bestFit="1" customWidth="1"/>
    <col min="3" max="3" width="6.08984375" customWidth="1"/>
    <col min="4" max="4" width="8.36328125" bestFit="1" customWidth="1"/>
    <col min="5" max="5" width="6.1796875" bestFit="1" customWidth="1"/>
    <col min="6" max="6" width="7.453125" customWidth="1"/>
    <col min="7" max="8" width="18.36328125" bestFit="1" customWidth="1"/>
    <col min="22" max="22" width="10.08984375" customWidth="1"/>
    <col min="23" max="25" width="8.7265625" style="4"/>
    <col min="28" max="28" width="6.54296875" customWidth="1"/>
    <col min="29" max="29" width="7.36328125" customWidth="1"/>
    <col min="30" max="30" width="7.54296875" customWidth="1"/>
    <col min="32" max="32" width="7.453125" customWidth="1"/>
    <col min="33" max="33" width="9.453125" customWidth="1"/>
    <col min="34" max="34" width="8.6328125" customWidth="1"/>
    <col min="36" max="36" width="9.6328125" customWidth="1"/>
  </cols>
  <sheetData>
    <row r="3" spans="1:49" s="27" customFormat="1" ht="31.5" x14ac:dyDescent="0.25">
      <c r="W3" s="28"/>
      <c r="X3" s="28"/>
      <c r="Y3" s="28"/>
      <c r="AM3" s="27" t="s">
        <v>111</v>
      </c>
      <c r="AN3" s="27" t="s">
        <v>108</v>
      </c>
      <c r="AO3" s="27" t="s">
        <v>109</v>
      </c>
      <c r="AQ3" s="27" t="s">
        <v>110</v>
      </c>
    </row>
    <row r="4" spans="1:49" s="8" customFormat="1" ht="58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4"/>
      <c r="X4" s="4"/>
      <c r="Y4" s="4"/>
      <c r="Z4"/>
      <c r="AA4"/>
      <c r="AE4" s="8" t="s">
        <v>67</v>
      </c>
      <c r="AF4" s="8" t="s">
        <v>61</v>
      </c>
      <c r="AG4" s="8" t="s">
        <v>63</v>
      </c>
      <c r="AI4" s="8" t="s">
        <v>119</v>
      </c>
      <c r="AJ4" s="8" t="s">
        <v>116</v>
      </c>
      <c r="AK4" s="8" t="s">
        <v>114</v>
      </c>
      <c r="AL4" s="8" t="s">
        <v>42</v>
      </c>
      <c r="AM4" s="8" t="s">
        <v>105</v>
      </c>
      <c r="AN4" s="8" t="s">
        <v>43</v>
      </c>
      <c r="AO4" s="8" t="s">
        <v>103</v>
      </c>
      <c r="AP4" s="8" t="s">
        <v>106</v>
      </c>
      <c r="AQ4" s="8" t="s">
        <v>68</v>
      </c>
    </row>
    <row r="5" spans="1:49" x14ac:dyDescent="0.35">
      <c r="A5" s="8" t="s">
        <v>38</v>
      </c>
      <c r="B5" s="8" t="s">
        <v>39</v>
      </c>
      <c r="C5" s="8" t="s">
        <v>56</v>
      </c>
      <c r="D5" s="8" t="s">
        <v>37</v>
      </c>
      <c r="E5" s="8" t="s">
        <v>36</v>
      </c>
      <c r="F5" s="8" t="s">
        <v>231</v>
      </c>
      <c r="G5" s="8" t="s">
        <v>112</v>
      </c>
      <c r="H5" s="1" t="s">
        <v>59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2</v>
      </c>
      <c r="P5" s="1" t="s">
        <v>3</v>
      </c>
      <c r="Q5" s="1" t="s">
        <v>4</v>
      </c>
      <c r="R5" s="1" t="s">
        <v>5</v>
      </c>
      <c r="S5" s="1" t="s">
        <v>6</v>
      </c>
      <c r="T5" s="1" t="s">
        <v>7</v>
      </c>
      <c r="U5" s="1" t="s">
        <v>8</v>
      </c>
      <c r="V5" s="1" t="s">
        <v>9</v>
      </c>
      <c r="W5" s="1" t="s">
        <v>10</v>
      </c>
      <c r="X5" s="1" t="s">
        <v>32</v>
      </c>
      <c r="Y5" s="3" t="s">
        <v>0</v>
      </c>
      <c r="Z5" s="3" t="s">
        <v>33</v>
      </c>
      <c r="AA5" s="3" t="s">
        <v>1</v>
      </c>
      <c r="AB5" s="3" t="s">
        <v>289</v>
      </c>
      <c r="AC5" s="3" t="s">
        <v>34</v>
      </c>
      <c r="AD5" s="3" t="s">
        <v>40</v>
      </c>
      <c r="AE5" s="3" t="s">
        <v>66</v>
      </c>
      <c r="AF5" s="3" t="s">
        <v>60</v>
      </c>
      <c r="AG5" s="3" t="s">
        <v>62</v>
      </c>
      <c r="AH5" s="3" t="s">
        <v>41</v>
      </c>
      <c r="AI5" s="3" t="s">
        <v>118</v>
      </c>
      <c r="AJ5" s="3" t="s">
        <v>117</v>
      </c>
      <c r="AK5" s="3" t="s">
        <v>115</v>
      </c>
      <c r="AL5" s="3" t="s">
        <v>65</v>
      </c>
      <c r="AM5" s="3" t="s">
        <v>104</v>
      </c>
      <c r="AN5" s="3" t="s">
        <v>101</v>
      </c>
      <c r="AO5" s="3" t="s">
        <v>102</v>
      </c>
      <c r="AP5" s="3" t="s">
        <v>107</v>
      </c>
      <c r="AQ5" s="3" t="s">
        <v>64</v>
      </c>
      <c r="AR5" s="3" t="s">
        <v>228</v>
      </c>
      <c r="AS5" s="3" t="s">
        <v>229</v>
      </c>
      <c r="AT5" s="3" t="s">
        <v>290</v>
      </c>
      <c r="AU5" s="3" t="s">
        <v>291</v>
      </c>
      <c r="AV5" s="3" t="s">
        <v>159</v>
      </c>
      <c r="AW5" s="3" t="s">
        <v>329</v>
      </c>
    </row>
    <row r="6" spans="1:49" ht="14.5" customHeight="1" x14ac:dyDescent="0.35">
      <c r="A6" t="s">
        <v>19</v>
      </c>
      <c r="B6" t="s">
        <v>25</v>
      </c>
      <c r="C6" t="s">
        <v>57</v>
      </c>
      <c r="D6" t="str">
        <f>IF(C6="H",VLOOKUP($A6,tab_nazwy_zespołów[],2,0)&amp;VLOOKUP($B6,tab_nazwy_zespołów[],2,0),VLOOKUP($B6,tab_nazwy_zespołów[],2,0)&amp;VLOOKUP($A6,tab_nazwy_zespołów[],2,0))</f>
        <v>STAHUT</v>
      </c>
      <c r="E6">
        <v>1</v>
      </c>
      <c r="F6">
        <f>COUNTIF(tbl_zawodnicy_sumy[I. Nazwisko],tbl_główna_GRACZE[[#This Row],[I. Nazwisko]])</f>
        <v>1</v>
      </c>
      <c r="G6" s="58" t="str">
        <f>RIGHT(tbl_główna_GRACZE[[#This Row],[Kolumna1]],LEN(tbl_główna_GRACZE[[#This Row],[Kolumna1]])-FIND(" ",tbl_główna_GRACZE[[#This Row],[Kolumna1]]))</f>
        <v>G. Bańkowski</v>
      </c>
      <c r="H6" s="2" t="s">
        <v>11</v>
      </c>
      <c r="I6" s="9">
        <v>10</v>
      </c>
      <c r="J6" s="9">
        <v>18</v>
      </c>
      <c r="K6" s="9">
        <v>1</v>
      </c>
      <c r="L6" s="9">
        <v>2</v>
      </c>
      <c r="M6" s="9">
        <v>0</v>
      </c>
      <c r="N6" s="9">
        <v>0</v>
      </c>
      <c r="O6" s="10">
        <v>5</v>
      </c>
      <c r="P6" s="10">
        <v>9</v>
      </c>
      <c r="Q6" s="10">
        <v>0</v>
      </c>
      <c r="R6" s="10">
        <v>0</v>
      </c>
      <c r="S6" s="10">
        <v>0</v>
      </c>
      <c r="T6" s="10">
        <v>0</v>
      </c>
      <c r="U6" s="10">
        <v>1</v>
      </c>
      <c r="V6" s="10">
        <v>29</v>
      </c>
      <c r="W6" s="10">
        <v>21</v>
      </c>
      <c r="X6" s="11">
        <f>O6+P6</f>
        <v>14</v>
      </c>
      <c r="Y6" s="4">
        <f>I6/J6</f>
        <v>0.55555555555555558</v>
      </c>
      <c r="Z6" s="4">
        <f t="shared" ref="Z6:Z37" si="0">IFERROR(K6/L6,0)</f>
        <v>0.5</v>
      </c>
      <c r="AA6" s="4">
        <f t="shared" ref="AA6:AA37" si="1">IFERROR(M6/N6,0)</f>
        <v>0</v>
      </c>
      <c r="AB6" s="4">
        <f>IFERROR(tbl_główna_GRACZE[[#This Row],[2pm]]/tbl_główna_GRACZE[[#This Row],[2pa]],0)</f>
        <v>0.5625</v>
      </c>
      <c r="AC6" s="4">
        <f>W6/(2*(J6+0.44*N6))</f>
        <v>0.58333333333333337</v>
      </c>
      <c r="AD6" s="4">
        <f>(I6+0.5*K6)/J6</f>
        <v>0.58333333333333337</v>
      </c>
      <c r="AE6" s="11">
        <f t="shared" ref="AE6:AE51" si="2">R6+T6+U6+W6+X6-(J6-I6)-(N6-M6)</f>
        <v>28</v>
      </c>
      <c r="AF6" s="4">
        <f>N6/J6</f>
        <v>0</v>
      </c>
      <c r="AG6" s="4">
        <f>L6/J6</f>
        <v>0.1111111111111111</v>
      </c>
      <c r="AH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0.25125628140703515</v>
      </c>
      <c r="AI6" s="25">
        <f>tbl_główna_GRACZE[[#This Row],[pts]]*(40/tbl_główna_GRACZE[[#This Row],[min]])</f>
        <v>28.965517241379313</v>
      </c>
      <c r="AJ6" s="30">
        <f>tbl_główna_GRACZE[[#This Row],[reb total]]*(40/tbl_główna_GRACZE[[#This Row],[min]])</f>
        <v>19.310344827586206</v>
      </c>
      <c r="AK6" s="30">
        <f>tbl_główna_GRACZE[[#This Row],[asst]]*(40/tbl_główna_GRACZE[[#This Row],[min]])</f>
        <v>1.3793103448275863</v>
      </c>
      <c r="AL6" s="5">
        <f>W6/J6</f>
        <v>1.1666666666666667</v>
      </c>
      <c r="AM6" s="5">
        <f>(tbl_główna_GRACZE[[#This Row],[stl]]+tbl_główna_GRACZE[[#This Row],[blk]])*(40/tbl_główna_GRACZE[[#This Row],[min]])</f>
        <v>0</v>
      </c>
      <c r="AN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" s="25">
        <f>tbl_główna_GRACZE[[#This Row],[stl]]+tbl_główna_GRACZE[[#This Row],[blk]]+(tbl_główna_GRACZE[[#This Row],[dreb]]*0.5)</f>
        <v>4.5</v>
      </c>
      <c r="AP6" s="29">
        <f>(tbl_główna_GRACZE[[#This Row],[stl]]+tbl_główna_GRACZE[[#This Row],[blk]]+0.5*tbl_główna_GRACZE[[#This Row],[dreb]])/tbl_główna_GRACZE[[#This Row],[min]]</f>
        <v>0.15517241379310345</v>
      </c>
      <c r="AQ6" s="6">
        <f>W6+0.4*I6-0.7*J6-0.4*(N6-M6)+0.7*O6+0.3*P6+R6+0.7*U6+0.7*T6</f>
        <v>19.3</v>
      </c>
      <c r="AR6" s="6">
        <f>tbl_główna_GRACZE[[#This Row],[GmSc]]*(40/tbl_główna_GRACZE[[#This Row],[min]])</f>
        <v>26.620689655172416</v>
      </c>
      <c r="AS6" s="6">
        <f>tbl_główna_GRACZE[[#This Row],[EVAL]]*(40/tbl_główna_GRACZE[[#This Row],[min]])</f>
        <v>38.620689655172413</v>
      </c>
      <c r="AT6" s="11">
        <f>tbl_główna_GRACZE[[#This Row],[fgm]]-tbl_główna_GRACZE[[#This Row],[3pm]]</f>
        <v>9</v>
      </c>
      <c r="AU6" s="11">
        <f>tbl_główna_GRACZE[[#This Row],[fga]]-tbl_główna_GRACZE[[#This Row],[3pa]]</f>
        <v>16</v>
      </c>
      <c r="AV6">
        <f>IF(tbl_główna_GRACZE[[#This Row],[min]]&gt;0,1,0)</f>
        <v>1</v>
      </c>
      <c r="AW6" s="58" t="str">
        <f>tbl_główna_GRACZE[[#This Row],[I. Nazwisko]]</f>
        <v>G. Bańkowski</v>
      </c>
    </row>
    <row r="7" spans="1:49" ht="14.5" customHeight="1" x14ac:dyDescent="0.35">
      <c r="A7" t="s">
        <v>19</v>
      </c>
      <c r="B7" t="s">
        <v>25</v>
      </c>
      <c r="C7" t="s">
        <v>57</v>
      </c>
      <c r="D7" t="str">
        <f>IF(C7="H",VLOOKUP($A7,tab_nazwy_zespołów[],2,0)&amp;VLOOKUP($B7,tab_nazwy_zespołów[],2,0),VLOOKUP($B7,tab_nazwy_zespołów[],2,0)&amp;VLOOKUP($A7,tab_nazwy_zespołów[],2,0))</f>
        <v>STAHUT</v>
      </c>
      <c r="E7">
        <v>1</v>
      </c>
      <c r="F7">
        <f>COUNTIF(tbl_zawodnicy_sumy[I. Nazwisko],tbl_główna_GRACZE[[#This Row],[I. Nazwisko]])</f>
        <v>1</v>
      </c>
      <c r="G7" s="58" t="str">
        <f>RIGHT(tbl_główna_GRACZE[[#This Row],[Kolumna1]],LEN(tbl_główna_GRACZE[[#This Row],[Kolumna1]])-FIND(" ",tbl_główna_GRACZE[[#This Row],[Kolumna1]]))</f>
        <v>B. Okaczuk</v>
      </c>
      <c r="H7" s="2" t="s">
        <v>12</v>
      </c>
      <c r="I7" s="9">
        <v>4</v>
      </c>
      <c r="J7" s="9">
        <v>13</v>
      </c>
      <c r="K7" s="9">
        <v>1</v>
      </c>
      <c r="L7" s="9">
        <v>4</v>
      </c>
      <c r="M7" s="9">
        <v>3</v>
      </c>
      <c r="N7" s="9">
        <v>3</v>
      </c>
      <c r="O7" s="10">
        <v>1</v>
      </c>
      <c r="P7" s="10">
        <v>4</v>
      </c>
      <c r="Q7" s="10">
        <v>0</v>
      </c>
      <c r="R7" s="10">
        <v>0</v>
      </c>
      <c r="S7" s="10">
        <v>0</v>
      </c>
      <c r="T7" s="10">
        <v>0</v>
      </c>
      <c r="U7" s="10">
        <v>5</v>
      </c>
      <c r="V7" s="10">
        <v>23</v>
      </c>
      <c r="W7" s="10">
        <v>12</v>
      </c>
      <c r="X7" s="11">
        <f t="shared" ref="X7:X19" si="3">O7+P7</f>
        <v>5</v>
      </c>
      <c r="Y7" s="4">
        <f t="shared" ref="Y7:Y19" si="4">I7/J7</f>
        <v>0.30769230769230771</v>
      </c>
      <c r="Z7" s="4">
        <f t="shared" si="0"/>
        <v>0.25</v>
      </c>
      <c r="AA7" s="4">
        <f t="shared" si="1"/>
        <v>1</v>
      </c>
      <c r="AB7" s="4">
        <f>IFERROR(tbl_główna_GRACZE[[#This Row],[2pm]]/tbl_główna_GRACZE[[#This Row],[2pa]],0)</f>
        <v>0.33333333333333331</v>
      </c>
      <c r="AC7" s="4">
        <f t="shared" ref="AC7:AC19" si="5">W7/(2*(J7+0.44*N7))</f>
        <v>0.41899441340782123</v>
      </c>
      <c r="AD7" s="4">
        <f t="shared" ref="AD7:AD19" si="6">(I7+0.5*K7)/J7</f>
        <v>0.34615384615384615</v>
      </c>
      <c r="AE7" s="11">
        <f t="shared" si="2"/>
        <v>13</v>
      </c>
      <c r="AF7" s="4">
        <f>N7/J7</f>
        <v>0.23076923076923078</v>
      </c>
      <c r="AG7" s="4">
        <f t="shared" ref="AG7:AG19" si="7">L7/J7</f>
        <v>0.30769230769230771</v>
      </c>
      <c r="AH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0.19988833054159688</v>
      </c>
      <c r="AI7" s="25">
        <f>tbl_główna_GRACZE[[#This Row],[pts]]*(40/tbl_główna_GRACZE[[#This Row],[min]])</f>
        <v>20.869565217391305</v>
      </c>
      <c r="AJ7" s="30">
        <f>tbl_główna_GRACZE[[#This Row],[reb total]]*(40/tbl_główna_GRACZE[[#This Row],[min]])</f>
        <v>8.695652173913043</v>
      </c>
      <c r="AK7" s="30">
        <f>tbl_główna_GRACZE[[#This Row],[asst]]*(40/tbl_główna_GRACZE[[#This Row],[min]])</f>
        <v>8.695652173913043</v>
      </c>
      <c r="AL7" s="5">
        <f t="shared" ref="AL7:AL19" si="8">W7/J7</f>
        <v>0.92307692307692313</v>
      </c>
      <c r="AM7" s="5">
        <f>(tbl_główna_GRACZE[[#This Row],[stl]]+tbl_główna_GRACZE[[#This Row],[blk]])*(40/tbl_główna_GRACZE[[#This Row],[min]])</f>
        <v>0</v>
      </c>
      <c r="AN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" s="25">
        <f>tbl_główna_GRACZE[[#This Row],[stl]]+tbl_główna_GRACZE[[#This Row],[blk]]+(tbl_główna_GRACZE[[#This Row],[dreb]]*0.5)</f>
        <v>2</v>
      </c>
      <c r="AP7" s="29">
        <f>(tbl_główna_GRACZE[[#This Row],[stl]]+tbl_główna_GRACZE[[#This Row],[blk]]+0.5*tbl_główna_GRACZE[[#This Row],[dreb]])/tbl_główna_GRACZE[[#This Row],[min]]</f>
        <v>8.6956521739130432E-2</v>
      </c>
      <c r="AQ7" s="6">
        <f t="shared" ref="AQ7:AQ19" si="9">W7+0.4*I7-0.7*J7-0.4*(N7-M7)+0.7*O7+0.3*P7+R7+0.7*U7+0.7*T7</f>
        <v>9.9</v>
      </c>
      <c r="AR7" s="6">
        <f>tbl_główna_GRACZE[[#This Row],[GmSc]]*(40/tbl_główna_GRACZE[[#This Row],[min]])</f>
        <v>17.217391304347828</v>
      </c>
      <c r="AS7" s="6">
        <f>tbl_główna_GRACZE[[#This Row],[EVAL]]*(40/tbl_główna_GRACZE[[#This Row],[min]])</f>
        <v>22.608695652173914</v>
      </c>
      <c r="AT7" s="11">
        <f>tbl_główna_GRACZE[[#This Row],[fgm]]-tbl_główna_GRACZE[[#This Row],[3pm]]</f>
        <v>3</v>
      </c>
      <c r="AU7" s="11">
        <f>tbl_główna_GRACZE[[#This Row],[fga]]-tbl_główna_GRACZE[[#This Row],[3pa]]</f>
        <v>9</v>
      </c>
      <c r="AV7">
        <f>IF(tbl_główna_GRACZE[[#This Row],[min]]&gt;0,1,0)</f>
        <v>1</v>
      </c>
      <c r="AW7" s="58" t="str">
        <f>tbl_główna_GRACZE[[#This Row],[I. Nazwisko]]</f>
        <v>B. Okaczuk</v>
      </c>
    </row>
    <row r="8" spans="1:49" ht="14.5" customHeight="1" x14ac:dyDescent="0.35">
      <c r="A8" t="s">
        <v>19</v>
      </c>
      <c r="B8" t="s">
        <v>25</v>
      </c>
      <c r="C8" t="s">
        <v>57</v>
      </c>
      <c r="D8" t="str">
        <f>IF(C8="H",VLOOKUP($A8,tab_nazwy_zespołów[],2,0)&amp;VLOOKUP($B8,tab_nazwy_zespołów[],2,0),VLOOKUP($B8,tab_nazwy_zespołów[],2,0)&amp;VLOOKUP($A8,tab_nazwy_zespołów[],2,0))</f>
        <v>STAHUT</v>
      </c>
      <c r="E8">
        <v>1</v>
      </c>
      <c r="F8">
        <f>COUNTIF(tbl_zawodnicy_sumy[I. Nazwisko],tbl_główna_GRACZE[[#This Row],[I. Nazwisko]])</f>
        <v>1</v>
      </c>
      <c r="G8" s="58" t="str">
        <f>RIGHT(tbl_główna_GRACZE[[#This Row],[Kolumna1]],LEN(tbl_główna_GRACZE[[#This Row],[Kolumna1]])-FIND(" ",tbl_główna_GRACZE[[#This Row],[Kolumna1]]))</f>
        <v>K. Walaszczyk</v>
      </c>
      <c r="H8" s="2" t="s">
        <v>13</v>
      </c>
      <c r="I8" s="9">
        <v>2</v>
      </c>
      <c r="J8" s="9">
        <v>10</v>
      </c>
      <c r="K8" s="9">
        <v>0</v>
      </c>
      <c r="L8" s="9">
        <v>6</v>
      </c>
      <c r="M8" s="9">
        <v>0</v>
      </c>
      <c r="N8" s="9">
        <v>3</v>
      </c>
      <c r="O8" s="10">
        <v>1</v>
      </c>
      <c r="P8" s="10">
        <v>4</v>
      </c>
      <c r="Q8" s="10">
        <v>1</v>
      </c>
      <c r="R8" s="10">
        <v>1</v>
      </c>
      <c r="S8" s="10">
        <v>0</v>
      </c>
      <c r="T8" s="10">
        <v>0</v>
      </c>
      <c r="U8" s="10">
        <v>0</v>
      </c>
      <c r="V8" s="10">
        <v>26</v>
      </c>
      <c r="W8" s="10">
        <v>4</v>
      </c>
      <c r="X8" s="11">
        <f t="shared" si="3"/>
        <v>5</v>
      </c>
      <c r="Y8" s="4">
        <f t="shared" si="4"/>
        <v>0.2</v>
      </c>
      <c r="Z8" s="4">
        <f t="shared" si="0"/>
        <v>0</v>
      </c>
      <c r="AA8" s="4">
        <f t="shared" si="1"/>
        <v>0</v>
      </c>
      <c r="AB8" s="4">
        <f>IFERROR(tbl_główna_GRACZE[[#This Row],[2pm]]/tbl_główna_GRACZE[[#This Row],[2pa]],0)</f>
        <v>0.5</v>
      </c>
      <c r="AC8" s="4">
        <f t="shared" si="5"/>
        <v>0.17667844522968199</v>
      </c>
      <c r="AD8" s="4">
        <f t="shared" si="6"/>
        <v>0.2</v>
      </c>
      <c r="AE8" s="11">
        <f t="shared" si="2"/>
        <v>-1</v>
      </c>
      <c r="AF8" s="4">
        <f t="shared" ref="AF8:AF19" si="10">N8/J8</f>
        <v>0.3</v>
      </c>
      <c r="AG8" s="4">
        <f t="shared" si="7"/>
        <v>0.6</v>
      </c>
      <c r="AH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0.15801228364042436</v>
      </c>
      <c r="AI8" s="25">
        <f>tbl_główna_GRACZE[[#This Row],[pts]]*(40/tbl_główna_GRACZE[[#This Row],[min]])</f>
        <v>6.1538461538461542</v>
      </c>
      <c r="AJ8" s="30">
        <f>tbl_główna_GRACZE[[#This Row],[reb total]]*(40/tbl_główna_GRACZE[[#This Row],[min]])</f>
        <v>7.6923076923076925</v>
      </c>
      <c r="AK8" s="30">
        <f>tbl_główna_GRACZE[[#This Row],[asst]]*(40/tbl_główna_GRACZE[[#This Row],[min]])</f>
        <v>0</v>
      </c>
      <c r="AL8" s="5">
        <f t="shared" si="8"/>
        <v>0.4</v>
      </c>
      <c r="AM8" s="5">
        <f>(tbl_główna_GRACZE[[#This Row],[stl]]+tbl_główna_GRACZE[[#This Row],[blk]])*(40/tbl_główna_GRACZE[[#This Row],[min]])</f>
        <v>1.5384615384615385</v>
      </c>
      <c r="AN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8" s="25">
        <f>tbl_główna_GRACZE[[#This Row],[stl]]+tbl_główna_GRACZE[[#This Row],[blk]]+(tbl_główna_GRACZE[[#This Row],[dreb]]*0.5)</f>
        <v>3</v>
      </c>
      <c r="AP8" s="29">
        <f>(tbl_główna_GRACZE[[#This Row],[stl]]+tbl_główna_GRACZE[[#This Row],[blk]]+0.5*tbl_główna_GRACZE[[#This Row],[dreb]])/tbl_główna_GRACZE[[#This Row],[min]]</f>
        <v>0.11538461538461539</v>
      </c>
      <c r="AQ8" s="6">
        <f>W8+0.4*I8-0.7*J8-0.4*(N8-M8)+0.7*O8+0.3*P8+R8+0.7*U8+0.7*T8</f>
        <v>-0.50000000000000022</v>
      </c>
      <c r="AR8" s="6">
        <f>tbl_główna_GRACZE[[#This Row],[GmSc]]*(40/tbl_główna_GRACZE[[#This Row],[min]])</f>
        <v>-0.76923076923076961</v>
      </c>
      <c r="AS8" s="6">
        <f>tbl_główna_GRACZE[[#This Row],[EVAL]]*(40/tbl_główna_GRACZE[[#This Row],[min]])</f>
        <v>-1.5384615384615385</v>
      </c>
      <c r="AT8" s="11">
        <f>tbl_główna_GRACZE[[#This Row],[fgm]]-tbl_główna_GRACZE[[#This Row],[3pm]]</f>
        <v>2</v>
      </c>
      <c r="AU8" s="11">
        <f>tbl_główna_GRACZE[[#This Row],[fga]]-tbl_główna_GRACZE[[#This Row],[3pa]]</f>
        <v>4</v>
      </c>
      <c r="AV8">
        <f>IF(tbl_główna_GRACZE[[#This Row],[min]]&gt;0,1,0)</f>
        <v>1</v>
      </c>
      <c r="AW8" s="58" t="str">
        <f>tbl_główna_GRACZE[[#This Row],[I. Nazwisko]]</f>
        <v>K. Walaszczyk</v>
      </c>
    </row>
    <row r="9" spans="1:49" ht="14.5" customHeight="1" x14ac:dyDescent="0.35">
      <c r="A9" t="s">
        <v>19</v>
      </c>
      <c r="B9" t="s">
        <v>25</v>
      </c>
      <c r="C9" t="s">
        <v>57</v>
      </c>
      <c r="D9" t="str">
        <f>IF(C9="H",VLOOKUP($A9,tab_nazwy_zespołów[],2,0)&amp;VLOOKUP($B9,tab_nazwy_zespołów[],2,0),VLOOKUP($B9,tab_nazwy_zespołów[],2,0)&amp;VLOOKUP($A9,tab_nazwy_zespołów[],2,0))</f>
        <v>STAHUT</v>
      </c>
      <c r="E9">
        <v>1</v>
      </c>
      <c r="F9">
        <f>COUNTIF(tbl_zawodnicy_sumy[I. Nazwisko],tbl_główna_GRACZE[[#This Row],[I. Nazwisko]])</f>
        <v>1</v>
      </c>
      <c r="G9" s="58" t="str">
        <f>RIGHT(tbl_główna_GRACZE[[#This Row],[Kolumna1]],LEN(tbl_główna_GRACZE[[#This Row],[Kolumna1]])-FIND(" ",tbl_główna_GRACZE[[#This Row],[Kolumna1]]))</f>
        <v>J. Olszewski</v>
      </c>
      <c r="H9" s="2" t="s">
        <v>14</v>
      </c>
      <c r="I9" s="9">
        <v>1</v>
      </c>
      <c r="J9" s="9">
        <v>4</v>
      </c>
      <c r="K9" s="9">
        <v>1</v>
      </c>
      <c r="L9" s="9">
        <v>1</v>
      </c>
      <c r="M9" s="9">
        <v>0</v>
      </c>
      <c r="N9" s="9">
        <v>0</v>
      </c>
      <c r="O9" s="10">
        <v>0</v>
      </c>
      <c r="P9" s="10">
        <v>4</v>
      </c>
      <c r="Q9" s="10">
        <v>2</v>
      </c>
      <c r="R9" s="10">
        <v>1</v>
      </c>
      <c r="S9" s="10">
        <v>0</v>
      </c>
      <c r="T9" s="10">
        <v>0</v>
      </c>
      <c r="U9" s="10">
        <v>4</v>
      </c>
      <c r="V9" s="10">
        <v>27</v>
      </c>
      <c r="W9" s="10">
        <v>3</v>
      </c>
      <c r="X9" s="11">
        <f t="shared" si="3"/>
        <v>4</v>
      </c>
      <c r="Y9" s="4">
        <f t="shared" si="4"/>
        <v>0.25</v>
      </c>
      <c r="Z9" s="4">
        <f t="shared" si="0"/>
        <v>1</v>
      </c>
      <c r="AA9" s="4">
        <f t="shared" si="1"/>
        <v>0</v>
      </c>
      <c r="AB9" s="4">
        <f>IFERROR(tbl_główna_GRACZE[[#This Row],[2pm]]/tbl_główna_GRACZE[[#This Row],[2pa]],0)</f>
        <v>0</v>
      </c>
      <c r="AC9" s="4">
        <f t="shared" si="5"/>
        <v>0.375</v>
      </c>
      <c r="AD9" s="4">
        <f t="shared" si="6"/>
        <v>0.375</v>
      </c>
      <c r="AE9" s="11">
        <f t="shared" si="2"/>
        <v>9</v>
      </c>
      <c r="AF9" s="4">
        <f t="shared" si="10"/>
        <v>0</v>
      </c>
      <c r="AG9" s="4">
        <f t="shared" si="7"/>
        <v>0.25</v>
      </c>
      <c r="AH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5.583472920156337E-2</v>
      </c>
      <c r="AI9" s="25">
        <f>tbl_główna_GRACZE[[#This Row],[pts]]*(40/tbl_główna_GRACZE[[#This Row],[min]])</f>
        <v>4.4444444444444446</v>
      </c>
      <c r="AJ9" s="30">
        <f>tbl_główna_GRACZE[[#This Row],[reb total]]*(40/tbl_główna_GRACZE[[#This Row],[min]])</f>
        <v>5.9259259259259256</v>
      </c>
      <c r="AK9" s="30">
        <f>tbl_główna_GRACZE[[#This Row],[asst]]*(40/tbl_główna_GRACZE[[#This Row],[min]])</f>
        <v>5.9259259259259256</v>
      </c>
      <c r="AL9" s="5">
        <f t="shared" si="8"/>
        <v>0.75</v>
      </c>
      <c r="AM9" s="5">
        <f>(tbl_główna_GRACZE[[#This Row],[stl]]+tbl_główna_GRACZE[[#This Row],[blk]])*(40/tbl_główna_GRACZE[[#This Row],[min]])</f>
        <v>1.4814814814814814</v>
      </c>
      <c r="AN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" s="25">
        <f>tbl_główna_GRACZE[[#This Row],[stl]]+tbl_główna_GRACZE[[#This Row],[blk]]+(tbl_główna_GRACZE[[#This Row],[dreb]]*0.5)</f>
        <v>3</v>
      </c>
      <c r="AP9" s="29">
        <f>(tbl_główna_GRACZE[[#This Row],[stl]]+tbl_główna_GRACZE[[#This Row],[blk]]+0.5*tbl_główna_GRACZE[[#This Row],[dreb]])/tbl_główna_GRACZE[[#This Row],[min]]</f>
        <v>0.1111111111111111</v>
      </c>
      <c r="AQ9" s="6">
        <f t="shared" si="9"/>
        <v>5.6</v>
      </c>
      <c r="AR9" s="6">
        <f>tbl_główna_GRACZE[[#This Row],[GmSc]]*(40/tbl_główna_GRACZE[[#This Row],[min]])</f>
        <v>8.2962962962962958</v>
      </c>
      <c r="AS9" s="6">
        <f>tbl_główna_GRACZE[[#This Row],[EVAL]]*(40/tbl_główna_GRACZE[[#This Row],[min]])</f>
        <v>13.333333333333332</v>
      </c>
      <c r="AT9" s="11">
        <f>tbl_główna_GRACZE[[#This Row],[fgm]]-tbl_główna_GRACZE[[#This Row],[3pm]]</f>
        <v>0</v>
      </c>
      <c r="AU9" s="11">
        <f>tbl_główna_GRACZE[[#This Row],[fga]]-tbl_główna_GRACZE[[#This Row],[3pa]]</f>
        <v>3</v>
      </c>
      <c r="AV9">
        <f>IF(tbl_główna_GRACZE[[#This Row],[min]]&gt;0,1,0)</f>
        <v>1</v>
      </c>
      <c r="AW9" s="58" t="str">
        <f>tbl_główna_GRACZE[[#This Row],[I. Nazwisko]]</f>
        <v>J. Olszewski</v>
      </c>
    </row>
    <row r="10" spans="1:49" ht="14.5" customHeight="1" x14ac:dyDescent="0.35">
      <c r="A10" t="s">
        <v>19</v>
      </c>
      <c r="B10" t="s">
        <v>25</v>
      </c>
      <c r="C10" t="s">
        <v>57</v>
      </c>
      <c r="D10" t="str">
        <f>IF(C10="H",VLOOKUP($A10,tab_nazwy_zespołów[],2,0)&amp;VLOOKUP($B10,tab_nazwy_zespołów[],2,0),VLOOKUP($B10,tab_nazwy_zespołów[],2,0)&amp;VLOOKUP($A10,tab_nazwy_zespołów[],2,0))</f>
        <v>STAHUT</v>
      </c>
      <c r="E10">
        <v>1</v>
      </c>
      <c r="F10">
        <f>COUNTIF(tbl_zawodnicy_sumy[I. Nazwisko],tbl_główna_GRACZE[[#This Row],[I. Nazwisko]])</f>
        <v>1</v>
      </c>
      <c r="G10" s="58" t="str">
        <f>RIGHT(tbl_główna_GRACZE[[#This Row],[Kolumna1]],LEN(tbl_główna_GRACZE[[#This Row],[Kolumna1]])-FIND(" ",tbl_główna_GRACZE[[#This Row],[Kolumna1]]))</f>
        <v>S. Mrożek</v>
      </c>
      <c r="H10" s="2" t="s">
        <v>15</v>
      </c>
      <c r="I10" s="9">
        <v>1</v>
      </c>
      <c r="J10" s="9">
        <v>6</v>
      </c>
      <c r="K10" s="9">
        <v>0</v>
      </c>
      <c r="L10" s="9">
        <v>3</v>
      </c>
      <c r="M10" s="9">
        <v>0</v>
      </c>
      <c r="N10" s="9">
        <v>0</v>
      </c>
      <c r="O10" s="10">
        <v>1</v>
      </c>
      <c r="P10" s="10">
        <v>1</v>
      </c>
      <c r="Q10" s="10">
        <v>0</v>
      </c>
      <c r="R10" s="10">
        <v>1</v>
      </c>
      <c r="S10" s="10">
        <v>0</v>
      </c>
      <c r="T10" s="10">
        <v>0</v>
      </c>
      <c r="U10" s="10">
        <v>1</v>
      </c>
      <c r="V10" s="10">
        <v>24</v>
      </c>
      <c r="W10" s="10">
        <v>2</v>
      </c>
      <c r="X10" s="11">
        <f t="shared" si="3"/>
        <v>2</v>
      </c>
      <c r="Y10" s="4">
        <f t="shared" si="4"/>
        <v>0.16666666666666666</v>
      </c>
      <c r="Z10" s="4">
        <f t="shared" si="0"/>
        <v>0</v>
      </c>
      <c r="AA10" s="4">
        <f t="shared" si="1"/>
        <v>0</v>
      </c>
      <c r="AB10" s="4">
        <f>IFERROR(tbl_główna_GRACZE[[#This Row],[2pm]]/tbl_główna_GRACZE[[#This Row],[2pa]],0)</f>
        <v>0.33333333333333331</v>
      </c>
      <c r="AC10" s="4">
        <f t="shared" si="5"/>
        <v>0.16666666666666666</v>
      </c>
      <c r="AD10" s="4">
        <f t="shared" si="6"/>
        <v>0.16666666666666666</v>
      </c>
      <c r="AE10" s="11">
        <f t="shared" si="2"/>
        <v>1</v>
      </c>
      <c r="AF10" s="4">
        <f t="shared" si="10"/>
        <v>0</v>
      </c>
      <c r="AG10" s="4">
        <f t="shared" si="7"/>
        <v>0.5</v>
      </c>
      <c r="AH1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8.3752093802345051E-2</v>
      </c>
      <c r="AI10" s="25">
        <f>tbl_główna_GRACZE[[#This Row],[pts]]*(40/tbl_główna_GRACZE[[#This Row],[min]])</f>
        <v>3.3333333333333335</v>
      </c>
      <c r="AJ10" s="30">
        <f>tbl_główna_GRACZE[[#This Row],[reb total]]*(40/tbl_główna_GRACZE[[#This Row],[min]])</f>
        <v>3.3333333333333335</v>
      </c>
      <c r="AK10" s="30">
        <f>tbl_główna_GRACZE[[#This Row],[asst]]*(40/tbl_główna_GRACZE[[#This Row],[min]])</f>
        <v>1.6666666666666667</v>
      </c>
      <c r="AL10" s="5">
        <f t="shared" si="8"/>
        <v>0.33333333333333331</v>
      </c>
      <c r="AM10" s="5">
        <f>(tbl_główna_GRACZE[[#This Row],[stl]]+tbl_główna_GRACZE[[#This Row],[blk]])*(40/tbl_główna_GRACZE[[#This Row],[min]])</f>
        <v>1.6666666666666667</v>
      </c>
      <c r="AN1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" s="25">
        <f>tbl_główna_GRACZE[[#This Row],[stl]]+tbl_główna_GRACZE[[#This Row],[blk]]+(tbl_główna_GRACZE[[#This Row],[dreb]]*0.5)</f>
        <v>1.5</v>
      </c>
      <c r="AP10" s="29">
        <f>(tbl_główna_GRACZE[[#This Row],[stl]]+tbl_główna_GRACZE[[#This Row],[blk]]+0.5*tbl_główna_GRACZE[[#This Row],[dreb]])/tbl_główna_GRACZE[[#This Row],[min]]</f>
        <v>6.25E-2</v>
      </c>
      <c r="AQ10" s="6">
        <f t="shared" si="9"/>
        <v>0.90000000000000058</v>
      </c>
      <c r="AR10" s="6">
        <f>tbl_główna_GRACZE[[#This Row],[GmSc]]*(40/tbl_główna_GRACZE[[#This Row],[min]])</f>
        <v>1.5000000000000011</v>
      </c>
      <c r="AS10" s="6">
        <f>tbl_główna_GRACZE[[#This Row],[EVAL]]*(40/tbl_główna_GRACZE[[#This Row],[min]])</f>
        <v>1.6666666666666667</v>
      </c>
      <c r="AT10" s="11">
        <f>tbl_główna_GRACZE[[#This Row],[fgm]]-tbl_główna_GRACZE[[#This Row],[3pm]]</f>
        <v>1</v>
      </c>
      <c r="AU10" s="11">
        <f>tbl_główna_GRACZE[[#This Row],[fga]]-tbl_główna_GRACZE[[#This Row],[3pa]]</f>
        <v>3</v>
      </c>
      <c r="AV10">
        <f>IF(tbl_główna_GRACZE[[#This Row],[min]]&gt;0,1,0)</f>
        <v>1</v>
      </c>
      <c r="AW10" s="58" t="str">
        <f>tbl_główna_GRACZE[[#This Row],[I. Nazwisko]]</f>
        <v>S. Mrożek</v>
      </c>
    </row>
    <row r="11" spans="1:49" ht="14.5" customHeight="1" x14ac:dyDescent="0.35">
      <c r="A11" t="s">
        <v>19</v>
      </c>
      <c r="B11" t="s">
        <v>25</v>
      </c>
      <c r="C11" t="s">
        <v>57</v>
      </c>
      <c r="D11" t="str">
        <f>IF(C11="H",VLOOKUP($A11,tab_nazwy_zespołów[],2,0)&amp;VLOOKUP($B11,tab_nazwy_zespołów[],2,0),VLOOKUP($B11,tab_nazwy_zespołów[],2,0)&amp;VLOOKUP($A11,tab_nazwy_zespołów[],2,0))</f>
        <v>STAHUT</v>
      </c>
      <c r="E11">
        <v>1</v>
      </c>
      <c r="F11">
        <f>COUNTIF(tbl_zawodnicy_sumy[I. Nazwisko],tbl_główna_GRACZE[[#This Row],[I. Nazwisko]])</f>
        <v>1</v>
      </c>
      <c r="G11" s="58" t="str">
        <f>RIGHT(tbl_główna_GRACZE[[#This Row],[Kolumna1]],LEN(tbl_główna_GRACZE[[#This Row],[Kolumna1]])-FIND(" ",tbl_główna_GRACZE[[#This Row],[Kolumna1]]))</f>
        <v>M. Burczyński</v>
      </c>
      <c r="H11" s="2" t="s">
        <v>16</v>
      </c>
      <c r="I11" s="9">
        <v>1</v>
      </c>
      <c r="J11" s="9">
        <v>5</v>
      </c>
      <c r="K11" s="9">
        <v>0</v>
      </c>
      <c r="L11" s="9">
        <v>1</v>
      </c>
      <c r="M11" s="9">
        <v>0</v>
      </c>
      <c r="N11" s="9">
        <v>0</v>
      </c>
      <c r="O11" s="10">
        <v>1</v>
      </c>
      <c r="P11" s="10">
        <v>2</v>
      </c>
      <c r="Q11" s="10">
        <v>1</v>
      </c>
      <c r="R11" s="10">
        <v>1</v>
      </c>
      <c r="S11" s="10">
        <v>0</v>
      </c>
      <c r="T11" s="10">
        <v>0</v>
      </c>
      <c r="U11" s="10">
        <v>0</v>
      </c>
      <c r="V11" s="10">
        <v>20</v>
      </c>
      <c r="W11" s="10">
        <v>2</v>
      </c>
      <c r="X11" s="11">
        <f t="shared" si="3"/>
        <v>3</v>
      </c>
      <c r="Y11" s="4">
        <f t="shared" si="4"/>
        <v>0.2</v>
      </c>
      <c r="Z11" s="4">
        <f t="shared" si="0"/>
        <v>0</v>
      </c>
      <c r="AA11" s="4">
        <f t="shared" si="1"/>
        <v>0</v>
      </c>
      <c r="AB11" s="4">
        <f>IFERROR(tbl_główna_GRACZE[[#This Row],[2pm]]/tbl_główna_GRACZE[[#This Row],[2pa]],0)</f>
        <v>0.25</v>
      </c>
      <c r="AC11" s="4">
        <f t="shared" si="5"/>
        <v>0.2</v>
      </c>
      <c r="AD11" s="4">
        <f t="shared" si="6"/>
        <v>0.2</v>
      </c>
      <c r="AE11" s="11">
        <f t="shared" si="2"/>
        <v>2</v>
      </c>
      <c r="AF11" s="4">
        <f t="shared" si="10"/>
        <v>0</v>
      </c>
      <c r="AG11" s="4">
        <f t="shared" si="7"/>
        <v>0.2</v>
      </c>
      <c r="AH1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6.9793411501954214E-2</v>
      </c>
      <c r="AI11" s="25">
        <f>tbl_główna_GRACZE[[#This Row],[pts]]*(40/tbl_główna_GRACZE[[#This Row],[min]])</f>
        <v>4</v>
      </c>
      <c r="AJ11" s="30">
        <f>tbl_główna_GRACZE[[#This Row],[reb total]]*(40/tbl_główna_GRACZE[[#This Row],[min]])</f>
        <v>6</v>
      </c>
      <c r="AK11" s="30">
        <f>tbl_główna_GRACZE[[#This Row],[asst]]*(40/tbl_główna_GRACZE[[#This Row],[min]])</f>
        <v>0</v>
      </c>
      <c r="AL11" s="5">
        <f t="shared" si="8"/>
        <v>0.4</v>
      </c>
      <c r="AM11" s="5">
        <f>(tbl_główna_GRACZE[[#This Row],[stl]]+tbl_główna_GRACZE[[#This Row],[blk]])*(40/tbl_główna_GRACZE[[#This Row],[min]])</f>
        <v>2</v>
      </c>
      <c r="AN1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1" s="25">
        <f>tbl_główna_GRACZE[[#This Row],[stl]]+tbl_główna_GRACZE[[#This Row],[blk]]+(tbl_główna_GRACZE[[#This Row],[dreb]]*0.5)</f>
        <v>2</v>
      </c>
      <c r="AP11" s="29">
        <f>(tbl_główna_GRACZE[[#This Row],[stl]]+tbl_główna_GRACZE[[#This Row],[blk]]+0.5*tbl_główna_GRACZE[[#This Row],[dreb]])/tbl_główna_GRACZE[[#This Row],[min]]</f>
        <v>0.1</v>
      </c>
      <c r="AQ11" s="6">
        <f t="shared" si="9"/>
        <v>1.1999999999999997</v>
      </c>
      <c r="AR11" s="6">
        <f>tbl_główna_GRACZE[[#This Row],[GmSc]]*(40/tbl_główna_GRACZE[[#This Row],[min]])</f>
        <v>2.3999999999999995</v>
      </c>
      <c r="AS11" s="6">
        <f>tbl_główna_GRACZE[[#This Row],[EVAL]]*(40/tbl_główna_GRACZE[[#This Row],[min]])</f>
        <v>4</v>
      </c>
      <c r="AT11" s="11">
        <f>tbl_główna_GRACZE[[#This Row],[fgm]]-tbl_główna_GRACZE[[#This Row],[3pm]]</f>
        <v>1</v>
      </c>
      <c r="AU11" s="11">
        <f>tbl_główna_GRACZE[[#This Row],[fga]]-tbl_główna_GRACZE[[#This Row],[3pa]]</f>
        <v>4</v>
      </c>
      <c r="AV11">
        <f>IF(tbl_główna_GRACZE[[#This Row],[min]]&gt;0,1,0)</f>
        <v>1</v>
      </c>
      <c r="AW11" s="58" t="str">
        <f>tbl_główna_GRACZE[[#This Row],[I. Nazwisko]]</f>
        <v>M. Burczyński</v>
      </c>
    </row>
    <row r="12" spans="1:49" ht="14.5" customHeight="1" x14ac:dyDescent="0.35">
      <c r="A12" t="s">
        <v>19</v>
      </c>
      <c r="B12" t="s">
        <v>25</v>
      </c>
      <c r="C12" t="s">
        <v>57</v>
      </c>
      <c r="D12" t="str">
        <f>IF(C12="H",VLOOKUP($A12,tab_nazwy_zespołów[],2,0)&amp;VLOOKUP($B12,tab_nazwy_zespołów[],2,0),VLOOKUP($B12,tab_nazwy_zespołów[],2,0)&amp;VLOOKUP($A12,tab_nazwy_zespołów[],2,0))</f>
        <v>STAHUT</v>
      </c>
      <c r="E12">
        <v>1</v>
      </c>
      <c r="F12">
        <f>COUNTIF(tbl_zawodnicy_sumy[I. Nazwisko],tbl_główna_GRACZE[[#This Row],[I. Nazwisko]])</f>
        <v>1</v>
      </c>
      <c r="G12" s="58" t="str">
        <f>RIGHT(tbl_główna_GRACZE[[#This Row],[Kolumna1]],LEN(tbl_główna_GRACZE[[#This Row],[Kolumna1]])-FIND(" ",tbl_główna_GRACZE[[#This Row],[Kolumna1]]))</f>
        <v>P. Roguski</v>
      </c>
      <c r="H12" s="2" t="s">
        <v>412</v>
      </c>
      <c r="I12" s="9">
        <v>1</v>
      </c>
      <c r="J12" s="9">
        <v>4</v>
      </c>
      <c r="K12" s="9">
        <v>0</v>
      </c>
      <c r="L12" s="9">
        <v>1</v>
      </c>
      <c r="M12" s="9">
        <v>0</v>
      </c>
      <c r="N12" s="9">
        <v>0</v>
      </c>
      <c r="O12" s="10">
        <v>4</v>
      </c>
      <c r="P12" s="10">
        <v>3</v>
      </c>
      <c r="Q12" s="10">
        <v>2</v>
      </c>
      <c r="R12" s="10">
        <v>1</v>
      </c>
      <c r="S12" s="10">
        <v>0</v>
      </c>
      <c r="T12" s="10">
        <v>0</v>
      </c>
      <c r="U12" s="10">
        <v>2</v>
      </c>
      <c r="V12" s="10">
        <v>20</v>
      </c>
      <c r="W12" s="10">
        <v>2</v>
      </c>
      <c r="X12" s="11">
        <f t="shared" si="3"/>
        <v>7</v>
      </c>
      <c r="Y12" s="4">
        <f t="shared" si="4"/>
        <v>0.25</v>
      </c>
      <c r="Z12" s="4">
        <f t="shared" si="0"/>
        <v>0</v>
      </c>
      <c r="AA12" s="4">
        <f t="shared" si="1"/>
        <v>0</v>
      </c>
      <c r="AB12" s="4">
        <f>IFERROR(tbl_główna_GRACZE[[#This Row],[2pm]]/tbl_główna_GRACZE[[#This Row],[2pa]],0)</f>
        <v>0.33333333333333331</v>
      </c>
      <c r="AC12" s="4">
        <f t="shared" si="5"/>
        <v>0.25</v>
      </c>
      <c r="AD12" s="4">
        <f t="shared" si="6"/>
        <v>0.25</v>
      </c>
      <c r="AE12" s="11">
        <f t="shared" si="2"/>
        <v>9</v>
      </c>
      <c r="AF12" s="4">
        <f t="shared" si="10"/>
        <v>0</v>
      </c>
      <c r="AG12" s="4">
        <f t="shared" si="7"/>
        <v>0.25</v>
      </c>
      <c r="AH1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5.583472920156337E-2</v>
      </c>
      <c r="AI12" s="25">
        <f>tbl_główna_GRACZE[[#This Row],[pts]]*(40/tbl_główna_GRACZE[[#This Row],[min]])</f>
        <v>4</v>
      </c>
      <c r="AJ12" s="30">
        <f>tbl_główna_GRACZE[[#This Row],[reb total]]*(40/tbl_główna_GRACZE[[#This Row],[min]])</f>
        <v>14</v>
      </c>
      <c r="AK12" s="30">
        <f>tbl_główna_GRACZE[[#This Row],[asst]]*(40/tbl_główna_GRACZE[[#This Row],[min]])</f>
        <v>4</v>
      </c>
      <c r="AL12" s="5">
        <f t="shared" si="8"/>
        <v>0.5</v>
      </c>
      <c r="AM12" s="5">
        <f>(tbl_główna_GRACZE[[#This Row],[stl]]+tbl_główna_GRACZE[[#This Row],[blk]])*(40/tbl_główna_GRACZE[[#This Row],[min]])</f>
        <v>2</v>
      </c>
      <c r="AN1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2" s="25">
        <f>tbl_główna_GRACZE[[#This Row],[stl]]+tbl_główna_GRACZE[[#This Row],[blk]]+(tbl_główna_GRACZE[[#This Row],[dreb]]*0.5)</f>
        <v>2.5</v>
      </c>
      <c r="AP12" s="29">
        <f>(tbl_główna_GRACZE[[#This Row],[stl]]+tbl_główna_GRACZE[[#This Row],[blk]]+0.5*tbl_główna_GRACZE[[#This Row],[dreb]])/tbl_główna_GRACZE[[#This Row],[min]]</f>
        <v>0.125</v>
      </c>
      <c r="AQ12" s="6">
        <f t="shared" si="9"/>
        <v>5.6999999999999993</v>
      </c>
      <c r="AR12" s="6">
        <f>tbl_główna_GRACZE[[#This Row],[GmSc]]*(40/tbl_główna_GRACZE[[#This Row],[min]])</f>
        <v>11.399999999999999</v>
      </c>
      <c r="AS12" s="6">
        <f>tbl_główna_GRACZE[[#This Row],[EVAL]]*(40/tbl_główna_GRACZE[[#This Row],[min]])</f>
        <v>18</v>
      </c>
      <c r="AT12" s="11">
        <f>tbl_główna_GRACZE[[#This Row],[fgm]]-tbl_główna_GRACZE[[#This Row],[3pm]]</f>
        <v>1</v>
      </c>
      <c r="AU12" s="11">
        <f>tbl_główna_GRACZE[[#This Row],[fga]]-tbl_główna_GRACZE[[#This Row],[3pa]]</f>
        <v>3</v>
      </c>
      <c r="AV12">
        <f>IF(tbl_główna_GRACZE[[#This Row],[min]]&gt;0,1,0)</f>
        <v>1</v>
      </c>
      <c r="AW12" s="58" t="str">
        <f>tbl_główna_GRACZE[[#This Row],[I. Nazwisko]]</f>
        <v>P. Roguski</v>
      </c>
    </row>
    <row r="13" spans="1:49" ht="14.5" customHeight="1" x14ac:dyDescent="0.35">
      <c r="A13" t="s">
        <v>19</v>
      </c>
      <c r="B13" t="s">
        <v>25</v>
      </c>
      <c r="C13" t="s">
        <v>57</v>
      </c>
      <c r="D13" t="str">
        <f>IF(C13="H",VLOOKUP($A13,tab_nazwy_zespołów[],2,0)&amp;VLOOKUP($B13,tab_nazwy_zespołów[],2,0),VLOOKUP($B13,tab_nazwy_zespołów[],2,0)&amp;VLOOKUP($A13,tab_nazwy_zespołów[],2,0))</f>
        <v>STAHUT</v>
      </c>
      <c r="E13">
        <v>1</v>
      </c>
      <c r="F13">
        <f>COUNTIF(tbl_zawodnicy_sumy[I. Nazwisko],tbl_główna_GRACZE[[#This Row],[I. Nazwisko]])</f>
        <v>1</v>
      </c>
      <c r="G13" s="58" t="str">
        <f>RIGHT(tbl_główna_GRACZE[[#This Row],[Kolumna1]],LEN(tbl_główna_GRACZE[[#This Row],[Kolumna1]])-FIND(" ",tbl_główna_GRACZE[[#This Row],[Kolumna1]]))</f>
        <v>R. Kielczyk</v>
      </c>
      <c r="H13" s="2" t="s">
        <v>17</v>
      </c>
      <c r="I13" s="9">
        <v>1</v>
      </c>
      <c r="J13" s="9">
        <v>6</v>
      </c>
      <c r="K13" s="9">
        <v>0</v>
      </c>
      <c r="L13" s="9">
        <v>2</v>
      </c>
      <c r="M13" s="9">
        <v>0</v>
      </c>
      <c r="N13" s="9">
        <v>0</v>
      </c>
      <c r="O13" s="10">
        <v>1</v>
      </c>
      <c r="P13" s="10">
        <v>1</v>
      </c>
      <c r="Q13" s="10">
        <v>0</v>
      </c>
      <c r="R13" s="10">
        <v>1</v>
      </c>
      <c r="S13" s="10">
        <v>0</v>
      </c>
      <c r="T13" s="10">
        <v>0</v>
      </c>
      <c r="U13" s="10">
        <v>0</v>
      </c>
      <c r="V13" s="10">
        <v>14</v>
      </c>
      <c r="W13" s="10">
        <v>2</v>
      </c>
      <c r="X13" s="11">
        <f t="shared" si="3"/>
        <v>2</v>
      </c>
      <c r="Y13" s="4">
        <f t="shared" si="4"/>
        <v>0.16666666666666666</v>
      </c>
      <c r="Z13" s="4">
        <f t="shared" si="0"/>
        <v>0</v>
      </c>
      <c r="AA13" s="4">
        <f t="shared" si="1"/>
        <v>0</v>
      </c>
      <c r="AB13" s="4">
        <f>IFERROR(tbl_główna_GRACZE[[#This Row],[2pm]]/tbl_główna_GRACZE[[#This Row],[2pa]],0)</f>
        <v>0.25</v>
      </c>
      <c r="AC13" s="4">
        <f t="shared" si="5"/>
        <v>0.16666666666666666</v>
      </c>
      <c r="AD13" s="4">
        <f t="shared" si="6"/>
        <v>0.16666666666666666</v>
      </c>
      <c r="AE13" s="11">
        <f t="shared" si="2"/>
        <v>0</v>
      </c>
      <c r="AF13" s="4">
        <f t="shared" si="10"/>
        <v>0</v>
      </c>
      <c r="AG13" s="4">
        <f t="shared" si="7"/>
        <v>0.33333333333333331</v>
      </c>
      <c r="AH1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8.3752093802345051E-2</v>
      </c>
      <c r="AI13" s="25">
        <f>tbl_główna_GRACZE[[#This Row],[pts]]*(40/tbl_główna_GRACZE[[#This Row],[min]])</f>
        <v>5.7142857142857144</v>
      </c>
      <c r="AJ13" s="30">
        <f>tbl_główna_GRACZE[[#This Row],[reb total]]*(40/tbl_główna_GRACZE[[#This Row],[min]])</f>
        <v>5.7142857142857144</v>
      </c>
      <c r="AK13" s="30">
        <f>tbl_główna_GRACZE[[#This Row],[asst]]*(40/tbl_główna_GRACZE[[#This Row],[min]])</f>
        <v>0</v>
      </c>
      <c r="AL13" s="5">
        <f t="shared" si="8"/>
        <v>0.33333333333333331</v>
      </c>
      <c r="AM13" s="5">
        <f>(tbl_główna_GRACZE[[#This Row],[stl]]+tbl_główna_GRACZE[[#This Row],[blk]])*(40/tbl_główna_GRACZE[[#This Row],[min]])</f>
        <v>2.8571428571428572</v>
      </c>
      <c r="AN1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3" s="25">
        <f>tbl_główna_GRACZE[[#This Row],[stl]]+tbl_główna_GRACZE[[#This Row],[blk]]+(tbl_główna_GRACZE[[#This Row],[dreb]]*0.5)</f>
        <v>1.5</v>
      </c>
      <c r="AP13" s="29">
        <f>(tbl_główna_GRACZE[[#This Row],[stl]]+tbl_główna_GRACZE[[#This Row],[blk]]+0.5*tbl_główna_GRACZE[[#This Row],[dreb]])/tbl_główna_GRACZE[[#This Row],[min]]</f>
        <v>0.10714285714285714</v>
      </c>
      <c r="AQ13" s="6">
        <f t="shared" si="9"/>
        <v>0.20000000000000062</v>
      </c>
      <c r="AR13" s="6">
        <f>tbl_główna_GRACZE[[#This Row],[GmSc]]*(40/tbl_główna_GRACZE[[#This Row],[min]])</f>
        <v>0.57142857142857317</v>
      </c>
      <c r="AS13" s="6">
        <f>tbl_główna_GRACZE[[#This Row],[EVAL]]*(40/tbl_główna_GRACZE[[#This Row],[min]])</f>
        <v>0</v>
      </c>
      <c r="AT13" s="11">
        <f>tbl_główna_GRACZE[[#This Row],[fgm]]-tbl_główna_GRACZE[[#This Row],[3pm]]</f>
        <v>1</v>
      </c>
      <c r="AU13" s="11">
        <f>tbl_główna_GRACZE[[#This Row],[fga]]-tbl_główna_GRACZE[[#This Row],[3pa]]</f>
        <v>4</v>
      </c>
      <c r="AV13">
        <f>IF(tbl_główna_GRACZE[[#This Row],[min]]&gt;0,1,0)</f>
        <v>1</v>
      </c>
      <c r="AW13" s="58" t="str">
        <f>tbl_główna_GRACZE[[#This Row],[I. Nazwisko]]</f>
        <v>R. Kielczyk</v>
      </c>
    </row>
    <row r="14" spans="1:49" ht="14.5" customHeight="1" x14ac:dyDescent="0.35">
      <c r="A14" t="s">
        <v>19</v>
      </c>
      <c r="B14" t="s">
        <v>25</v>
      </c>
      <c r="C14" t="s">
        <v>57</v>
      </c>
      <c r="D14" t="str">
        <f>IF(C14="H",VLOOKUP($A14,tab_nazwy_zespołów[],2,0)&amp;VLOOKUP($B14,tab_nazwy_zespołów[],2,0),VLOOKUP($B14,tab_nazwy_zespołów[],2,0)&amp;VLOOKUP($A14,tab_nazwy_zespołów[],2,0))</f>
        <v>STAHUT</v>
      </c>
      <c r="E14">
        <v>1</v>
      </c>
      <c r="F14">
        <f>COUNTIF(tbl_zawodnicy_sumy[I. Nazwisko],tbl_główna_GRACZE[[#This Row],[I. Nazwisko]])</f>
        <v>1</v>
      </c>
      <c r="G14" s="58" t="str">
        <f>RIGHT(tbl_główna_GRACZE[[#This Row],[Kolumna1]],LEN(tbl_główna_GRACZE[[#This Row],[Kolumna1]])-FIND(" ",tbl_główna_GRACZE[[#This Row],[Kolumna1]]))</f>
        <v>T. Kowalczyk</v>
      </c>
      <c r="H14" s="2" t="s">
        <v>18</v>
      </c>
      <c r="I14" s="9">
        <v>0</v>
      </c>
      <c r="J14" s="9">
        <v>3</v>
      </c>
      <c r="K14" s="9">
        <v>0</v>
      </c>
      <c r="L14" s="9">
        <v>1</v>
      </c>
      <c r="M14" s="9">
        <v>0</v>
      </c>
      <c r="N14" s="9">
        <v>0</v>
      </c>
      <c r="O14" s="10">
        <v>1</v>
      </c>
      <c r="P14" s="10">
        <v>4</v>
      </c>
      <c r="Q14" s="10">
        <v>3</v>
      </c>
      <c r="R14" s="10">
        <v>0</v>
      </c>
      <c r="S14" s="10">
        <v>0</v>
      </c>
      <c r="T14" s="10">
        <v>0</v>
      </c>
      <c r="U14" s="10">
        <v>1</v>
      </c>
      <c r="V14" s="10">
        <v>13</v>
      </c>
      <c r="W14" s="10">
        <v>0</v>
      </c>
      <c r="X14" s="11">
        <f t="shared" si="3"/>
        <v>5</v>
      </c>
      <c r="Y14" s="4">
        <f t="shared" si="4"/>
        <v>0</v>
      </c>
      <c r="Z14" s="4">
        <f t="shared" si="0"/>
        <v>0</v>
      </c>
      <c r="AA14" s="4">
        <f t="shared" si="1"/>
        <v>0</v>
      </c>
      <c r="AB14" s="4">
        <f>IFERROR(tbl_główna_GRACZE[[#This Row],[2pm]]/tbl_główna_GRACZE[[#This Row],[2pa]],0)</f>
        <v>0</v>
      </c>
      <c r="AC14" s="4">
        <f t="shared" si="5"/>
        <v>0</v>
      </c>
      <c r="AD14" s="4">
        <f t="shared" si="6"/>
        <v>0</v>
      </c>
      <c r="AE14" s="11">
        <f t="shared" si="2"/>
        <v>3</v>
      </c>
      <c r="AF14" s="4">
        <f t="shared" si="10"/>
        <v>0</v>
      </c>
      <c r="AG14" s="4">
        <f t="shared" si="7"/>
        <v>0.33333333333333331</v>
      </c>
      <c r="AH1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4.1876046901172526E-2</v>
      </c>
      <c r="AI14" s="25">
        <f>tbl_główna_GRACZE[[#This Row],[pts]]*(40/tbl_główna_GRACZE[[#This Row],[min]])</f>
        <v>0</v>
      </c>
      <c r="AJ14" s="30">
        <f>tbl_główna_GRACZE[[#This Row],[reb total]]*(40/tbl_główna_GRACZE[[#This Row],[min]])</f>
        <v>15.384615384615385</v>
      </c>
      <c r="AK14" s="30">
        <f>tbl_główna_GRACZE[[#This Row],[asst]]*(40/tbl_główna_GRACZE[[#This Row],[min]])</f>
        <v>3.0769230769230771</v>
      </c>
      <c r="AL14" s="5">
        <f t="shared" si="8"/>
        <v>0</v>
      </c>
      <c r="AM14" s="5">
        <f>(tbl_główna_GRACZE[[#This Row],[stl]]+tbl_główna_GRACZE[[#This Row],[blk]])*(40/tbl_główna_GRACZE[[#This Row],[min]])</f>
        <v>0</v>
      </c>
      <c r="AN1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4" s="25">
        <f>tbl_główna_GRACZE[[#This Row],[stl]]+tbl_główna_GRACZE[[#This Row],[blk]]+(tbl_główna_GRACZE[[#This Row],[dreb]]*0.5)</f>
        <v>2</v>
      </c>
      <c r="AP14" s="29">
        <f>(tbl_główna_GRACZE[[#This Row],[stl]]+tbl_główna_GRACZE[[#This Row],[blk]]+0.5*tbl_główna_GRACZE[[#This Row],[dreb]])/tbl_główna_GRACZE[[#This Row],[min]]</f>
        <v>0.15384615384615385</v>
      </c>
      <c r="AQ14" s="6">
        <f t="shared" si="9"/>
        <v>0.50000000000000022</v>
      </c>
      <c r="AR14" s="6">
        <f>tbl_główna_GRACZE[[#This Row],[GmSc]]*(40/tbl_główna_GRACZE[[#This Row],[min]])</f>
        <v>1.5384615384615392</v>
      </c>
      <c r="AS14" s="6">
        <f>tbl_główna_GRACZE[[#This Row],[EVAL]]*(40/tbl_główna_GRACZE[[#This Row],[min]])</f>
        <v>9.2307692307692317</v>
      </c>
      <c r="AT14" s="11">
        <f>tbl_główna_GRACZE[[#This Row],[fgm]]-tbl_główna_GRACZE[[#This Row],[3pm]]</f>
        <v>0</v>
      </c>
      <c r="AU14" s="11">
        <f>tbl_główna_GRACZE[[#This Row],[fga]]-tbl_główna_GRACZE[[#This Row],[3pa]]</f>
        <v>2</v>
      </c>
      <c r="AV14">
        <f>IF(tbl_główna_GRACZE[[#This Row],[min]]&gt;0,1,0)</f>
        <v>1</v>
      </c>
      <c r="AW14" s="58" t="str">
        <f>tbl_główna_GRACZE[[#This Row],[I. Nazwisko]]</f>
        <v>T. Kowalczyk</v>
      </c>
    </row>
    <row r="15" spans="1:49" ht="14.5" customHeight="1" x14ac:dyDescent="0.35">
      <c r="A15" t="s">
        <v>25</v>
      </c>
      <c r="B15" t="s">
        <v>19</v>
      </c>
      <c r="C15" t="s">
        <v>58</v>
      </c>
      <c r="D15" t="str">
        <f>IF(C15="H",VLOOKUP($A15,tab_nazwy_zespołów[],2,0)&amp;VLOOKUP($B15,tab_nazwy_zespołów[],2,0),VLOOKUP($B15,tab_nazwy_zespołów[],2,0)&amp;VLOOKUP($A15,tab_nazwy_zespołów[],2,0))</f>
        <v>STAHUT</v>
      </c>
      <c r="E15">
        <v>1</v>
      </c>
      <c r="F15">
        <f>COUNTIF(tbl_zawodnicy_sumy[I. Nazwisko],tbl_główna_GRACZE[[#This Row],[I. Nazwisko]])</f>
        <v>1</v>
      </c>
      <c r="G15" s="58" t="str">
        <f>RIGHT(tbl_główna_GRACZE[[#This Row],[Kolumna1]],LEN(tbl_główna_GRACZE[[#This Row],[Kolumna1]])-FIND(" ",tbl_główna_GRACZE[[#This Row],[Kolumna1]]))</f>
        <v>S. Saushkin</v>
      </c>
      <c r="H15" s="2" t="s">
        <v>20</v>
      </c>
      <c r="I15" s="9">
        <v>8</v>
      </c>
      <c r="J15" s="9">
        <v>17</v>
      </c>
      <c r="K15" s="9">
        <v>1</v>
      </c>
      <c r="L15" s="9">
        <v>4</v>
      </c>
      <c r="M15" s="9">
        <v>0</v>
      </c>
      <c r="N15" s="9">
        <v>1</v>
      </c>
      <c r="O15" s="10">
        <v>3</v>
      </c>
      <c r="P15" s="10">
        <v>2</v>
      </c>
      <c r="Q15" s="10">
        <v>0</v>
      </c>
      <c r="R15" s="10">
        <v>6</v>
      </c>
      <c r="S15" s="10">
        <v>0</v>
      </c>
      <c r="T15" s="10">
        <v>0</v>
      </c>
      <c r="U15" s="10">
        <v>5</v>
      </c>
      <c r="V15" s="10">
        <v>40</v>
      </c>
      <c r="W15" s="10">
        <v>17</v>
      </c>
      <c r="X15" s="11">
        <f t="shared" si="3"/>
        <v>5</v>
      </c>
      <c r="Y15" s="4">
        <f t="shared" si="4"/>
        <v>0.47058823529411764</v>
      </c>
      <c r="Z15" s="4">
        <f t="shared" si="0"/>
        <v>0.25</v>
      </c>
      <c r="AA15" s="4">
        <f t="shared" si="1"/>
        <v>0</v>
      </c>
      <c r="AB15" s="4">
        <f>IFERROR(tbl_główna_GRACZE[[#This Row],[2pm]]/tbl_główna_GRACZE[[#This Row],[2pa]],0)</f>
        <v>0.53846153846153844</v>
      </c>
      <c r="AC15" s="4">
        <f t="shared" si="5"/>
        <v>0.48738532110091737</v>
      </c>
      <c r="AD15" s="4">
        <f t="shared" si="6"/>
        <v>0.5</v>
      </c>
      <c r="AE15" s="11">
        <f t="shared" si="2"/>
        <v>23</v>
      </c>
      <c r="AF15" s="4">
        <f t="shared" si="10"/>
        <v>5.8823529411764705E-2</v>
      </c>
      <c r="AG15" s="4">
        <f t="shared" si="7"/>
        <v>0.23529411764705882</v>
      </c>
      <c r="AH1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0.21113801452784506</v>
      </c>
      <c r="AI15" s="25">
        <f>tbl_główna_GRACZE[[#This Row],[pts]]*(40/tbl_główna_GRACZE[[#This Row],[min]])</f>
        <v>17</v>
      </c>
      <c r="AJ15" s="30">
        <f>tbl_główna_GRACZE[[#This Row],[reb total]]*(40/tbl_główna_GRACZE[[#This Row],[min]])</f>
        <v>5</v>
      </c>
      <c r="AK15" s="30">
        <f>tbl_główna_GRACZE[[#This Row],[asst]]*(40/tbl_główna_GRACZE[[#This Row],[min]])</f>
        <v>5</v>
      </c>
      <c r="AL15" s="5">
        <f t="shared" si="8"/>
        <v>1</v>
      </c>
      <c r="AM15" s="5">
        <f>(tbl_główna_GRACZE[[#This Row],[stl]]+tbl_główna_GRACZE[[#This Row],[blk]])*(40/tbl_główna_GRACZE[[#This Row],[min]])</f>
        <v>6</v>
      </c>
      <c r="AN1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0.35294117647058826</v>
      </c>
      <c r="AO15" s="25">
        <f>tbl_główna_GRACZE[[#This Row],[stl]]+tbl_główna_GRACZE[[#This Row],[blk]]+(tbl_główna_GRACZE[[#This Row],[dreb]]*0.5)</f>
        <v>7</v>
      </c>
      <c r="AP15" s="29">
        <f>(tbl_główna_GRACZE[[#This Row],[stl]]+tbl_główna_GRACZE[[#This Row],[blk]]+0.5*tbl_główna_GRACZE[[#This Row],[dreb]])/tbl_główna_GRACZE[[#This Row],[min]]</f>
        <v>0.17499999999999999</v>
      </c>
      <c r="AQ15" s="6">
        <f t="shared" si="9"/>
        <v>20.100000000000001</v>
      </c>
      <c r="AR15" s="6">
        <f>tbl_główna_GRACZE[[#This Row],[GmSc]]*(40/tbl_główna_GRACZE[[#This Row],[min]])</f>
        <v>20.100000000000001</v>
      </c>
      <c r="AS15" s="6">
        <f>tbl_główna_GRACZE[[#This Row],[EVAL]]*(40/tbl_główna_GRACZE[[#This Row],[min]])</f>
        <v>23</v>
      </c>
      <c r="AT15" s="11">
        <f>tbl_główna_GRACZE[[#This Row],[fgm]]-tbl_główna_GRACZE[[#This Row],[3pm]]</f>
        <v>7</v>
      </c>
      <c r="AU15" s="11">
        <f>tbl_główna_GRACZE[[#This Row],[fga]]-tbl_główna_GRACZE[[#This Row],[3pa]]</f>
        <v>13</v>
      </c>
      <c r="AV15">
        <f>IF(tbl_główna_GRACZE[[#This Row],[min]]&gt;0,1,0)</f>
        <v>1</v>
      </c>
      <c r="AW15" s="58" t="str">
        <f>tbl_główna_GRACZE[[#This Row],[I. Nazwisko]]</f>
        <v>S. Saushkin</v>
      </c>
    </row>
    <row r="16" spans="1:49" ht="14.5" customHeight="1" x14ac:dyDescent="0.35">
      <c r="A16" t="s">
        <v>25</v>
      </c>
      <c r="B16" t="s">
        <v>19</v>
      </c>
      <c r="C16" t="s">
        <v>58</v>
      </c>
      <c r="D16" t="str">
        <f>IF(C16="H",VLOOKUP($A16,tab_nazwy_zespołów[],2,0)&amp;VLOOKUP($B16,tab_nazwy_zespołów[],2,0),VLOOKUP($B16,tab_nazwy_zespołów[],2,0)&amp;VLOOKUP($A16,tab_nazwy_zespołów[],2,0))</f>
        <v>STAHUT</v>
      </c>
      <c r="E16">
        <v>1</v>
      </c>
      <c r="F16">
        <f>COUNTIF(tbl_zawodnicy_sumy[I. Nazwisko],tbl_główna_GRACZE[[#This Row],[I. Nazwisko]])</f>
        <v>1</v>
      </c>
      <c r="G16" s="58" t="str">
        <f>RIGHT(tbl_główna_GRACZE[[#This Row],[Kolumna1]],LEN(tbl_główna_GRACZE[[#This Row],[Kolumna1]])-FIND(" ",tbl_główna_GRACZE[[#This Row],[Kolumna1]]))</f>
        <v>K. Grzegorzak</v>
      </c>
      <c r="H16" s="2" t="s">
        <v>21</v>
      </c>
      <c r="I16" s="9">
        <v>5</v>
      </c>
      <c r="J16" s="9">
        <v>14</v>
      </c>
      <c r="K16" s="9">
        <v>2</v>
      </c>
      <c r="L16" s="9">
        <v>7</v>
      </c>
      <c r="M16" s="9">
        <v>1</v>
      </c>
      <c r="N16" s="9">
        <v>2</v>
      </c>
      <c r="O16" s="10">
        <v>3</v>
      </c>
      <c r="P16" s="10">
        <v>5</v>
      </c>
      <c r="Q16" s="10">
        <v>0</v>
      </c>
      <c r="R16" s="10">
        <v>4</v>
      </c>
      <c r="S16" s="10">
        <v>0</v>
      </c>
      <c r="T16" s="10">
        <v>0</v>
      </c>
      <c r="U16" s="10">
        <v>5</v>
      </c>
      <c r="V16" s="10">
        <v>40</v>
      </c>
      <c r="W16" s="10">
        <v>13</v>
      </c>
      <c r="X16" s="11">
        <f t="shared" si="3"/>
        <v>8</v>
      </c>
      <c r="Y16" s="4">
        <f t="shared" si="4"/>
        <v>0.35714285714285715</v>
      </c>
      <c r="Z16" s="4">
        <f t="shared" si="0"/>
        <v>0.2857142857142857</v>
      </c>
      <c r="AA16" s="4">
        <f t="shared" si="1"/>
        <v>0.5</v>
      </c>
      <c r="AB16" s="4">
        <f>IFERROR(tbl_główna_GRACZE[[#This Row],[2pm]]/tbl_główna_GRACZE[[#This Row],[2pa]],0)</f>
        <v>0.42857142857142855</v>
      </c>
      <c r="AC16" s="4">
        <f t="shared" si="5"/>
        <v>0.43682795698924731</v>
      </c>
      <c r="AD16" s="4">
        <f t="shared" si="6"/>
        <v>0.42857142857142855</v>
      </c>
      <c r="AE16" s="11">
        <f t="shared" si="2"/>
        <v>20</v>
      </c>
      <c r="AF16" s="4">
        <f t="shared" si="10"/>
        <v>0.14285714285714285</v>
      </c>
      <c r="AG16" s="4">
        <f t="shared" si="7"/>
        <v>0.5</v>
      </c>
      <c r="AH1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0.18014527845036321</v>
      </c>
      <c r="AI16" s="25">
        <f>tbl_główna_GRACZE[[#This Row],[pts]]*(40/tbl_główna_GRACZE[[#This Row],[min]])</f>
        <v>13</v>
      </c>
      <c r="AJ16" s="30">
        <f>tbl_główna_GRACZE[[#This Row],[reb total]]*(40/tbl_główna_GRACZE[[#This Row],[min]])</f>
        <v>8</v>
      </c>
      <c r="AK16" s="30">
        <f>tbl_główna_GRACZE[[#This Row],[asst]]*(40/tbl_główna_GRACZE[[#This Row],[min]])</f>
        <v>5</v>
      </c>
      <c r="AL16" s="5">
        <f t="shared" si="8"/>
        <v>0.9285714285714286</v>
      </c>
      <c r="AM16" s="5">
        <f>(tbl_główna_GRACZE[[#This Row],[stl]]+tbl_główna_GRACZE[[#This Row],[blk]])*(40/tbl_główna_GRACZE[[#This Row],[min]])</f>
        <v>4</v>
      </c>
      <c r="AN1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0.23529411764705882</v>
      </c>
      <c r="AO16" s="25">
        <f>tbl_główna_GRACZE[[#This Row],[stl]]+tbl_główna_GRACZE[[#This Row],[blk]]+(tbl_główna_GRACZE[[#This Row],[dreb]]*0.5)</f>
        <v>6.5</v>
      </c>
      <c r="AP16" s="29">
        <f>(tbl_główna_GRACZE[[#This Row],[stl]]+tbl_główna_GRACZE[[#This Row],[blk]]+0.5*tbl_główna_GRACZE[[#This Row],[dreb]])/tbl_główna_GRACZE[[#This Row],[min]]</f>
        <v>0.16250000000000001</v>
      </c>
      <c r="AQ16" s="6">
        <f t="shared" si="9"/>
        <v>15.9</v>
      </c>
      <c r="AR16" s="6">
        <f>tbl_główna_GRACZE[[#This Row],[GmSc]]*(40/tbl_główna_GRACZE[[#This Row],[min]])</f>
        <v>15.9</v>
      </c>
      <c r="AS16" s="6">
        <f>tbl_główna_GRACZE[[#This Row],[EVAL]]*(40/tbl_główna_GRACZE[[#This Row],[min]])</f>
        <v>20</v>
      </c>
      <c r="AT16" s="11">
        <f>tbl_główna_GRACZE[[#This Row],[fgm]]-tbl_główna_GRACZE[[#This Row],[3pm]]</f>
        <v>3</v>
      </c>
      <c r="AU16" s="11">
        <f>tbl_główna_GRACZE[[#This Row],[fga]]-tbl_główna_GRACZE[[#This Row],[3pa]]</f>
        <v>7</v>
      </c>
      <c r="AV16">
        <f>IF(tbl_główna_GRACZE[[#This Row],[min]]&gt;0,1,0)</f>
        <v>1</v>
      </c>
      <c r="AW16" s="58" t="str">
        <f>tbl_główna_GRACZE[[#This Row],[I. Nazwisko]]</f>
        <v>K. Grzegorzak</v>
      </c>
    </row>
    <row r="17" spans="1:49" ht="14.5" customHeight="1" x14ac:dyDescent="0.35">
      <c r="A17" t="s">
        <v>25</v>
      </c>
      <c r="B17" t="s">
        <v>19</v>
      </c>
      <c r="C17" t="s">
        <v>58</v>
      </c>
      <c r="D17" t="str">
        <f>IF(C17="H",VLOOKUP($A17,tab_nazwy_zespołów[],2,0)&amp;VLOOKUP($B17,tab_nazwy_zespołów[],2,0),VLOOKUP($B17,tab_nazwy_zespołów[],2,0)&amp;VLOOKUP($A17,tab_nazwy_zespołów[],2,0))</f>
        <v>STAHUT</v>
      </c>
      <c r="E17">
        <v>1</v>
      </c>
      <c r="F17">
        <f>COUNTIF(tbl_zawodnicy_sumy[I. Nazwisko],tbl_główna_GRACZE[[#This Row],[I. Nazwisko]])</f>
        <v>1</v>
      </c>
      <c r="G17" s="58" t="str">
        <f>RIGHT(tbl_główna_GRACZE[[#This Row],[Kolumna1]],LEN(tbl_główna_GRACZE[[#This Row],[Kolumna1]])-FIND(" ",tbl_główna_GRACZE[[#This Row],[Kolumna1]]))</f>
        <v>A. Nyckowski</v>
      </c>
      <c r="H17" s="2" t="s">
        <v>22</v>
      </c>
      <c r="I17" s="9">
        <v>3</v>
      </c>
      <c r="J17" s="9">
        <v>13</v>
      </c>
      <c r="K17" s="9">
        <v>0</v>
      </c>
      <c r="L17" s="9">
        <v>3</v>
      </c>
      <c r="M17" s="9">
        <v>6</v>
      </c>
      <c r="N17" s="9">
        <v>10</v>
      </c>
      <c r="O17" s="10">
        <v>9</v>
      </c>
      <c r="P17" s="10">
        <v>8</v>
      </c>
      <c r="Q17" s="10">
        <v>1</v>
      </c>
      <c r="R17" s="10">
        <v>5</v>
      </c>
      <c r="S17" s="10">
        <v>0</v>
      </c>
      <c r="T17" s="10">
        <v>0</v>
      </c>
      <c r="U17" s="10">
        <v>6</v>
      </c>
      <c r="V17" s="10">
        <v>40</v>
      </c>
      <c r="W17" s="10">
        <v>12</v>
      </c>
      <c r="X17" s="11">
        <f t="shared" si="3"/>
        <v>17</v>
      </c>
      <c r="Y17" s="4">
        <f t="shared" si="4"/>
        <v>0.23076923076923078</v>
      </c>
      <c r="Z17" s="4">
        <f t="shared" si="0"/>
        <v>0</v>
      </c>
      <c r="AA17" s="4">
        <f t="shared" si="1"/>
        <v>0.6</v>
      </c>
      <c r="AB17" s="4">
        <f>IFERROR(tbl_główna_GRACZE[[#This Row],[2pm]]/tbl_główna_GRACZE[[#This Row],[2pa]],0)</f>
        <v>0.3</v>
      </c>
      <c r="AC17" s="4">
        <f t="shared" si="5"/>
        <v>0.34482758620689657</v>
      </c>
      <c r="AD17" s="4">
        <f t="shared" si="6"/>
        <v>0.23076923076923078</v>
      </c>
      <c r="AE17" s="11">
        <f t="shared" si="2"/>
        <v>26</v>
      </c>
      <c r="AF17" s="4">
        <f t="shared" si="10"/>
        <v>0.76923076923076927</v>
      </c>
      <c r="AG17" s="4">
        <f t="shared" si="7"/>
        <v>0.23076923076923078</v>
      </c>
      <c r="AH1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0.21065375302663439</v>
      </c>
      <c r="AI17" s="25">
        <f>tbl_główna_GRACZE[[#This Row],[pts]]*(40/tbl_główna_GRACZE[[#This Row],[min]])</f>
        <v>12</v>
      </c>
      <c r="AJ17" s="30">
        <f>tbl_główna_GRACZE[[#This Row],[reb total]]*(40/tbl_główna_GRACZE[[#This Row],[min]])</f>
        <v>17</v>
      </c>
      <c r="AK17" s="30">
        <f>tbl_główna_GRACZE[[#This Row],[asst]]*(40/tbl_główna_GRACZE[[#This Row],[min]])</f>
        <v>6</v>
      </c>
      <c r="AL17" s="5">
        <f t="shared" si="8"/>
        <v>0.92307692307692313</v>
      </c>
      <c r="AM17" s="5">
        <f>(tbl_główna_GRACZE[[#This Row],[stl]]+tbl_główna_GRACZE[[#This Row],[blk]])*(40/tbl_główna_GRACZE[[#This Row],[min]])</f>
        <v>5</v>
      </c>
      <c r="AN1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0.29411764705882354</v>
      </c>
      <c r="AO17" s="25">
        <f>tbl_główna_GRACZE[[#This Row],[stl]]+tbl_główna_GRACZE[[#This Row],[blk]]+(tbl_główna_GRACZE[[#This Row],[dreb]]*0.5)</f>
        <v>9</v>
      </c>
      <c r="AP17" s="29">
        <f>(tbl_główna_GRACZE[[#This Row],[stl]]+tbl_główna_GRACZE[[#This Row],[blk]]+0.5*tbl_główna_GRACZE[[#This Row],[dreb]])/tbl_główna_GRACZE[[#This Row],[min]]</f>
        <v>0.22500000000000001</v>
      </c>
      <c r="AQ17" s="6">
        <f t="shared" si="9"/>
        <v>20.399999999999999</v>
      </c>
      <c r="AR17" s="6">
        <f>tbl_główna_GRACZE[[#This Row],[GmSc]]*(40/tbl_główna_GRACZE[[#This Row],[min]])</f>
        <v>20.399999999999999</v>
      </c>
      <c r="AS17" s="6">
        <f>tbl_główna_GRACZE[[#This Row],[EVAL]]*(40/tbl_główna_GRACZE[[#This Row],[min]])</f>
        <v>26</v>
      </c>
      <c r="AT17" s="11">
        <f>tbl_główna_GRACZE[[#This Row],[fgm]]-tbl_główna_GRACZE[[#This Row],[3pm]]</f>
        <v>3</v>
      </c>
      <c r="AU17" s="11">
        <f>tbl_główna_GRACZE[[#This Row],[fga]]-tbl_główna_GRACZE[[#This Row],[3pa]]</f>
        <v>10</v>
      </c>
      <c r="AV17">
        <f>IF(tbl_główna_GRACZE[[#This Row],[min]]&gt;0,1,0)</f>
        <v>1</v>
      </c>
      <c r="AW17" s="58" t="str">
        <f>tbl_główna_GRACZE[[#This Row],[I. Nazwisko]]</f>
        <v>A. Nyckowski</v>
      </c>
    </row>
    <row r="18" spans="1:49" ht="14.5" customHeight="1" x14ac:dyDescent="0.35">
      <c r="A18" t="s">
        <v>25</v>
      </c>
      <c r="B18" t="s">
        <v>19</v>
      </c>
      <c r="C18" t="s">
        <v>58</v>
      </c>
      <c r="D18" t="str">
        <f>IF(C18="H",VLOOKUP($A18,tab_nazwy_zespołów[],2,0)&amp;VLOOKUP($B18,tab_nazwy_zespołów[],2,0),VLOOKUP($B18,tab_nazwy_zespołów[],2,0)&amp;VLOOKUP($A18,tab_nazwy_zespołów[],2,0))</f>
        <v>STAHUT</v>
      </c>
      <c r="E18">
        <v>1</v>
      </c>
      <c r="F18">
        <f>COUNTIF(tbl_zawodnicy_sumy[I. Nazwisko],tbl_główna_GRACZE[[#This Row],[I. Nazwisko]])</f>
        <v>1</v>
      </c>
      <c r="G18" s="58" t="str">
        <f>RIGHT(tbl_główna_GRACZE[[#This Row],[Kolumna1]],LEN(tbl_główna_GRACZE[[#This Row],[Kolumna1]])-FIND(" ",tbl_główna_GRACZE[[#This Row],[Kolumna1]]))</f>
        <v>D. Reguła</v>
      </c>
      <c r="H18" s="2" t="s">
        <v>23</v>
      </c>
      <c r="I18" s="9">
        <v>5</v>
      </c>
      <c r="J18" s="9">
        <v>26</v>
      </c>
      <c r="K18" s="9">
        <v>1</v>
      </c>
      <c r="L18" s="9">
        <v>17</v>
      </c>
      <c r="M18" s="9">
        <v>0</v>
      </c>
      <c r="N18" s="9">
        <v>0</v>
      </c>
      <c r="O18" s="10">
        <v>0</v>
      </c>
      <c r="P18" s="10">
        <v>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40</v>
      </c>
      <c r="W18" s="10">
        <v>11</v>
      </c>
      <c r="X18" s="11">
        <f t="shared" si="3"/>
        <v>2</v>
      </c>
      <c r="Y18" s="4">
        <f t="shared" si="4"/>
        <v>0.19230769230769232</v>
      </c>
      <c r="Z18" s="4">
        <f t="shared" si="0"/>
        <v>5.8823529411764705E-2</v>
      </c>
      <c r="AA18" s="4">
        <f t="shared" si="1"/>
        <v>0</v>
      </c>
      <c r="AB18" s="4">
        <f>IFERROR(tbl_główna_GRACZE[[#This Row],[2pm]]/tbl_główna_GRACZE[[#This Row],[2pa]],0)</f>
        <v>0.44444444444444442</v>
      </c>
      <c r="AC18" s="4">
        <f t="shared" si="5"/>
        <v>0.21153846153846154</v>
      </c>
      <c r="AD18" s="4">
        <f t="shared" si="6"/>
        <v>0.21153846153846154</v>
      </c>
      <c r="AE18" s="11">
        <f t="shared" si="2"/>
        <v>-8</v>
      </c>
      <c r="AF18" s="4">
        <f t="shared" si="10"/>
        <v>0</v>
      </c>
      <c r="AG18" s="4">
        <f t="shared" si="7"/>
        <v>0.65384615384615385</v>
      </c>
      <c r="AH1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0.31476997578692495</v>
      </c>
      <c r="AI18" s="25">
        <f>tbl_główna_GRACZE[[#This Row],[pts]]*(40/tbl_główna_GRACZE[[#This Row],[min]])</f>
        <v>11</v>
      </c>
      <c r="AJ18" s="30">
        <f>tbl_główna_GRACZE[[#This Row],[reb total]]*(40/tbl_główna_GRACZE[[#This Row],[min]])</f>
        <v>2</v>
      </c>
      <c r="AK18" s="30">
        <f>tbl_główna_GRACZE[[#This Row],[asst]]*(40/tbl_główna_GRACZE[[#This Row],[min]])</f>
        <v>0</v>
      </c>
      <c r="AL18" s="5">
        <f t="shared" si="8"/>
        <v>0.42307692307692307</v>
      </c>
      <c r="AM18" s="5">
        <f>(tbl_główna_GRACZE[[#This Row],[stl]]+tbl_główna_GRACZE[[#This Row],[blk]])*(40/tbl_główna_GRACZE[[#This Row],[min]])</f>
        <v>0</v>
      </c>
      <c r="AN1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8" s="25">
        <f>tbl_główna_GRACZE[[#This Row],[stl]]+tbl_główna_GRACZE[[#This Row],[blk]]+(tbl_główna_GRACZE[[#This Row],[dreb]]*0.5)</f>
        <v>1</v>
      </c>
      <c r="AP18" s="29">
        <f>(tbl_główna_GRACZE[[#This Row],[stl]]+tbl_główna_GRACZE[[#This Row],[blk]]+0.5*tbl_główna_GRACZE[[#This Row],[dreb]])/tbl_główna_GRACZE[[#This Row],[min]]</f>
        <v>2.5000000000000001E-2</v>
      </c>
      <c r="AQ18" s="6">
        <f t="shared" si="9"/>
        <v>-4.5999999999999996</v>
      </c>
      <c r="AR18" s="6">
        <f>tbl_główna_GRACZE[[#This Row],[GmSc]]*(40/tbl_główna_GRACZE[[#This Row],[min]])</f>
        <v>-4.5999999999999996</v>
      </c>
      <c r="AS18" s="6">
        <f>tbl_główna_GRACZE[[#This Row],[EVAL]]*(40/tbl_główna_GRACZE[[#This Row],[min]])</f>
        <v>-8</v>
      </c>
      <c r="AT18" s="11">
        <f>tbl_główna_GRACZE[[#This Row],[fgm]]-tbl_główna_GRACZE[[#This Row],[3pm]]</f>
        <v>4</v>
      </c>
      <c r="AU18" s="11">
        <f>tbl_główna_GRACZE[[#This Row],[fga]]-tbl_główna_GRACZE[[#This Row],[3pa]]</f>
        <v>9</v>
      </c>
      <c r="AV18">
        <f>IF(tbl_główna_GRACZE[[#This Row],[min]]&gt;0,1,0)</f>
        <v>1</v>
      </c>
      <c r="AW18" s="58" t="str">
        <f>tbl_główna_GRACZE[[#This Row],[I. Nazwisko]]</f>
        <v>D. Reguła</v>
      </c>
    </row>
    <row r="19" spans="1:49" ht="14.5" customHeight="1" x14ac:dyDescent="0.35">
      <c r="A19" t="s">
        <v>25</v>
      </c>
      <c r="B19" t="s">
        <v>19</v>
      </c>
      <c r="C19" t="s">
        <v>58</v>
      </c>
      <c r="D19" t="str">
        <f>IF(C19="H",VLOOKUP($A19,tab_nazwy_zespołów[],2,0)&amp;VLOOKUP($B19,tab_nazwy_zespołów[],2,0),VLOOKUP($B19,tab_nazwy_zespołów[],2,0)&amp;VLOOKUP($A19,tab_nazwy_zespołów[],2,0))</f>
        <v>STAHUT</v>
      </c>
      <c r="E19">
        <v>1</v>
      </c>
      <c r="F19">
        <f>COUNTIF(tbl_zawodnicy_sumy[I. Nazwisko],tbl_główna_GRACZE[[#This Row],[I. Nazwisko]])</f>
        <v>1</v>
      </c>
      <c r="G19" s="58" t="str">
        <f>RIGHT(tbl_główna_GRACZE[[#This Row],[Kolumna1]],LEN(tbl_główna_GRACZE[[#This Row],[Kolumna1]])-FIND(" ",tbl_główna_GRACZE[[#This Row],[Kolumna1]]))</f>
        <v>P. Targoński</v>
      </c>
      <c r="H19" s="2" t="s">
        <v>24</v>
      </c>
      <c r="I19" s="9">
        <v>3</v>
      </c>
      <c r="J19" s="9">
        <v>6</v>
      </c>
      <c r="K19" s="9">
        <v>0</v>
      </c>
      <c r="L19" s="9">
        <v>1</v>
      </c>
      <c r="M19" s="9">
        <v>1</v>
      </c>
      <c r="N19" s="9">
        <v>2</v>
      </c>
      <c r="O19" s="10">
        <v>4</v>
      </c>
      <c r="P19" s="10">
        <v>8</v>
      </c>
      <c r="Q19" s="10">
        <v>1</v>
      </c>
      <c r="R19" s="10">
        <v>2</v>
      </c>
      <c r="S19" s="10">
        <v>0</v>
      </c>
      <c r="T19" s="10">
        <v>0</v>
      </c>
      <c r="U19" s="10">
        <v>5</v>
      </c>
      <c r="V19" s="10">
        <v>40</v>
      </c>
      <c r="W19" s="10">
        <v>7</v>
      </c>
      <c r="X19" s="11">
        <f t="shared" si="3"/>
        <v>12</v>
      </c>
      <c r="Y19" s="4">
        <f t="shared" si="4"/>
        <v>0.5</v>
      </c>
      <c r="Z19" s="4">
        <f t="shared" si="0"/>
        <v>0</v>
      </c>
      <c r="AA19" s="4">
        <f t="shared" si="1"/>
        <v>0.5</v>
      </c>
      <c r="AB19" s="4">
        <f>IFERROR(tbl_główna_GRACZE[[#This Row],[2pm]]/tbl_główna_GRACZE[[#This Row],[2pa]],0)</f>
        <v>0.6</v>
      </c>
      <c r="AC19" s="4">
        <f t="shared" si="5"/>
        <v>0.50872093023255816</v>
      </c>
      <c r="AD19" s="4">
        <f t="shared" si="6"/>
        <v>0.5</v>
      </c>
      <c r="AE19" s="11">
        <f t="shared" si="2"/>
        <v>22</v>
      </c>
      <c r="AF19" s="4">
        <f t="shared" si="10"/>
        <v>0.33333333333333331</v>
      </c>
      <c r="AG19" s="4">
        <f t="shared" si="7"/>
        <v>0.16666666666666666</v>
      </c>
      <c r="AH1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8.3292978208232449E-2</v>
      </c>
      <c r="AI19" s="25">
        <f>tbl_główna_GRACZE[[#This Row],[pts]]*(40/tbl_główna_GRACZE[[#This Row],[min]])</f>
        <v>7</v>
      </c>
      <c r="AJ19" s="30">
        <f>tbl_główna_GRACZE[[#This Row],[reb total]]*(40/tbl_główna_GRACZE[[#This Row],[min]])</f>
        <v>12</v>
      </c>
      <c r="AK19" s="30">
        <f>tbl_główna_GRACZE[[#This Row],[asst]]*(40/tbl_główna_GRACZE[[#This Row],[min]])</f>
        <v>5</v>
      </c>
      <c r="AL19" s="5">
        <f t="shared" si="8"/>
        <v>1.1666666666666667</v>
      </c>
      <c r="AM19" s="5">
        <f>(tbl_główna_GRACZE[[#This Row],[stl]]+tbl_główna_GRACZE[[#This Row],[blk]])*(40/tbl_główna_GRACZE[[#This Row],[min]])</f>
        <v>2</v>
      </c>
      <c r="AN1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0.11764705882352941</v>
      </c>
      <c r="AO19" s="25">
        <f>tbl_główna_GRACZE[[#This Row],[stl]]+tbl_główna_GRACZE[[#This Row],[blk]]+(tbl_główna_GRACZE[[#This Row],[dreb]]*0.5)</f>
        <v>6</v>
      </c>
      <c r="AP19" s="29">
        <f>(tbl_główna_GRACZE[[#This Row],[stl]]+tbl_główna_GRACZE[[#This Row],[blk]]+0.5*tbl_główna_GRACZE[[#This Row],[dreb]])/tbl_główna_GRACZE[[#This Row],[min]]</f>
        <v>0.15</v>
      </c>
      <c r="AQ19" s="6">
        <f t="shared" si="9"/>
        <v>14.3</v>
      </c>
      <c r="AR19" s="6">
        <f>tbl_główna_GRACZE[[#This Row],[GmSc]]*(40/tbl_główna_GRACZE[[#This Row],[min]])</f>
        <v>14.3</v>
      </c>
      <c r="AS19" s="6">
        <f>tbl_główna_GRACZE[[#This Row],[EVAL]]*(40/tbl_główna_GRACZE[[#This Row],[min]])</f>
        <v>22</v>
      </c>
      <c r="AT19" s="11">
        <f>tbl_główna_GRACZE[[#This Row],[fgm]]-tbl_główna_GRACZE[[#This Row],[3pm]]</f>
        <v>3</v>
      </c>
      <c r="AU19" s="11">
        <f>tbl_główna_GRACZE[[#This Row],[fga]]-tbl_główna_GRACZE[[#This Row],[3pa]]</f>
        <v>5</v>
      </c>
      <c r="AV19">
        <f>IF(tbl_główna_GRACZE[[#This Row],[min]]&gt;0,1,0)</f>
        <v>1</v>
      </c>
      <c r="AW19" s="58" t="str">
        <f>tbl_główna_GRACZE[[#This Row],[I. Nazwisko]]</f>
        <v>P. Targoński</v>
      </c>
    </row>
    <row r="20" spans="1:49" ht="14.5" customHeight="1" x14ac:dyDescent="0.35">
      <c r="A20" t="s">
        <v>46</v>
      </c>
      <c r="B20" t="s">
        <v>48</v>
      </c>
      <c r="C20" t="s">
        <v>57</v>
      </c>
      <c r="D20" t="str">
        <f>IF(C20="H",VLOOKUP($A20,tab_nazwy_zespołów[],2,0)&amp;VLOOKUP($B20,tab_nazwy_zespołów[],2,0),VLOOKUP($B20,tab_nazwy_zespołów[],2,0)&amp;VLOOKUP($A20,tab_nazwy_zespołów[],2,0))</f>
        <v>BYPŁOD</v>
      </c>
      <c r="E20">
        <v>1</v>
      </c>
      <c r="F20">
        <f>COUNTIF(tbl_zawodnicy_sumy[I. Nazwisko],tbl_główna_GRACZE[[#This Row],[I. Nazwisko]])</f>
        <v>1</v>
      </c>
      <c r="G20" s="58" t="str">
        <f>RIGHT(tbl_główna_GRACZE[[#This Row],[Kolumna1]],LEN(tbl_główna_GRACZE[[#This Row],[Kolumna1]])-FIND(" ",tbl_główna_GRACZE[[#This Row],[Kolumna1]]))</f>
        <v>Ł. Sulejewski</v>
      </c>
      <c r="H20" s="10" t="s">
        <v>69</v>
      </c>
      <c r="I20" s="10">
        <v>7</v>
      </c>
      <c r="J20" s="10">
        <v>23</v>
      </c>
      <c r="K20" s="10">
        <v>1</v>
      </c>
      <c r="L20" s="10">
        <v>9</v>
      </c>
      <c r="M20" s="10">
        <v>3</v>
      </c>
      <c r="N20" s="10">
        <v>5</v>
      </c>
      <c r="O20" s="10">
        <v>1</v>
      </c>
      <c r="P20" s="10">
        <v>2</v>
      </c>
      <c r="Q20" s="10">
        <v>0</v>
      </c>
      <c r="R20" s="10">
        <v>0</v>
      </c>
      <c r="S20" s="10">
        <v>0</v>
      </c>
      <c r="T20" s="10">
        <v>1</v>
      </c>
      <c r="U20" s="10">
        <v>2</v>
      </c>
      <c r="V20" s="10">
        <v>36</v>
      </c>
      <c r="W20" s="10">
        <v>18</v>
      </c>
      <c r="X20" s="11">
        <f t="shared" ref="X20:X27" si="11">O20+P20</f>
        <v>3</v>
      </c>
      <c r="Y20" s="4">
        <f t="shared" ref="Y20:Y27" si="12">I20/J20</f>
        <v>0.30434782608695654</v>
      </c>
      <c r="Z20" s="4">
        <f t="shared" si="0"/>
        <v>0.1111111111111111</v>
      </c>
      <c r="AA20" s="4">
        <f t="shared" si="1"/>
        <v>0.6</v>
      </c>
      <c r="AB20" s="4">
        <f>IFERROR(tbl_główna_GRACZE[[#This Row],[2pm]]/tbl_główna_GRACZE[[#This Row],[2pa]],0)</f>
        <v>0.42857142857142855</v>
      </c>
      <c r="AC20" s="4">
        <f t="shared" ref="AC20:AC27" si="13">W20/(2*(J20+0.44*N20))</f>
        <v>0.35714285714285715</v>
      </c>
      <c r="AD20" s="4">
        <f t="shared" ref="AD20:AD27" si="14">(I20+0.5*K20)/J20</f>
        <v>0.32608695652173914</v>
      </c>
      <c r="AE20" s="11">
        <f t="shared" si="2"/>
        <v>6</v>
      </c>
      <c r="AF20" s="4">
        <f t="shared" ref="AF20:AF27" si="15">N20/J20</f>
        <v>0.21739130434782608</v>
      </c>
      <c r="AG20" s="4">
        <f t="shared" ref="AG20:AG27" si="16">L20/J20</f>
        <v>0.39130434782608697</v>
      </c>
      <c r="AH2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0.35979440319817241</v>
      </c>
      <c r="AI20" s="25">
        <f>tbl_główna_GRACZE[[#This Row],[pts]]*(40/tbl_główna_GRACZE[[#This Row],[min]])</f>
        <v>20</v>
      </c>
      <c r="AJ20" s="30">
        <f>tbl_główna_GRACZE[[#This Row],[reb total]]*(40/tbl_główna_GRACZE[[#This Row],[min]])</f>
        <v>3.3333333333333335</v>
      </c>
      <c r="AK20" s="30">
        <f>tbl_główna_GRACZE[[#This Row],[asst]]*(40/tbl_główna_GRACZE[[#This Row],[min]])</f>
        <v>2.2222222222222223</v>
      </c>
      <c r="AL20" s="5">
        <f t="shared" ref="AL20:AL27" si="17">W20/J20</f>
        <v>0.78260869565217395</v>
      </c>
      <c r="AM20" s="5">
        <f>(tbl_główna_GRACZE[[#This Row],[stl]]+tbl_główna_GRACZE[[#This Row],[blk]])*(40/tbl_główna_GRACZE[[#This Row],[min]])</f>
        <v>1.1111111111111112</v>
      </c>
      <c r="AN2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0" s="25">
        <f>tbl_główna_GRACZE[[#This Row],[stl]]+tbl_główna_GRACZE[[#This Row],[blk]]+(tbl_główna_GRACZE[[#This Row],[dreb]]*0.5)</f>
        <v>2</v>
      </c>
      <c r="AP20" s="29">
        <f>(tbl_główna_GRACZE[[#This Row],[stl]]+tbl_główna_GRACZE[[#This Row],[blk]]+0.5*tbl_główna_GRACZE[[#This Row],[dreb]])/tbl_główna_GRACZE[[#This Row],[min]]</f>
        <v>5.5555555555555552E-2</v>
      </c>
      <c r="AQ20" s="6">
        <f t="shared" ref="AQ20:AQ27" si="18">W20+0.4*I20-0.7*J20-0.4*(N20-M20)+0.7*O20+0.3*P20+R20+0.7*U20+0.7*T20</f>
        <v>7.3000000000000034</v>
      </c>
      <c r="AR20" s="6">
        <f>tbl_główna_GRACZE[[#This Row],[GmSc]]*(40/tbl_główna_GRACZE[[#This Row],[min]])</f>
        <v>8.111111111111116</v>
      </c>
      <c r="AS20" s="6">
        <f>tbl_główna_GRACZE[[#This Row],[EVAL]]*(40/tbl_główna_GRACZE[[#This Row],[min]])</f>
        <v>6.666666666666667</v>
      </c>
      <c r="AT20" s="11">
        <f>tbl_główna_GRACZE[[#This Row],[fgm]]-tbl_główna_GRACZE[[#This Row],[3pm]]</f>
        <v>6</v>
      </c>
      <c r="AU20" s="11">
        <f>tbl_główna_GRACZE[[#This Row],[fga]]-tbl_główna_GRACZE[[#This Row],[3pa]]</f>
        <v>14</v>
      </c>
      <c r="AV20">
        <f>IF(tbl_główna_GRACZE[[#This Row],[min]]&gt;0,1,0)</f>
        <v>1</v>
      </c>
      <c r="AW20" s="58" t="str">
        <f>tbl_główna_GRACZE[[#This Row],[I. Nazwisko]]</f>
        <v>Ł. Sulejewski</v>
      </c>
    </row>
    <row r="21" spans="1:49" ht="14.5" customHeight="1" x14ac:dyDescent="0.35">
      <c r="A21" t="s">
        <v>46</v>
      </c>
      <c r="B21" t="s">
        <v>48</v>
      </c>
      <c r="C21" t="s">
        <v>57</v>
      </c>
      <c r="D21" t="str">
        <f>IF(C21="H",VLOOKUP($A21,tab_nazwy_zespołów[],2,0)&amp;VLOOKUP($B21,tab_nazwy_zespołów[],2,0),VLOOKUP($B21,tab_nazwy_zespołów[],2,0)&amp;VLOOKUP($A21,tab_nazwy_zespołów[],2,0))</f>
        <v>BYPŁOD</v>
      </c>
      <c r="E21">
        <v>1</v>
      </c>
      <c r="F21">
        <f>COUNTIF(tbl_zawodnicy_sumy[I. Nazwisko],tbl_główna_GRACZE[[#This Row],[I. Nazwisko]])</f>
        <v>1</v>
      </c>
      <c r="G21" s="58" t="str">
        <f>RIGHT(tbl_główna_GRACZE[[#This Row],[Kolumna1]],LEN(tbl_główna_GRACZE[[#This Row],[Kolumna1]])-FIND(" ",tbl_główna_GRACZE[[#This Row],[Kolumna1]]))</f>
        <v>P. Wołczyński</v>
      </c>
      <c r="H21" s="10" t="s">
        <v>70</v>
      </c>
      <c r="I21" s="10">
        <v>5</v>
      </c>
      <c r="J21" s="10">
        <v>10</v>
      </c>
      <c r="K21" s="10">
        <v>0</v>
      </c>
      <c r="L21" s="10">
        <v>0</v>
      </c>
      <c r="M21" s="10">
        <v>0</v>
      </c>
      <c r="N21" s="10">
        <v>0</v>
      </c>
      <c r="O21" s="10">
        <v>2</v>
      </c>
      <c r="P21" s="10">
        <v>4</v>
      </c>
      <c r="Q21" s="10">
        <v>1</v>
      </c>
      <c r="R21" s="10">
        <v>1</v>
      </c>
      <c r="S21" s="10">
        <v>0</v>
      </c>
      <c r="T21" s="10">
        <v>0</v>
      </c>
      <c r="U21" s="10">
        <v>3</v>
      </c>
      <c r="V21" s="10">
        <v>28</v>
      </c>
      <c r="W21" s="10">
        <v>10</v>
      </c>
      <c r="X21" s="11">
        <f t="shared" si="11"/>
        <v>6</v>
      </c>
      <c r="Y21" s="4">
        <f t="shared" si="12"/>
        <v>0.5</v>
      </c>
      <c r="Z21" s="4">
        <f t="shared" si="0"/>
        <v>0</v>
      </c>
      <c r="AA21" s="4">
        <f t="shared" si="1"/>
        <v>0</v>
      </c>
      <c r="AB21" s="4">
        <f>IFERROR(tbl_główna_GRACZE[[#This Row],[2pm]]/tbl_główna_GRACZE[[#This Row],[2pa]],0)</f>
        <v>0.5</v>
      </c>
      <c r="AC21" s="4">
        <f t="shared" si="13"/>
        <v>0.5</v>
      </c>
      <c r="AD21" s="4">
        <f t="shared" si="14"/>
        <v>0.5</v>
      </c>
      <c r="AE21" s="11">
        <f t="shared" si="2"/>
        <v>15</v>
      </c>
      <c r="AF21" s="4">
        <f t="shared" si="15"/>
        <v>0</v>
      </c>
      <c r="AG21" s="4">
        <f t="shared" si="16"/>
        <v>0</v>
      </c>
      <c r="AH2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0.14277555682467161</v>
      </c>
      <c r="AI21" s="25">
        <f>tbl_główna_GRACZE[[#This Row],[pts]]*(40/tbl_główna_GRACZE[[#This Row],[min]])</f>
        <v>14.285714285714286</v>
      </c>
      <c r="AJ21" s="30">
        <f>tbl_główna_GRACZE[[#This Row],[reb total]]*(40/tbl_główna_GRACZE[[#This Row],[min]])</f>
        <v>8.5714285714285712</v>
      </c>
      <c r="AK21" s="30">
        <f>tbl_główna_GRACZE[[#This Row],[asst]]*(40/tbl_główna_GRACZE[[#This Row],[min]])</f>
        <v>4.2857142857142856</v>
      </c>
      <c r="AL21" s="5">
        <f t="shared" si="17"/>
        <v>1</v>
      </c>
      <c r="AM21" s="5">
        <f>(tbl_główna_GRACZE[[#This Row],[stl]]+tbl_główna_GRACZE[[#This Row],[blk]])*(40/tbl_główna_GRACZE[[#This Row],[min]])</f>
        <v>1.4285714285714286</v>
      </c>
      <c r="AN2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1" s="25">
        <f>tbl_główna_GRACZE[[#This Row],[stl]]+tbl_główna_GRACZE[[#This Row],[blk]]+(tbl_główna_GRACZE[[#This Row],[dreb]]*0.5)</f>
        <v>3</v>
      </c>
      <c r="AP21" s="29">
        <f>(tbl_główna_GRACZE[[#This Row],[stl]]+tbl_główna_GRACZE[[#This Row],[blk]]+0.5*tbl_główna_GRACZE[[#This Row],[dreb]])/tbl_główna_GRACZE[[#This Row],[min]]</f>
        <v>0.10714285714285714</v>
      </c>
      <c r="AQ21" s="6">
        <f t="shared" si="18"/>
        <v>10.700000000000001</v>
      </c>
      <c r="AR21" s="6">
        <f>tbl_główna_GRACZE[[#This Row],[GmSc]]*(40/tbl_główna_GRACZE[[#This Row],[min]])</f>
        <v>15.285714285714288</v>
      </c>
      <c r="AS21" s="6">
        <f>tbl_główna_GRACZE[[#This Row],[EVAL]]*(40/tbl_główna_GRACZE[[#This Row],[min]])</f>
        <v>21.428571428571431</v>
      </c>
      <c r="AT21" s="11">
        <f>tbl_główna_GRACZE[[#This Row],[fgm]]-tbl_główna_GRACZE[[#This Row],[3pm]]</f>
        <v>5</v>
      </c>
      <c r="AU21" s="11">
        <f>tbl_główna_GRACZE[[#This Row],[fga]]-tbl_główna_GRACZE[[#This Row],[3pa]]</f>
        <v>10</v>
      </c>
      <c r="AV21">
        <f>IF(tbl_główna_GRACZE[[#This Row],[min]]&gt;0,1,0)</f>
        <v>1</v>
      </c>
      <c r="AW21" s="58" t="str">
        <f>tbl_główna_GRACZE[[#This Row],[I. Nazwisko]]</f>
        <v>P. Wołczyński</v>
      </c>
    </row>
    <row r="22" spans="1:49" ht="14.5" customHeight="1" x14ac:dyDescent="0.35">
      <c r="A22" t="s">
        <v>46</v>
      </c>
      <c r="B22" t="s">
        <v>48</v>
      </c>
      <c r="C22" t="s">
        <v>57</v>
      </c>
      <c r="D22" t="str">
        <f>IF(C22="H",VLOOKUP($A22,tab_nazwy_zespołów[],2,0)&amp;VLOOKUP($B22,tab_nazwy_zespołów[],2,0),VLOOKUP($B22,tab_nazwy_zespołów[],2,0)&amp;VLOOKUP($A22,tab_nazwy_zespołów[],2,0))</f>
        <v>BYPŁOD</v>
      </c>
      <c r="E22">
        <v>1</v>
      </c>
      <c r="F22">
        <f>COUNTIF(tbl_zawodnicy_sumy[I. Nazwisko],tbl_główna_GRACZE[[#This Row],[I. Nazwisko]])</f>
        <v>1</v>
      </c>
      <c r="G22" s="58" t="str">
        <f>RIGHT(tbl_główna_GRACZE[[#This Row],[Kolumna1]],LEN(tbl_główna_GRACZE[[#This Row],[Kolumna1]])-FIND(" ",tbl_główna_GRACZE[[#This Row],[Kolumna1]]))</f>
        <v>J. Kurek</v>
      </c>
      <c r="H22" s="10" t="s">
        <v>71</v>
      </c>
      <c r="I22" s="10">
        <v>3</v>
      </c>
      <c r="J22" s="10">
        <v>6</v>
      </c>
      <c r="K22" s="10">
        <v>0</v>
      </c>
      <c r="L22" s="10">
        <v>2</v>
      </c>
      <c r="M22" s="10">
        <v>0</v>
      </c>
      <c r="N22" s="10">
        <v>0</v>
      </c>
      <c r="O22" s="10">
        <v>0</v>
      </c>
      <c r="P22" s="10">
        <v>3</v>
      </c>
      <c r="Q22" s="10">
        <v>1</v>
      </c>
      <c r="R22" s="10">
        <v>0</v>
      </c>
      <c r="S22" s="10">
        <v>0</v>
      </c>
      <c r="T22" s="10">
        <v>1</v>
      </c>
      <c r="U22" s="10">
        <v>2</v>
      </c>
      <c r="V22" s="10">
        <v>24</v>
      </c>
      <c r="W22" s="10">
        <v>6</v>
      </c>
      <c r="X22" s="11">
        <f t="shared" si="11"/>
        <v>3</v>
      </c>
      <c r="Y22" s="4">
        <f t="shared" si="12"/>
        <v>0.5</v>
      </c>
      <c r="Z22" s="4">
        <f t="shared" si="0"/>
        <v>0</v>
      </c>
      <c r="AA22" s="4">
        <f t="shared" si="1"/>
        <v>0</v>
      </c>
      <c r="AB22" s="4">
        <f>IFERROR(tbl_główna_GRACZE[[#This Row],[2pm]]/tbl_główna_GRACZE[[#This Row],[2pa]],0)</f>
        <v>0.75</v>
      </c>
      <c r="AC22" s="4">
        <f t="shared" si="13"/>
        <v>0.5</v>
      </c>
      <c r="AD22" s="4">
        <f t="shared" si="14"/>
        <v>0.5</v>
      </c>
      <c r="AE22" s="11">
        <f t="shared" si="2"/>
        <v>9</v>
      </c>
      <c r="AF22" s="4">
        <f t="shared" si="15"/>
        <v>0</v>
      </c>
      <c r="AG22" s="4">
        <f t="shared" si="16"/>
        <v>0.33333333333333331</v>
      </c>
      <c r="AH2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8.5665334094802967E-2</v>
      </c>
      <c r="AI22" s="25">
        <f>tbl_główna_GRACZE[[#This Row],[pts]]*(40/tbl_główna_GRACZE[[#This Row],[min]])</f>
        <v>10</v>
      </c>
      <c r="AJ22" s="30">
        <f>tbl_główna_GRACZE[[#This Row],[reb total]]*(40/tbl_główna_GRACZE[[#This Row],[min]])</f>
        <v>5</v>
      </c>
      <c r="AK22" s="30">
        <f>tbl_główna_GRACZE[[#This Row],[asst]]*(40/tbl_główna_GRACZE[[#This Row],[min]])</f>
        <v>3.3333333333333335</v>
      </c>
      <c r="AL22" s="5">
        <f t="shared" si="17"/>
        <v>1</v>
      </c>
      <c r="AM22" s="5">
        <f>(tbl_główna_GRACZE[[#This Row],[stl]]+tbl_główna_GRACZE[[#This Row],[blk]])*(40/tbl_główna_GRACZE[[#This Row],[min]])</f>
        <v>1.6666666666666667</v>
      </c>
      <c r="AN2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2" s="25">
        <f>tbl_główna_GRACZE[[#This Row],[stl]]+tbl_główna_GRACZE[[#This Row],[blk]]+(tbl_główna_GRACZE[[#This Row],[dreb]]*0.5)</f>
        <v>2.5</v>
      </c>
      <c r="AP22" s="29">
        <f>(tbl_główna_GRACZE[[#This Row],[stl]]+tbl_główna_GRACZE[[#This Row],[blk]]+0.5*tbl_główna_GRACZE[[#This Row],[dreb]])/tbl_główna_GRACZE[[#This Row],[min]]</f>
        <v>0.10416666666666667</v>
      </c>
      <c r="AQ22" s="6">
        <f t="shared" si="18"/>
        <v>6.0000000000000009</v>
      </c>
      <c r="AR22" s="6">
        <f>tbl_główna_GRACZE[[#This Row],[GmSc]]*(40/tbl_główna_GRACZE[[#This Row],[min]])</f>
        <v>10.000000000000002</v>
      </c>
      <c r="AS22" s="6">
        <f>tbl_główna_GRACZE[[#This Row],[EVAL]]*(40/tbl_główna_GRACZE[[#This Row],[min]])</f>
        <v>15</v>
      </c>
      <c r="AT22" s="11">
        <f>tbl_główna_GRACZE[[#This Row],[fgm]]-tbl_główna_GRACZE[[#This Row],[3pm]]</f>
        <v>3</v>
      </c>
      <c r="AU22" s="11">
        <f>tbl_główna_GRACZE[[#This Row],[fga]]-tbl_główna_GRACZE[[#This Row],[3pa]]</f>
        <v>4</v>
      </c>
      <c r="AV22">
        <f>IF(tbl_główna_GRACZE[[#This Row],[min]]&gt;0,1,0)</f>
        <v>1</v>
      </c>
      <c r="AW22" s="58" t="str">
        <f>tbl_główna_GRACZE[[#This Row],[I. Nazwisko]]</f>
        <v>J. Kurek</v>
      </c>
    </row>
    <row r="23" spans="1:49" ht="14.5" customHeight="1" x14ac:dyDescent="0.35">
      <c r="A23" t="s">
        <v>46</v>
      </c>
      <c r="B23" t="s">
        <v>48</v>
      </c>
      <c r="C23" t="s">
        <v>57</v>
      </c>
      <c r="D23" t="str">
        <f>IF(C23="H",VLOOKUP($A23,tab_nazwy_zespołów[],2,0)&amp;VLOOKUP($B23,tab_nazwy_zespołów[],2,0),VLOOKUP($B23,tab_nazwy_zespołów[],2,0)&amp;VLOOKUP($A23,tab_nazwy_zespołów[],2,0))</f>
        <v>BYPŁOD</v>
      </c>
      <c r="E23">
        <v>1</v>
      </c>
      <c r="F23">
        <f>COUNTIF(tbl_zawodnicy_sumy[I. Nazwisko],tbl_główna_GRACZE[[#This Row],[I. Nazwisko]])</f>
        <v>1</v>
      </c>
      <c r="G23" s="58" t="str">
        <f>RIGHT(tbl_główna_GRACZE[[#This Row],[Kolumna1]],LEN(tbl_główna_GRACZE[[#This Row],[Kolumna1]])-FIND(" ",tbl_główna_GRACZE[[#This Row],[Kolumna1]]))</f>
        <v>A. Stańczuk</v>
      </c>
      <c r="H23" s="10" t="s">
        <v>72</v>
      </c>
      <c r="I23" s="10">
        <v>1</v>
      </c>
      <c r="J23" s="10">
        <v>7</v>
      </c>
      <c r="K23" s="10">
        <v>0</v>
      </c>
      <c r="L23" s="10">
        <v>1</v>
      </c>
      <c r="M23" s="10">
        <v>2</v>
      </c>
      <c r="N23" s="10">
        <v>5</v>
      </c>
      <c r="O23" s="10">
        <v>2</v>
      </c>
      <c r="P23" s="10">
        <v>3</v>
      </c>
      <c r="Q23" s="10">
        <v>1</v>
      </c>
      <c r="R23" s="10">
        <v>0</v>
      </c>
      <c r="S23" s="10">
        <v>0</v>
      </c>
      <c r="T23" s="10">
        <v>0</v>
      </c>
      <c r="U23" s="10">
        <v>1</v>
      </c>
      <c r="V23" s="10">
        <v>28</v>
      </c>
      <c r="W23" s="10">
        <v>4</v>
      </c>
      <c r="X23" s="11">
        <f t="shared" si="11"/>
        <v>5</v>
      </c>
      <c r="Y23" s="4">
        <f t="shared" si="12"/>
        <v>0.14285714285714285</v>
      </c>
      <c r="Z23" s="4">
        <f t="shared" si="0"/>
        <v>0</v>
      </c>
      <c r="AA23" s="4">
        <f t="shared" si="1"/>
        <v>0.4</v>
      </c>
      <c r="AB23" s="4">
        <f>IFERROR(tbl_główna_GRACZE[[#This Row],[2pm]]/tbl_główna_GRACZE[[#This Row],[2pa]],0)</f>
        <v>0.16666666666666666</v>
      </c>
      <c r="AC23" s="4">
        <f t="shared" si="13"/>
        <v>0.21739130434782611</v>
      </c>
      <c r="AD23" s="4">
        <f t="shared" si="14"/>
        <v>0.14285714285714285</v>
      </c>
      <c r="AE23" s="11">
        <f t="shared" si="2"/>
        <v>1</v>
      </c>
      <c r="AF23" s="4">
        <f t="shared" si="15"/>
        <v>0.7142857142857143</v>
      </c>
      <c r="AG23" s="4">
        <f t="shared" si="16"/>
        <v>0.14285714285714285</v>
      </c>
      <c r="AH2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0.13135351227869788</v>
      </c>
      <c r="AI23" s="25">
        <f>tbl_główna_GRACZE[[#This Row],[pts]]*(40/tbl_główna_GRACZE[[#This Row],[min]])</f>
        <v>5.7142857142857144</v>
      </c>
      <c r="AJ23" s="30">
        <f>tbl_główna_GRACZE[[#This Row],[reb total]]*(40/tbl_główna_GRACZE[[#This Row],[min]])</f>
        <v>7.1428571428571432</v>
      </c>
      <c r="AK23" s="30">
        <f>tbl_główna_GRACZE[[#This Row],[asst]]*(40/tbl_główna_GRACZE[[#This Row],[min]])</f>
        <v>1.4285714285714286</v>
      </c>
      <c r="AL23" s="5">
        <f t="shared" si="17"/>
        <v>0.5714285714285714</v>
      </c>
      <c r="AM23" s="5">
        <f>(tbl_główna_GRACZE[[#This Row],[stl]]+tbl_główna_GRACZE[[#This Row],[blk]])*(40/tbl_główna_GRACZE[[#This Row],[min]])</f>
        <v>0</v>
      </c>
      <c r="AN2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23" s="25">
        <f>tbl_główna_GRACZE[[#This Row],[stl]]+tbl_główna_GRACZE[[#This Row],[blk]]+(tbl_główna_GRACZE[[#This Row],[dreb]]*0.5)</f>
        <v>1.5</v>
      </c>
      <c r="AP23" s="29">
        <f>(tbl_główna_GRACZE[[#This Row],[stl]]+tbl_główna_GRACZE[[#This Row],[blk]]+0.5*tbl_główna_GRACZE[[#This Row],[dreb]])/tbl_główna_GRACZE[[#This Row],[min]]</f>
        <v>5.3571428571428568E-2</v>
      </c>
      <c r="AQ23" s="6">
        <f t="shared" si="18"/>
        <v>1.3000000000000005</v>
      </c>
      <c r="AR23" s="6">
        <f>tbl_główna_GRACZE[[#This Row],[GmSc]]*(40/tbl_główna_GRACZE[[#This Row],[min]])</f>
        <v>1.8571428571428579</v>
      </c>
      <c r="AS23" s="6">
        <f>tbl_główna_GRACZE[[#This Row],[EVAL]]*(40/tbl_główna_GRACZE[[#This Row],[min]])</f>
        <v>1.4285714285714286</v>
      </c>
      <c r="AT23" s="11">
        <f>tbl_główna_GRACZE[[#This Row],[fgm]]-tbl_główna_GRACZE[[#This Row],[3pm]]</f>
        <v>1</v>
      </c>
      <c r="AU23" s="11">
        <f>tbl_główna_GRACZE[[#This Row],[fga]]-tbl_główna_GRACZE[[#This Row],[3pa]]</f>
        <v>6</v>
      </c>
      <c r="AV23">
        <f>IF(tbl_główna_GRACZE[[#This Row],[min]]&gt;0,1,0)</f>
        <v>1</v>
      </c>
      <c r="AW23" s="58" t="str">
        <f>tbl_główna_GRACZE[[#This Row],[I. Nazwisko]]</f>
        <v>A. Stańczuk</v>
      </c>
    </row>
    <row r="24" spans="1:49" ht="14.5" customHeight="1" x14ac:dyDescent="0.35">
      <c r="A24" t="s">
        <v>46</v>
      </c>
      <c r="B24" t="s">
        <v>48</v>
      </c>
      <c r="C24" t="s">
        <v>57</v>
      </c>
      <c r="D24" t="str">
        <f>IF(C24="H",VLOOKUP($A24,tab_nazwy_zespołów[],2,0)&amp;VLOOKUP($B24,tab_nazwy_zespołów[],2,0),VLOOKUP($B24,tab_nazwy_zespołów[],2,0)&amp;VLOOKUP($A24,tab_nazwy_zespołów[],2,0))</f>
        <v>BYPŁOD</v>
      </c>
      <c r="E24">
        <v>1</v>
      </c>
      <c r="F24">
        <f>COUNTIF(tbl_zawodnicy_sumy[I. Nazwisko],tbl_główna_GRACZE[[#This Row],[I. Nazwisko]])</f>
        <v>1</v>
      </c>
      <c r="G24" s="58" t="str">
        <f>RIGHT(tbl_główna_GRACZE[[#This Row],[Kolumna1]],LEN(tbl_główna_GRACZE[[#This Row],[Kolumna1]])-FIND(" ",tbl_główna_GRACZE[[#This Row],[Kolumna1]]))</f>
        <v>R. Mućka</v>
      </c>
      <c r="H24" s="10" t="s">
        <v>73</v>
      </c>
      <c r="I24" s="10">
        <v>2</v>
      </c>
      <c r="J24" s="10">
        <v>5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9</v>
      </c>
      <c r="Q24" s="10">
        <v>1</v>
      </c>
      <c r="R24" s="10">
        <v>1</v>
      </c>
      <c r="S24" s="10">
        <v>0</v>
      </c>
      <c r="T24" s="10">
        <v>0</v>
      </c>
      <c r="U24" s="10">
        <v>3</v>
      </c>
      <c r="V24" s="10">
        <v>24</v>
      </c>
      <c r="W24" s="10">
        <v>4</v>
      </c>
      <c r="X24" s="11">
        <f t="shared" si="11"/>
        <v>10</v>
      </c>
      <c r="Y24" s="4">
        <f t="shared" si="12"/>
        <v>0.4</v>
      </c>
      <c r="Z24" s="4">
        <f t="shared" si="0"/>
        <v>0</v>
      </c>
      <c r="AA24" s="4">
        <f t="shared" si="1"/>
        <v>0</v>
      </c>
      <c r="AB24" s="4">
        <f>IFERROR(tbl_główna_GRACZE[[#This Row],[2pm]]/tbl_główna_GRACZE[[#This Row],[2pa]],0)</f>
        <v>0.4</v>
      </c>
      <c r="AC24" s="4">
        <f t="shared" si="13"/>
        <v>0.4</v>
      </c>
      <c r="AD24" s="4">
        <f t="shared" si="14"/>
        <v>0.4</v>
      </c>
      <c r="AE24" s="11">
        <f t="shared" si="2"/>
        <v>15</v>
      </c>
      <c r="AF24" s="4">
        <f t="shared" si="15"/>
        <v>0</v>
      </c>
      <c r="AG24" s="4">
        <f t="shared" si="16"/>
        <v>0</v>
      </c>
      <c r="AH2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7.1387778412335803E-2</v>
      </c>
      <c r="AI24" s="25">
        <f>tbl_główna_GRACZE[[#This Row],[pts]]*(40/tbl_główna_GRACZE[[#This Row],[min]])</f>
        <v>6.666666666666667</v>
      </c>
      <c r="AJ24" s="30">
        <f>tbl_główna_GRACZE[[#This Row],[reb total]]*(40/tbl_główna_GRACZE[[#This Row],[min]])</f>
        <v>16.666666666666668</v>
      </c>
      <c r="AK24" s="30">
        <f>tbl_główna_GRACZE[[#This Row],[asst]]*(40/tbl_główna_GRACZE[[#This Row],[min]])</f>
        <v>5</v>
      </c>
      <c r="AL24" s="5">
        <f t="shared" si="17"/>
        <v>0.8</v>
      </c>
      <c r="AM24" s="5">
        <f>(tbl_główna_GRACZE[[#This Row],[stl]]+tbl_główna_GRACZE[[#This Row],[blk]])*(40/tbl_główna_GRACZE[[#This Row],[min]])</f>
        <v>1.6666666666666667</v>
      </c>
      <c r="AN2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4" s="25">
        <f>tbl_główna_GRACZE[[#This Row],[stl]]+tbl_główna_GRACZE[[#This Row],[blk]]+(tbl_główna_GRACZE[[#This Row],[dreb]]*0.5)</f>
        <v>5.5</v>
      </c>
      <c r="AP24" s="29">
        <f>(tbl_główna_GRACZE[[#This Row],[stl]]+tbl_główna_GRACZE[[#This Row],[blk]]+0.5*tbl_główna_GRACZE[[#This Row],[dreb]])/tbl_główna_GRACZE[[#This Row],[min]]</f>
        <v>0.22916666666666666</v>
      </c>
      <c r="AQ24" s="6">
        <f t="shared" si="18"/>
        <v>7.7999999999999989</v>
      </c>
      <c r="AR24" s="6">
        <f>tbl_główna_GRACZE[[#This Row],[GmSc]]*(40/tbl_główna_GRACZE[[#This Row],[min]])</f>
        <v>12.999999999999998</v>
      </c>
      <c r="AS24" s="6">
        <f>tbl_główna_GRACZE[[#This Row],[EVAL]]*(40/tbl_główna_GRACZE[[#This Row],[min]])</f>
        <v>25</v>
      </c>
      <c r="AT24" s="11">
        <f>tbl_główna_GRACZE[[#This Row],[fgm]]-tbl_główna_GRACZE[[#This Row],[3pm]]</f>
        <v>2</v>
      </c>
      <c r="AU24" s="11">
        <f>tbl_główna_GRACZE[[#This Row],[fga]]-tbl_główna_GRACZE[[#This Row],[3pa]]</f>
        <v>5</v>
      </c>
      <c r="AV24">
        <f>IF(tbl_główna_GRACZE[[#This Row],[min]]&gt;0,1,0)</f>
        <v>1</v>
      </c>
      <c r="AW24" s="58" t="str">
        <f>tbl_główna_GRACZE[[#This Row],[I. Nazwisko]]</f>
        <v>R. Mućka</v>
      </c>
    </row>
    <row r="25" spans="1:49" ht="14.5" customHeight="1" x14ac:dyDescent="0.35">
      <c r="A25" t="s">
        <v>46</v>
      </c>
      <c r="B25" t="s">
        <v>48</v>
      </c>
      <c r="C25" t="s">
        <v>57</v>
      </c>
      <c r="D25" t="str">
        <f>IF(C25="H",VLOOKUP($A25,tab_nazwy_zespołów[],2,0)&amp;VLOOKUP($B25,tab_nazwy_zespołów[],2,0),VLOOKUP($B25,tab_nazwy_zespołów[],2,0)&amp;VLOOKUP($A25,tab_nazwy_zespołów[],2,0))</f>
        <v>BYPŁOD</v>
      </c>
      <c r="E25">
        <v>1</v>
      </c>
      <c r="F25">
        <f>COUNTIF(tbl_zawodnicy_sumy[I. Nazwisko],tbl_główna_GRACZE[[#This Row],[I. Nazwisko]])</f>
        <v>1</v>
      </c>
      <c r="G25" s="58" t="str">
        <f>RIGHT(tbl_główna_GRACZE[[#This Row],[Kolumna1]],LEN(tbl_główna_GRACZE[[#This Row],[Kolumna1]])-FIND(" ",tbl_główna_GRACZE[[#This Row],[Kolumna1]]))</f>
        <v>J. Warda</v>
      </c>
      <c r="H25" s="10" t="s">
        <v>74</v>
      </c>
      <c r="I25" s="10">
        <v>1</v>
      </c>
      <c r="J25" s="10">
        <v>5</v>
      </c>
      <c r="K25" s="10">
        <v>1</v>
      </c>
      <c r="L25" s="10">
        <v>4</v>
      </c>
      <c r="M25" s="10">
        <v>1</v>
      </c>
      <c r="N25" s="10">
        <v>2</v>
      </c>
      <c r="O25" s="10">
        <v>1</v>
      </c>
      <c r="P25" s="10">
        <v>1</v>
      </c>
      <c r="Q25" s="10">
        <v>0</v>
      </c>
      <c r="R25" s="10">
        <v>1</v>
      </c>
      <c r="S25" s="10">
        <v>0</v>
      </c>
      <c r="T25" s="10">
        <v>0</v>
      </c>
      <c r="U25" s="10">
        <v>2</v>
      </c>
      <c r="V25" s="10">
        <v>17</v>
      </c>
      <c r="W25" s="10">
        <v>4</v>
      </c>
      <c r="X25" s="11">
        <f t="shared" si="11"/>
        <v>2</v>
      </c>
      <c r="Y25" s="4">
        <f t="shared" si="12"/>
        <v>0.2</v>
      </c>
      <c r="Z25" s="4">
        <f t="shared" si="0"/>
        <v>0.25</v>
      </c>
      <c r="AA25" s="4">
        <f t="shared" si="1"/>
        <v>0.5</v>
      </c>
      <c r="AB25" s="4">
        <f>IFERROR(tbl_główna_GRACZE[[#This Row],[2pm]]/tbl_główna_GRACZE[[#This Row],[2pa]],0)</f>
        <v>0</v>
      </c>
      <c r="AC25" s="4">
        <f t="shared" si="13"/>
        <v>0.3401360544217687</v>
      </c>
      <c r="AD25" s="4">
        <f t="shared" si="14"/>
        <v>0.3</v>
      </c>
      <c r="AE25" s="11">
        <f t="shared" si="2"/>
        <v>4</v>
      </c>
      <c r="AF25" s="4">
        <f t="shared" si="15"/>
        <v>0.4</v>
      </c>
      <c r="AG25" s="4">
        <f t="shared" si="16"/>
        <v>0.8</v>
      </c>
      <c r="AH2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8.3952027412906902E-2</v>
      </c>
      <c r="AI25" s="25">
        <f>tbl_główna_GRACZE[[#This Row],[pts]]*(40/tbl_główna_GRACZE[[#This Row],[min]])</f>
        <v>9.4117647058823533</v>
      </c>
      <c r="AJ25" s="30">
        <f>tbl_główna_GRACZE[[#This Row],[reb total]]*(40/tbl_główna_GRACZE[[#This Row],[min]])</f>
        <v>4.7058823529411766</v>
      </c>
      <c r="AK25" s="30">
        <f>tbl_główna_GRACZE[[#This Row],[asst]]*(40/tbl_główna_GRACZE[[#This Row],[min]])</f>
        <v>4.7058823529411766</v>
      </c>
      <c r="AL25" s="5">
        <f t="shared" si="17"/>
        <v>0.8</v>
      </c>
      <c r="AM25" s="5">
        <f>(tbl_główna_GRACZE[[#This Row],[stl]]+tbl_główna_GRACZE[[#This Row],[blk]])*(40/tbl_główna_GRACZE[[#This Row],[min]])</f>
        <v>2.3529411764705883</v>
      </c>
      <c r="AN2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5" s="25">
        <f>tbl_główna_GRACZE[[#This Row],[stl]]+tbl_główna_GRACZE[[#This Row],[blk]]+(tbl_główna_GRACZE[[#This Row],[dreb]]*0.5)</f>
        <v>1.5</v>
      </c>
      <c r="AP25" s="29">
        <f>(tbl_główna_GRACZE[[#This Row],[stl]]+tbl_główna_GRACZE[[#This Row],[blk]]+0.5*tbl_główna_GRACZE[[#This Row],[dreb]])/tbl_główna_GRACZE[[#This Row],[min]]</f>
        <v>8.8235294117647065E-2</v>
      </c>
      <c r="AQ25" s="6">
        <f t="shared" si="18"/>
        <v>3.9</v>
      </c>
      <c r="AR25" s="6">
        <f>tbl_główna_GRACZE[[#This Row],[GmSc]]*(40/tbl_główna_GRACZE[[#This Row],[min]])</f>
        <v>9.1764705882352935</v>
      </c>
      <c r="AS25" s="6">
        <f>tbl_główna_GRACZE[[#This Row],[EVAL]]*(40/tbl_główna_GRACZE[[#This Row],[min]])</f>
        <v>9.4117647058823533</v>
      </c>
      <c r="AT25" s="11">
        <f>tbl_główna_GRACZE[[#This Row],[fgm]]-tbl_główna_GRACZE[[#This Row],[3pm]]</f>
        <v>0</v>
      </c>
      <c r="AU25" s="11">
        <f>tbl_główna_GRACZE[[#This Row],[fga]]-tbl_główna_GRACZE[[#This Row],[3pa]]</f>
        <v>1</v>
      </c>
      <c r="AV25">
        <f>IF(tbl_główna_GRACZE[[#This Row],[min]]&gt;0,1,0)</f>
        <v>1</v>
      </c>
      <c r="AW25" s="58" t="str">
        <f>tbl_główna_GRACZE[[#This Row],[I. Nazwisko]]</f>
        <v>J. Warda</v>
      </c>
    </row>
    <row r="26" spans="1:49" ht="14.5" customHeight="1" x14ac:dyDescent="0.35">
      <c r="A26" t="s">
        <v>46</v>
      </c>
      <c r="B26" t="s">
        <v>48</v>
      </c>
      <c r="C26" t="s">
        <v>57</v>
      </c>
      <c r="D26" t="str">
        <f>IF(C26="H",VLOOKUP($A26,tab_nazwy_zespołów[],2,0)&amp;VLOOKUP($B26,tab_nazwy_zespołów[],2,0),VLOOKUP($B26,tab_nazwy_zespołów[],2,0)&amp;VLOOKUP($A26,tab_nazwy_zespołów[],2,0))</f>
        <v>BYPŁOD</v>
      </c>
      <c r="E26">
        <v>1</v>
      </c>
      <c r="F26">
        <f>COUNTIF(tbl_zawodnicy_sumy[I. Nazwisko],tbl_główna_GRACZE[[#This Row],[I. Nazwisko]])</f>
        <v>1</v>
      </c>
      <c r="G26" s="58" t="str">
        <f>RIGHT(tbl_główna_GRACZE[[#This Row],[Kolumna1]],LEN(tbl_główna_GRACZE[[#This Row],[Kolumna1]])-FIND(" ",tbl_główna_GRACZE[[#This Row],[Kolumna1]]))</f>
        <v>Ł. Flaga</v>
      </c>
      <c r="H26" s="10" t="s">
        <v>75</v>
      </c>
      <c r="I26" s="10">
        <v>0</v>
      </c>
      <c r="J26" s="10">
        <v>1</v>
      </c>
      <c r="K26" s="10">
        <v>0</v>
      </c>
      <c r="L26" s="10">
        <v>0</v>
      </c>
      <c r="M26" s="10">
        <v>3</v>
      </c>
      <c r="N26" s="10">
        <v>4</v>
      </c>
      <c r="O26" s="10">
        <v>0</v>
      </c>
      <c r="P26" s="10">
        <v>9</v>
      </c>
      <c r="Q26" s="10">
        <v>3</v>
      </c>
      <c r="R26" s="10">
        <v>0</v>
      </c>
      <c r="S26" s="10">
        <v>0</v>
      </c>
      <c r="T26" s="10">
        <v>2</v>
      </c>
      <c r="U26" s="10">
        <v>0</v>
      </c>
      <c r="V26" s="10">
        <v>20</v>
      </c>
      <c r="W26" s="10">
        <v>3</v>
      </c>
      <c r="X26" s="11">
        <f t="shared" si="11"/>
        <v>9</v>
      </c>
      <c r="Y26" s="4">
        <f t="shared" si="12"/>
        <v>0</v>
      </c>
      <c r="Z26" s="4">
        <f t="shared" si="0"/>
        <v>0</v>
      </c>
      <c r="AA26" s="4">
        <f t="shared" si="1"/>
        <v>0.75</v>
      </c>
      <c r="AB26" s="4">
        <f>IFERROR(tbl_główna_GRACZE[[#This Row],[2pm]]/tbl_główna_GRACZE[[#This Row],[2pa]],0)</f>
        <v>0</v>
      </c>
      <c r="AC26" s="4">
        <f t="shared" si="13"/>
        <v>0.5434782608695653</v>
      </c>
      <c r="AD26" s="4">
        <f t="shared" si="14"/>
        <v>0</v>
      </c>
      <c r="AE26" s="11">
        <f t="shared" si="2"/>
        <v>12</v>
      </c>
      <c r="AF26" s="4">
        <f t="shared" si="15"/>
        <v>4</v>
      </c>
      <c r="AG26" s="4">
        <f t="shared" si="16"/>
        <v>0</v>
      </c>
      <c r="AH2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3.940605368360936E-2</v>
      </c>
      <c r="AI26" s="25">
        <f>tbl_główna_GRACZE[[#This Row],[pts]]*(40/tbl_główna_GRACZE[[#This Row],[min]])</f>
        <v>6</v>
      </c>
      <c r="AJ26" s="30">
        <f>tbl_główna_GRACZE[[#This Row],[reb total]]*(40/tbl_główna_GRACZE[[#This Row],[min]])</f>
        <v>18</v>
      </c>
      <c r="AK26" s="30">
        <f>tbl_główna_GRACZE[[#This Row],[asst]]*(40/tbl_główna_GRACZE[[#This Row],[min]])</f>
        <v>0</v>
      </c>
      <c r="AL26" s="5">
        <f t="shared" si="17"/>
        <v>3</v>
      </c>
      <c r="AM26" s="5">
        <f>(tbl_główna_GRACZE[[#This Row],[stl]]+tbl_główna_GRACZE[[#This Row],[blk]])*(40/tbl_główna_GRACZE[[#This Row],[min]])</f>
        <v>4</v>
      </c>
      <c r="AN2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0.22222222222222221</v>
      </c>
      <c r="AO26" s="25">
        <f>tbl_główna_GRACZE[[#This Row],[stl]]+tbl_główna_GRACZE[[#This Row],[blk]]+(tbl_główna_GRACZE[[#This Row],[dreb]]*0.5)</f>
        <v>6.5</v>
      </c>
      <c r="AP26" s="29">
        <f>(tbl_główna_GRACZE[[#This Row],[stl]]+tbl_główna_GRACZE[[#This Row],[blk]]+0.5*tbl_główna_GRACZE[[#This Row],[dreb]])/tbl_główna_GRACZE[[#This Row],[min]]</f>
        <v>0.32500000000000001</v>
      </c>
      <c r="AQ26" s="6">
        <f t="shared" si="18"/>
        <v>6</v>
      </c>
      <c r="AR26" s="6">
        <f>tbl_główna_GRACZE[[#This Row],[GmSc]]*(40/tbl_główna_GRACZE[[#This Row],[min]])</f>
        <v>12</v>
      </c>
      <c r="AS26" s="6">
        <f>tbl_główna_GRACZE[[#This Row],[EVAL]]*(40/tbl_główna_GRACZE[[#This Row],[min]])</f>
        <v>24</v>
      </c>
      <c r="AT26" s="11">
        <f>tbl_główna_GRACZE[[#This Row],[fgm]]-tbl_główna_GRACZE[[#This Row],[3pm]]</f>
        <v>0</v>
      </c>
      <c r="AU26" s="11">
        <f>tbl_główna_GRACZE[[#This Row],[fga]]-tbl_główna_GRACZE[[#This Row],[3pa]]</f>
        <v>1</v>
      </c>
      <c r="AV26">
        <f>IF(tbl_główna_GRACZE[[#This Row],[min]]&gt;0,1,0)</f>
        <v>1</v>
      </c>
      <c r="AW26" s="58" t="str">
        <f>tbl_główna_GRACZE[[#This Row],[I. Nazwisko]]</f>
        <v>Ł. Flaga</v>
      </c>
    </row>
    <row r="27" spans="1:49" ht="14.5" customHeight="1" x14ac:dyDescent="0.35">
      <c r="A27" t="s">
        <v>46</v>
      </c>
      <c r="B27" t="s">
        <v>48</v>
      </c>
      <c r="C27" t="s">
        <v>57</v>
      </c>
      <c r="D27" t="str">
        <f>IF(C27="H",VLOOKUP($A27,tab_nazwy_zespołów[],2,0)&amp;VLOOKUP($B27,tab_nazwy_zespołów[],2,0),VLOOKUP($B27,tab_nazwy_zespołów[],2,0)&amp;VLOOKUP($A27,tab_nazwy_zespołów[],2,0))</f>
        <v>BYPŁOD</v>
      </c>
      <c r="E27">
        <v>1</v>
      </c>
      <c r="F27">
        <f>COUNTIF(tbl_zawodnicy_sumy[I. Nazwisko],tbl_główna_GRACZE[[#This Row],[I. Nazwisko]])</f>
        <v>1</v>
      </c>
      <c r="G27" s="58" t="str">
        <f>RIGHT(tbl_główna_GRACZE[[#This Row],[Kolumna1]],LEN(tbl_główna_GRACZE[[#This Row],[Kolumna1]])-FIND(" ",tbl_główna_GRACZE[[#This Row],[Kolumna1]]))</f>
        <v>P. Piotrowski</v>
      </c>
      <c r="H27" s="10" t="s">
        <v>76</v>
      </c>
      <c r="I27" s="10">
        <v>0</v>
      </c>
      <c r="J27" s="10">
        <v>6</v>
      </c>
      <c r="K27" s="10">
        <v>0</v>
      </c>
      <c r="L27" s="10">
        <v>2</v>
      </c>
      <c r="M27" s="10">
        <v>0</v>
      </c>
      <c r="N27" s="10">
        <v>0</v>
      </c>
      <c r="O27" s="10">
        <v>0</v>
      </c>
      <c r="P27" s="10">
        <v>4</v>
      </c>
      <c r="Q27" s="10">
        <v>0</v>
      </c>
      <c r="R27" s="10">
        <v>1</v>
      </c>
      <c r="S27" s="10">
        <v>0</v>
      </c>
      <c r="T27" s="10">
        <v>1</v>
      </c>
      <c r="U27" s="10">
        <v>0</v>
      </c>
      <c r="V27" s="10">
        <v>19</v>
      </c>
      <c r="W27" s="10">
        <v>0</v>
      </c>
      <c r="X27" s="11">
        <f t="shared" si="11"/>
        <v>4</v>
      </c>
      <c r="Y27" s="4">
        <f t="shared" si="12"/>
        <v>0</v>
      </c>
      <c r="Z27" s="4">
        <f t="shared" si="0"/>
        <v>0</v>
      </c>
      <c r="AA27" s="4">
        <f t="shared" si="1"/>
        <v>0</v>
      </c>
      <c r="AB27" s="4">
        <f>IFERROR(tbl_główna_GRACZE[[#This Row],[2pm]]/tbl_główna_GRACZE[[#This Row],[2pa]],0)</f>
        <v>0</v>
      </c>
      <c r="AC27" s="4">
        <f t="shared" si="13"/>
        <v>0</v>
      </c>
      <c r="AD27" s="4">
        <f t="shared" si="14"/>
        <v>0</v>
      </c>
      <c r="AE27" s="11">
        <f t="shared" si="2"/>
        <v>0</v>
      </c>
      <c r="AF27" s="4">
        <f t="shared" si="15"/>
        <v>0</v>
      </c>
      <c r="AG27" s="4">
        <f t="shared" si="16"/>
        <v>0.33333333333333331</v>
      </c>
      <c r="AH2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8.5665334094802967E-2</v>
      </c>
      <c r="AI27" s="25">
        <f>tbl_główna_GRACZE[[#This Row],[pts]]*(40/tbl_główna_GRACZE[[#This Row],[min]])</f>
        <v>0</v>
      </c>
      <c r="AJ27" s="30">
        <f>tbl_główna_GRACZE[[#This Row],[reb total]]*(40/tbl_główna_GRACZE[[#This Row],[min]])</f>
        <v>8.4210526315789469</v>
      </c>
      <c r="AK27" s="30">
        <f>tbl_główna_GRACZE[[#This Row],[asst]]*(40/tbl_główna_GRACZE[[#This Row],[min]])</f>
        <v>0</v>
      </c>
      <c r="AL27" s="5">
        <f t="shared" si="17"/>
        <v>0</v>
      </c>
      <c r="AM27" s="5">
        <f>(tbl_główna_GRACZE[[#This Row],[stl]]+tbl_główna_GRACZE[[#This Row],[blk]])*(40/tbl_główna_GRACZE[[#This Row],[min]])</f>
        <v>4.2105263157894735</v>
      </c>
      <c r="AN2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0.22222222222222221</v>
      </c>
      <c r="AO27" s="25">
        <f>tbl_główna_GRACZE[[#This Row],[stl]]+tbl_główna_GRACZE[[#This Row],[blk]]+(tbl_główna_GRACZE[[#This Row],[dreb]]*0.5)</f>
        <v>4</v>
      </c>
      <c r="AP27" s="29">
        <f>(tbl_główna_GRACZE[[#This Row],[stl]]+tbl_główna_GRACZE[[#This Row],[blk]]+0.5*tbl_główna_GRACZE[[#This Row],[dreb]])/tbl_główna_GRACZE[[#This Row],[min]]</f>
        <v>0.21052631578947367</v>
      </c>
      <c r="AQ27" s="6">
        <f t="shared" si="18"/>
        <v>-1.2999999999999992</v>
      </c>
      <c r="AR27" s="6">
        <f>tbl_główna_GRACZE[[#This Row],[GmSc]]*(40/tbl_główna_GRACZE[[#This Row],[min]])</f>
        <v>-2.7368421052631557</v>
      </c>
      <c r="AS27" s="6">
        <f>tbl_główna_GRACZE[[#This Row],[EVAL]]*(40/tbl_główna_GRACZE[[#This Row],[min]])</f>
        <v>0</v>
      </c>
      <c r="AT27" s="11">
        <f>tbl_główna_GRACZE[[#This Row],[fgm]]-tbl_główna_GRACZE[[#This Row],[3pm]]</f>
        <v>0</v>
      </c>
      <c r="AU27" s="11">
        <f>tbl_główna_GRACZE[[#This Row],[fga]]-tbl_główna_GRACZE[[#This Row],[3pa]]</f>
        <v>4</v>
      </c>
      <c r="AV27">
        <f>IF(tbl_główna_GRACZE[[#This Row],[min]]&gt;0,1,0)</f>
        <v>1</v>
      </c>
      <c r="AW27" s="58" t="str">
        <f>tbl_główna_GRACZE[[#This Row],[I. Nazwisko]]</f>
        <v>P. Piotrowski</v>
      </c>
    </row>
    <row r="28" spans="1:49" ht="14.5" customHeight="1" x14ac:dyDescent="0.35">
      <c r="A28" t="s">
        <v>48</v>
      </c>
      <c r="B28" t="s">
        <v>46</v>
      </c>
      <c r="C28" t="s">
        <v>58</v>
      </c>
      <c r="D28" t="str">
        <f>IF(C28="H",VLOOKUP($A28,tab_nazwy_zespołów[],2,0)&amp;VLOOKUP($B28,tab_nazwy_zespołów[],2,0),VLOOKUP($B28,tab_nazwy_zespołów[],2,0)&amp;VLOOKUP($A28,tab_nazwy_zespołów[],2,0))</f>
        <v>BYPŁOD</v>
      </c>
      <c r="E28">
        <v>1</v>
      </c>
      <c r="F28">
        <f>COUNTIF(tbl_zawodnicy_sumy[I. Nazwisko],tbl_główna_GRACZE[[#This Row],[I. Nazwisko]])</f>
        <v>1</v>
      </c>
      <c r="G28" s="58" t="str">
        <f>RIGHT(tbl_główna_GRACZE[[#This Row],[Kolumna1]],LEN(tbl_główna_GRACZE[[#This Row],[Kolumna1]])-FIND(" ",tbl_główna_GRACZE[[#This Row],[Kolumna1]]))</f>
        <v>S. Gąsiorowski</v>
      </c>
      <c r="H28" s="20" t="s">
        <v>77</v>
      </c>
      <c r="I28" s="10">
        <v>14</v>
      </c>
      <c r="J28" s="10">
        <v>20</v>
      </c>
      <c r="K28" s="10">
        <v>0</v>
      </c>
      <c r="L28" s="10">
        <v>2</v>
      </c>
      <c r="M28" s="10">
        <v>3</v>
      </c>
      <c r="N28" s="10">
        <v>6</v>
      </c>
      <c r="O28" s="10">
        <v>6</v>
      </c>
      <c r="P28" s="10">
        <v>6</v>
      </c>
      <c r="Q28" s="10">
        <v>2</v>
      </c>
      <c r="R28" s="10">
        <v>1</v>
      </c>
      <c r="S28" s="10">
        <v>0</v>
      </c>
      <c r="T28" s="10">
        <v>0</v>
      </c>
      <c r="U28" s="10">
        <v>2</v>
      </c>
      <c r="V28" s="10">
        <v>29</v>
      </c>
      <c r="W28" s="10">
        <v>31</v>
      </c>
      <c r="X28" s="11">
        <f>O28+P28</f>
        <v>12</v>
      </c>
      <c r="Y28" s="4">
        <f>I28/J28</f>
        <v>0.7</v>
      </c>
      <c r="Z28" s="4">
        <f t="shared" si="0"/>
        <v>0</v>
      </c>
      <c r="AA28" s="4">
        <f t="shared" si="1"/>
        <v>0.5</v>
      </c>
      <c r="AB28" s="4">
        <f>IFERROR(tbl_główna_GRACZE[[#This Row],[2pm]]/tbl_główna_GRACZE[[#This Row],[2pa]],0)</f>
        <v>0.77777777777777779</v>
      </c>
      <c r="AC28" s="4">
        <f>W28/(2*(J28+0.44*N28))</f>
        <v>0.68462897526501765</v>
      </c>
      <c r="AD28" s="4">
        <f>(I28+0.5*K28)/J28</f>
        <v>0.7</v>
      </c>
      <c r="AE28" s="11">
        <f t="shared" si="2"/>
        <v>37</v>
      </c>
      <c r="AF28" s="4">
        <f>N28/J28</f>
        <v>0.3</v>
      </c>
      <c r="AG28" s="4">
        <f>L28/J28</f>
        <v>0.1</v>
      </c>
      <c r="AH2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0.23932346723044398</v>
      </c>
      <c r="AI28" s="25">
        <f>tbl_główna_GRACZE[[#This Row],[pts]]*(40/tbl_główna_GRACZE[[#This Row],[min]])</f>
        <v>42.758620689655174</v>
      </c>
      <c r="AJ28" s="30">
        <f>tbl_główna_GRACZE[[#This Row],[reb total]]*(40/tbl_główna_GRACZE[[#This Row],[min]])</f>
        <v>16.551724137931036</v>
      </c>
      <c r="AK28" s="30">
        <f>tbl_główna_GRACZE[[#This Row],[asst]]*(40/tbl_główna_GRACZE[[#This Row],[min]])</f>
        <v>2.7586206896551726</v>
      </c>
      <c r="AL28" s="5">
        <f>W28/J28</f>
        <v>1.55</v>
      </c>
      <c r="AM28" s="5">
        <f>(tbl_główna_GRACZE[[#This Row],[stl]]+tbl_główna_GRACZE[[#This Row],[blk]])*(40/tbl_główna_GRACZE[[#This Row],[min]])</f>
        <v>1.3793103448275863</v>
      </c>
      <c r="AN2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28" s="25">
        <f>tbl_główna_GRACZE[[#This Row],[stl]]+tbl_główna_GRACZE[[#This Row],[blk]]+(tbl_główna_GRACZE[[#This Row],[dreb]]*0.5)</f>
        <v>4</v>
      </c>
      <c r="AP28" s="29">
        <f>(tbl_główna_GRACZE[[#This Row],[stl]]+tbl_główna_GRACZE[[#This Row],[blk]]+0.5*tbl_główna_GRACZE[[#This Row],[dreb]])/tbl_główna_GRACZE[[#This Row],[min]]</f>
        <v>0.13793103448275862</v>
      </c>
      <c r="AQ28" s="6">
        <f>W28+0.4*I28-0.7*J28-0.4*(N28-M28)+0.7*O28+0.3*P28+R28+0.7*U28+0.7*T28</f>
        <v>29.8</v>
      </c>
      <c r="AR28" s="6">
        <f>tbl_główna_GRACZE[[#This Row],[GmSc]]*(40/tbl_główna_GRACZE[[#This Row],[min]])</f>
        <v>41.103448275862071</v>
      </c>
      <c r="AS28" s="6">
        <f>tbl_główna_GRACZE[[#This Row],[EVAL]]*(40/tbl_główna_GRACZE[[#This Row],[min]])</f>
        <v>51.03448275862069</v>
      </c>
      <c r="AT28" s="11">
        <f>tbl_główna_GRACZE[[#This Row],[fgm]]-tbl_główna_GRACZE[[#This Row],[3pm]]</f>
        <v>14</v>
      </c>
      <c r="AU28" s="11">
        <f>tbl_główna_GRACZE[[#This Row],[fga]]-tbl_główna_GRACZE[[#This Row],[3pa]]</f>
        <v>18</v>
      </c>
      <c r="AV28">
        <f>IF(tbl_główna_GRACZE[[#This Row],[min]]&gt;0,1,0)</f>
        <v>1</v>
      </c>
      <c r="AW28" s="58" t="str">
        <f>tbl_główna_GRACZE[[#This Row],[I. Nazwisko]]</f>
        <v>S. Gąsiorowski</v>
      </c>
    </row>
    <row r="29" spans="1:49" ht="14.5" customHeight="1" x14ac:dyDescent="0.35">
      <c r="A29" t="s">
        <v>48</v>
      </c>
      <c r="B29" t="s">
        <v>46</v>
      </c>
      <c r="C29" t="s">
        <v>58</v>
      </c>
      <c r="D29" t="str">
        <f>IF(C29="H",VLOOKUP($A29,tab_nazwy_zespołów[],2,0)&amp;VLOOKUP($B29,tab_nazwy_zespołów[],2,0),VLOOKUP($B29,tab_nazwy_zespołów[],2,0)&amp;VLOOKUP($A29,tab_nazwy_zespołów[],2,0))</f>
        <v>BYPŁOD</v>
      </c>
      <c r="E29">
        <v>1</v>
      </c>
      <c r="F29">
        <f>COUNTIF(tbl_zawodnicy_sumy[I. Nazwisko],tbl_główna_GRACZE[[#This Row],[I. Nazwisko]])</f>
        <v>1</v>
      </c>
      <c r="G29" s="58" t="str">
        <f>RIGHT(tbl_główna_GRACZE[[#This Row],[Kolumna1]],LEN(tbl_główna_GRACZE[[#This Row],[Kolumna1]])-FIND(" ",tbl_główna_GRACZE[[#This Row],[Kolumna1]]))</f>
        <v>F. Gąsiorowski</v>
      </c>
      <c r="H29" s="2" t="s">
        <v>78</v>
      </c>
      <c r="I29" s="10">
        <v>5</v>
      </c>
      <c r="J29" s="10">
        <v>11</v>
      </c>
      <c r="K29" s="10">
        <v>2</v>
      </c>
      <c r="L29" s="10">
        <v>5</v>
      </c>
      <c r="M29" s="10">
        <v>0</v>
      </c>
      <c r="N29" s="10">
        <v>0</v>
      </c>
      <c r="O29" s="10">
        <v>1</v>
      </c>
      <c r="P29" s="10">
        <v>1</v>
      </c>
      <c r="Q29" s="10">
        <v>1</v>
      </c>
      <c r="R29" s="10">
        <v>2</v>
      </c>
      <c r="S29" s="10">
        <v>0</v>
      </c>
      <c r="T29" s="10">
        <v>0</v>
      </c>
      <c r="U29" s="10">
        <v>0</v>
      </c>
      <c r="V29" s="10">
        <v>28</v>
      </c>
      <c r="W29" s="10">
        <v>12</v>
      </c>
      <c r="X29" s="11">
        <f t="shared" ref="X29:X34" si="19">O29+P29</f>
        <v>2</v>
      </c>
      <c r="Y29" s="4">
        <f t="shared" ref="Y29:Y34" si="20">I29/J29</f>
        <v>0.45454545454545453</v>
      </c>
      <c r="Z29" s="4">
        <f t="shared" si="0"/>
        <v>0.4</v>
      </c>
      <c r="AA29" s="4">
        <f t="shared" si="1"/>
        <v>0</v>
      </c>
      <c r="AB29" s="4">
        <f>IFERROR(tbl_główna_GRACZE[[#This Row],[2pm]]/tbl_główna_GRACZE[[#This Row],[2pa]],0)</f>
        <v>0.5</v>
      </c>
      <c r="AC29" s="4">
        <f t="shared" ref="AC29:AC34" si="21">W29/(2*(J29+0.44*N29))</f>
        <v>0.54545454545454541</v>
      </c>
      <c r="AD29" s="4">
        <f t="shared" ref="AD29:AD34" si="22">(I29+0.5*K29)/J29</f>
        <v>0.54545454545454541</v>
      </c>
      <c r="AE29" s="11">
        <f t="shared" si="2"/>
        <v>10</v>
      </c>
      <c r="AF29" s="4">
        <f t="shared" ref="AF29:AF34" si="23">N29/J29</f>
        <v>0</v>
      </c>
      <c r="AG29" s="4">
        <f t="shared" ref="AG29:AG34" si="24">L29/J29</f>
        <v>0.45454545454545453</v>
      </c>
      <c r="AH2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0.11627906976744187</v>
      </c>
      <c r="AI29" s="25">
        <f>tbl_główna_GRACZE[[#This Row],[pts]]*(40/tbl_główna_GRACZE[[#This Row],[min]])</f>
        <v>17.142857142857142</v>
      </c>
      <c r="AJ29" s="30">
        <f>tbl_główna_GRACZE[[#This Row],[reb total]]*(40/tbl_główna_GRACZE[[#This Row],[min]])</f>
        <v>2.8571428571428572</v>
      </c>
      <c r="AK29" s="30">
        <f>tbl_główna_GRACZE[[#This Row],[asst]]*(40/tbl_główna_GRACZE[[#This Row],[min]])</f>
        <v>0</v>
      </c>
      <c r="AL29" s="5">
        <f t="shared" ref="AL29:AL34" si="25">W29/J29</f>
        <v>1.0909090909090908</v>
      </c>
      <c r="AM29" s="5">
        <f>(tbl_główna_GRACZE[[#This Row],[stl]]+tbl_główna_GRACZE[[#This Row],[blk]])*(40/tbl_główna_GRACZE[[#This Row],[min]])</f>
        <v>2.8571428571428572</v>
      </c>
      <c r="AN2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29" s="25">
        <f>tbl_główna_GRACZE[[#This Row],[stl]]+tbl_główna_GRACZE[[#This Row],[blk]]+(tbl_główna_GRACZE[[#This Row],[dreb]]*0.5)</f>
        <v>2.5</v>
      </c>
      <c r="AP29" s="29">
        <f>(tbl_główna_GRACZE[[#This Row],[stl]]+tbl_główna_GRACZE[[#This Row],[blk]]+0.5*tbl_główna_GRACZE[[#This Row],[dreb]])/tbl_główna_GRACZE[[#This Row],[min]]</f>
        <v>8.9285714285714288E-2</v>
      </c>
      <c r="AQ29" s="6">
        <f t="shared" ref="AQ29:AQ34" si="26">W29+0.4*I29-0.7*J29-0.4*(N29-M29)+0.7*O29+0.3*P29+R29+0.7*U29+0.7*T29</f>
        <v>9.3000000000000007</v>
      </c>
      <c r="AR29" s="6">
        <f>tbl_główna_GRACZE[[#This Row],[GmSc]]*(40/tbl_główna_GRACZE[[#This Row],[min]])</f>
        <v>13.285714285714286</v>
      </c>
      <c r="AS29" s="6">
        <f>tbl_główna_GRACZE[[#This Row],[EVAL]]*(40/tbl_główna_GRACZE[[#This Row],[min]])</f>
        <v>14.285714285714286</v>
      </c>
      <c r="AT29" s="11">
        <f>tbl_główna_GRACZE[[#This Row],[fgm]]-tbl_główna_GRACZE[[#This Row],[3pm]]</f>
        <v>3</v>
      </c>
      <c r="AU29" s="11">
        <f>tbl_główna_GRACZE[[#This Row],[fga]]-tbl_główna_GRACZE[[#This Row],[3pa]]</f>
        <v>6</v>
      </c>
      <c r="AV29">
        <f>IF(tbl_główna_GRACZE[[#This Row],[min]]&gt;0,1,0)</f>
        <v>1</v>
      </c>
      <c r="AW29" s="58" t="str">
        <f>tbl_główna_GRACZE[[#This Row],[I. Nazwisko]]</f>
        <v>F. Gąsiorowski</v>
      </c>
    </row>
    <row r="30" spans="1:49" ht="14.5" customHeight="1" x14ac:dyDescent="0.35">
      <c r="A30" t="s">
        <v>48</v>
      </c>
      <c r="B30" t="s">
        <v>46</v>
      </c>
      <c r="C30" t="s">
        <v>58</v>
      </c>
      <c r="D30" t="str">
        <f>IF(C30="H",VLOOKUP($A30,tab_nazwy_zespołów[],2,0)&amp;VLOOKUP($B30,tab_nazwy_zespołów[],2,0),VLOOKUP($B30,tab_nazwy_zespołów[],2,0)&amp;VLOOKUP($A30,tab_nazwy_zespołów[],2,0))</f>
        <v>BYPŁOD</v>
      </c>
      <c r="E30">
        <v>1</v>
      </c>
      <c r="F30">
        <f>COUNTIF(tbl_zawodnicy_sumy[I. Nazwisko],tbl_główna_GRACZE[[#This Row],[I. Nazwisko]])</f>
        <v>1</v>
      </c>
      <c r="G30" s="58" t="str">
        <f>RIGHT(tbl_główna_GRACZE[[#This Row],[Kolumna1]],LEN(tbl_główna_GRACZE[[#This Row],[Kolumna1]])-FIND(" ",tbl_główna_GRACZE[[#This Row],[Kolumna1]]))</f>
        <v>T. Prażmowski</v>
      </c>
      <c r="H30" s="2" t="s">
        <v>79</v>
      </c>
      <c r="I30" s="10">
        <v>4</v>
      </c>
      <c r="J30" s="10">
        <v>9</v>
      </c>
      <c r="K30" s="10">
        <v>3</v>
      </c>
      <c r="L30" s="10">
        <v>4</v>
      </c>
      <c r="M30" s="10">
        <v>0</v>
      </c>
      <c r="N30" s="10">
        <v>0</v>
      </c>
      <c r="O30" s="10">
        <v>2</v>
      </c>
      <c r="P30" s="10">
        <v>3</v>
      </c>
      <c r="Q30" s="10">
        <v>0</v>
      </c>
      <c r="R30" s="10">
        <v>3</v>
      </c>
      <c r="S30" s="10">
        <v>0</v>
      </c>
      <c r="T30" s="10">
        <v>0</v>
      </c>
      <c r="U30" s="10">
        <v>6</v>
      </c>
      <c r="V30" s="10">
        <v>26</v>
      </c>
      <c r="W30" s="10">
        <v>11</v>
      </c>
      <c r="X30" s="11">
        <f t="shared" si="19"/>
        <v>5</v>
      </c>
      <c r="Y30" s="4">
        <f t="shared" si="20"/>
        <v>0.44444444444444442</v>
      </c>
      <c r="Z30" s="4">
        <f t="shared" si="0"/>
        <v>0.75</v>
      </c>
      <c r="AA30" s="4">
        <f t="shared" si="1"/>
        <v>0</v>
      </c>
      <c r="AB30" s="4">
        <f>IFERROR(tbl_główna_GRACZE[[#This Row],[2pm]]/tbl_główna_GRACZE[[#This Row],[2pa]],0)</f>
        <v>0.2</v>
      </c>
      <c r="AC30" s="4">
        <f t="shared" si="21"/>
        <v>0.61111111111111116</v>
      </c>
      <c r="AD30" s="4">
        <f t="shared" si="22"/>
        <v>0.61111111111111116</v>
      </c>
      <c r="AE30" s="11">
        <f t="shared" si="2"/>
        <v>20</v>
      </c>
      <c r="AF30" s="4">
        <f t="shared" si="23"/>
        <v>0</v>
      </c>
      <c r="AG30" s="4">
        <f t="shared" si="24"/>
        <v>0.44444444444444442</v>
      </c>
      <c r="AH3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9.5137420718816076E-2</v>
      </c>
      <c r="AI30" s="25">
        <f>tbl_główna_GRACZE[[#This Row],[pts]]*(40/tbl_główna_GRACZE[[#This Row],[min]])</f>
        <v>16.923076923076923</v>
      </c>
      <c r="AJ30" s="30">
        <f>tbl_główna_GRACZE[[#This Row],[reb total]]*(40/tbl_główna_GRACZE[[#This Row],[min]])</f>
        <v>7.6923076923076925</v>
      </c>
      <c r="AK30" s="30">
        <f>tbl_główna_GRACZE[[#This Row],[asst]]*(40/tbl_główna_GRACZE[[#This Row],[min]])</f>
        <v>9.2307692307692317</v>
      </c>
      <c r="AL30" s="5">
        <f t="shared" si="25"/>
        <v>1.2222222222222223</v>
      </c>
      <c r="AM30" s="5">
        <f>(tbl_główna_GRACZE[[#This Row],[stl]]+tbl_główna_GRACZE[[#This Row],[blk]])*(40/tbl_główna_GRACZE[[#This Row],[min]])</f>
        <v>4.6153846153846159</v>
      </c>
      <c r="AN3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0.1875</v>
      </c>
      <c r="AO30" s="25">
        <f>tbl_główna_GRACZE[[#This Row],[stl]]+tbl_główna_GRACZE[[#This Row],[blk]]+(tbl_główna_GRACZE[[#This Row],[dreb]]*0.5)</f>
        <v>4.5</v>
      </c>
      <c r="AP30" s="29">
        <f>(tbl_główna_GRACZE[[#This Row],[stl]]+tbl_główna_GRACZE[[#This Row],[blk]]+0.5*tbl_główna_GRACZE[[#This Row],[dreb]])/tbl_główna_GRACZE[[#This Row],[min]]</f>
        <v>0.17307692307692307</v>
      </c>
      <c r="AQ30" s="6">
        <f t="shared" si="26"/>
        <v>15.799999999999999</v>
      </c>
      <c r="AR30" s="6">
        <f>tbl_główna_GRACZE[[#This Row],[GmSc]]*(40/tbl_główna_GRACZE[[#This Row],[min]])</f>
        <v>24.307692307692307</v>
      </c>
      <c r="AS30" s="6">
        <f>tbl_główna_GRACZE[[#This Row],[EVAL]]*(40/tbl_główna_GRACZE[[#This Row],[min]])</f>
        <v>30.76923076923077</v>
      </c>
      <c r="AT30" s="11">
        <f>tbl_główna_GRACZE[[#This Row],[fgm]]-tbl_główna_GRACZE[[#This Row],[3pm]]</f>
        <v>1</v>
      </c>
      <c r="AU30" s="11">
        <f>tbl_główna_GRACZE[[#This Row],[fga]]-tbl_główna_GRACZE[[#This Row],[3pa]]</f>
        <v>5</v>
      </c>
      <c r="AV30">
        <f>IF(tbl_główna_GRACZE[[#This Row],[min]]&gt;0,1,0)</f>
        <v>1</v>
      </c>
      <c r="AW30" s="58" t="str">
        <f>tbl_główna_GRACZE[[#This Row],[I. Nazwisko]]</f>
        <v>T. Prażmowski</v>
      </c>
    </row>
    <row r="31" spans="1:49" ht="14.5" customHeight="1" x14ac:dyDescent="0.35">
      <c r="A31" t="s">
        <v>48</v>
      </c>
      <c r="B31" t="s">
        <v>46</v>
      </c>
      <c r="C31" t="s">
        <v>58</v>
      </c>
      <c r="D31" t="str">
        <f>IF(C31="H",VLOOKUP($A31,tab_nazwy_zespołów[],2,0)&amp;VLOOKUP($B31,tab_nazwy_zespołów[],2,0),VLOOKUP($B31,tab_nazwy_zespołów[],2,0)&amp;VLOOKUP($A31,tab_nazwy_zespołów[],2,0))</f>
        <v>BYPŁOD</v>
      </c>
      <c r="E31">
        <v>1</v>
      </c>
      <c r="F31">
        <f>COUNTIF(tbl_zawodnicy_sumy[I. Nazwisko],tbl_główna_GRACZE[[#This Row],[I. Nazwisko]])</f>
        <v>1</v>
      </c>
      <c r="G31" s="58" t="str">
        <f>RIGHT(tbl_główna_GRACZE[[#This Row],[Kolumna1]],LEN(tbl_główna_GRACZE[[#This Row],[Kolumna1]])-FIND(" ",tbl_główna_GRACZE[[#This Row],[Kolumna1]]))</f>
        <v>M. Leśniak</v>
      </c>
      <c r="H31" s="2" t="s">
        <v>80</v>
      </c>
      <c r="I31" s="10">
        <v>4</v>
      </c>
      <c r="J31" s="10">
        <v>11</v>
      </c>
      <c r="K31" s="10">
        <v>2</v>
      </c>
      <c r="L31" s="10">
        <v>9</v>
      </c>
      <c r="M31" s="10">
        <v>0</v>
      </c>
      <c r="N31" s="10">
        <v>0</v>
      </c>
      <c r="O31" s="10">
        <v>1</v>
      </c>
      <c r="P31" s="10">
        <v>5</v>
      </c>
      <c r="Q31" s="10">
        <v>3</v>
      </c>
      <c r="R31" s="10">
        <v>2</v>
      </c>
      <c r="S31" s="10">
        <v>0</v>
      </c>
      <c r="T31" s="10">
        <v>0</v>
      </c>
      <c r="U31" s="10">
        <v>4</v>
      </c>
      <c r="V31" s="10">
        <v>30</v>
      </c>
      <c r="W31" s="10">
        <v>10</v>
      </c>
      <c r="X31" s="11">
        <f t="shared" si="19"/>
        <v>6</v>
      </c>
      <c r="Y31" s="4">
        <f t="shared" si="20"/>
        <v>0.36363636363636365</v>
      </c>
      <c r="Z31" s="4">
        <f t="shared" si="0"/>
        <v>0.22222222222222221</v>
      </c>
      <c r="AA31" s="4">
        <f t="shared" si="1"/>
        <v>0</v>
      </c>
      <c r="AB31" s="4">
        <f>IFERROR(tbl_główna_GRACZE[[#This Row],[2pm]]/tbl_główna_GRACZE[[#This Row],[2pa]],0)</f>
        <v>1</v>
      </c>
      <c r="AC31" s="4">
        <f t="shared" si="21"/>
        <v>0.45454545454545453</v>
      </c>
      <c r="AD31" s="4">
        <f t="shared" si="22"/>
        <v>0.45454545454545453</v>
      </c>
      <c r="AE31" s="11">
        <f t="shared" si="2"/>
        <v>15</v>
      </c>
      <c r="AF31" s="4">
        <f t="shared" si="23"/>
        <v>0</v>
      </c>
      <c r="AG31" s="4">
        <f t="shared" si="24"/>
        <v>0.81818181818181823</v>
      </c>
      <c r="AH3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0.11627906976744187</v>
      </c>
      <c r="AI31" s="25">
        <f>tbl_główna_GRACZE[[#This Row],[pts]]*(40/tbl_główna_GRACZE[[#This Row],[min]])</f>
        <v>13.333333333333332</v>
      </c>
      <c r="AJ31" s="30">
        <f>tbl_główna_GRACZE[[#This Row],[reb total]]*(40/tbl_główna_GRACZE[[#This Row],[min]])</f>
        <v>8</v>
      </c>
      <c r="AK31" s="30">
        <f>tbl_główna_GRACZE[[#This Row],[asst]]*(40/tbl_główna_GRACZE[[#This Row],[min]])</f>
        <v>5.333333333333333</v>
      </c>
      <c r="AL31" s="5">
        <f t="shared" si="25"/>
        <v>0.90909090909090906</v>
      </c>
      <c r="AM31" s="5">
        <f>(tbl_główna_GRACZE[[#This Row],[stl]]+tbl_główna_GRACZE[[#This Row],[blk]])*(40/tbl_główna_GRACZE[[#This Row],[min]])</f>
        <v>2.6666666666666665</v>
      </c>
      <c r="AN3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31" s="25">
        <f>tbl_główna_GRACZE[[#This Row],[stl]]+tbl_główna_GRACZE[[#This Row],[blk]]+(tbl_główna_GRACZE[[#This Row],[dreb]]*0.5)</f>
        <v>4.5</v>
      </c>
      <c r="AP31" s="29">
        <f>(tbl_główna_GRACZE[[#This Row],[stl]]+tbl_główna_GRACZE[[#This Row],[blk]]+0.5*tbl_główna_GRACZE[[#This Row],[dreb]])/tbl_główna_GRACZE[[#This Row],[min]]</f>
        <v>0.15</v>
      </c>
      <c r="AQ31" s="6">
        <f t="shared" si="26"/>
        <v>10.900000000000002</v>
      </c>
      <c r="AR31" s="6">
        <f>tbl_główna_GRACZE[[#This Row],[GmSc]]*(40/tbl_główna_GRACZE[[#This Row],[min]])</f>
        <v>14.533333333333335</v>
      </c>
      <c r="AS31" s="6">
        <f>tbl_główna_GRACZE[[#This Row],[EVAL]]*(40/tbl_główna_GRACZE[[#This Row],[min]])</f>
        <v>20</v>
      </c>
      <c r="AT31" s="11">
        <f>tbl_główna_GRACZE[[#This Row],[fgm]]-tbl_główna_GRACZE[[#This Row],[3pm]]</f>
        <v>2</v>
      </c>
      <c r="AU31" s="11">
        <f>tbl_główna_GRACZE[[#This Row],[fga]]-tbl_główna_GRACZE[[#This Row],[3pa]]</f>
        <v>2</v>
      </c>
      <c r="AV31">
        <f>IF(tbl_główna_GRACZE[[#This Row],[min]]&gt;0,1,0)</f>
        <v>1</v>
      </c>
      <c r="AW31" s="58" t="str">
        <f>tbl_główna_GRACZE[[#This Row],[I. Nazwisko]]</f>
        <v>M. Leśniak</v>
      </c>
    </row>
    <row r="32" spans="1:49" ht="14.5" customHeight="1" x14ac:dyDescent="0.35">
      <c r="A32" t="s">
        <v>48</v>
      </c>
      <c r="B32" t="s">
        <v>46</v>
      </c>
      <c r="C32" t="s">
        <v>58</v>
      </c>
      <c r="D32" t="str">
        <f>IF(C32="H",VLOOKUP($A32,tab_nazwy_zespołów[],2,0)&amp;VLOOKUP($B32,tab_nazwy_zespołów[],2,0),VLOOKUP($B32,tab_nazwy_zespołów[],2,0)&amp;VLOOKUP($A32,tab_nazwy_zespołów[],2,0))</f>
        <v>BYPŁOD</v>
      </c>
      <c r="E32">
        <v>1</v>
      </c>
      <c r="F32">
        <f>COUNTIF(tbl_zawodnicy_sumy[I. Nazwisko],tbl_główna_GRACZE[[#This Row],[I. Nazwisko]])</f>
        <v>1</v>
      </c>
      <c r="G32" s="58" t="str">
        <f>RIGHT(tbl_główna_GRACZE[[#This Row],[Kolumna1]],LEN(tbl_główna_GRACZE[[#This Row],[Kolumna1]])-FIND(" ",tbl_główna_GRACZE[[#This Row],[Kolumna1]]))</f>
        <v>K. Bereda</v>
      </c>
      <c r="H32" s="2" t="s">
        <v>81</v>
      </c>
      <c r="I32" s="10">
        <v>3</v>
      </c>
      <c r="J32" s="10">
        <v>9</v>
      </c>
      <c r="K32" s="10">
        <v>2</v>
      </c>
      <c r="L32" s="10">
        <v>6</v>
      </c>
      <c r="M32" s="10">
        <v>2</v>
      </c>
      <c r="N32" s="10">
        <v>4</v>
      </c>
      <c r="O32" s="10">
        <v>0</v>
      </c>
      <c r="P32" s="10">
        <v>7</v>
      </c>
      <c r="Q32" s="10">
        <v>1</v>
      </c>
      <c r="R32" s="10">
        <v>5</v>
      </c>
      <c r="S32" s="10">
        <v>0</v>
      </c>
      <c r="T32" s="10">
        <v>1</v>
      </c>
      <c r="U32" s="10">
        <v>3</v>
      </c>
      <c r="V32" s="10">
        <v>31</v>
      </c>
      <c r="W32" s="10">
        <v>10</v>
      </c>
      <c r="X32" s="11">
        <f t="shared" si="19"/>
        <v>7</v>
      </c>
      <c r="Y32" s="4">
        <f t="shared" si="20"/>
        <v>0.33333333333333331</v>
      </c>
      <c r="Z32" s="4">
        <f t="shared" si="0"/>
        <v>0.33333333333333331</v>
      </c>
      <c r="AA32" s="4">
        <f t="shared" si="1"/>
        <v>0.5</v>
      </c>
      <c r="AB32" s="4">
        <f>IFERROR(tbl_główna_GRACZE[[#This Row],[2pm]]/tbl_główna_GRACZE[[#This Row],[2pa]],0)</f>
        <v>0.33333333333333331</v>
      </c>
      <c r="AC32" s="4">
        <f t="shared" si="21"/>
        <v>0.46468401486988847</v>
      </c>
      <c r="AD32" s="4">
        <f t="shared" si="22"/>
        <v>0.44444444444444442</v>
      </c>
      <c r="AE32" s="11">
        <f t="shared" si="2"/>
        <v>18</v>
      </c>
      <c r="AF32" s="4">
        <f t="shared" si="23"/>
        <v>0.44444444444444442</v>
      </c>
      <c r="AG32" s="4">
        <f t="shared" si="24"/>
        <v>0.66666666666666663</v>
      </c>
      <c r="AH3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0.11374207188160677</v>
      </c>
      <c r="AI32" s="25">
        <f>tbl_główna_GRACZE[[#This Row],[pts]]*(40/tbl_główna_GRACZE[[#This Row],[min]])</f>
        <v>12.903225806451612</v>
      </c>
      <c r="AJ32" s="30">
        <f>tbl_główna_GRACZE[[#This Row],[reb total]]*(40/tbl_główna_GRACZE[[#This Row],[min]])</f>
        <v>9.0322580645161281</v>
      </c>
      <c r="AK32" s="30">
        <f>tbl_główna_GRACZE[[#This Row],[asst]]*(40/tbl_główna_GRACZE[[#This Row],[min]])</f>
        <v>3.870967741935484</v>
      </c>
      <c r="AL32" s="5">
        <f t="shared" si="25"/>
        <v>1.1111111111111112</v>
      </c>
      <c r="AM32" s="5">
        <f>(tbl_główna_GRACZE[[#This Row],[stl]]+tbl_główna_GRACZE[[#This Row],[blk]])*(40/tbl_główna_GRACZE[[#This Row],[min]])</f>
        <v>7.741935483870968</v>
      </c>
      <c r="AN3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0.375</v>
      </c>
      <c r="AO32" s="25">
        <f>tbl_główna_GRACZE[[#This Row],[stl]]+tbl_główna_GRACZE[[#This Row],[blk]]+(tbl_główna_GRACZE[[#This Row],[dreb]]*0.5)</f>
        <v>9.5</v>
      </c>
      <c r="AP32" s="29">
        <f>(tbl_główna_GRACZE[[#This Row],[stl]]+tbl_główna_GRACZE[[#This Row],[blk]]+0.5*tbl_główna_GRACZE[[#This Row],[dreb]])/tbl_główna_GRACZE[[#This Row],[min]]</f>
        <v>0.30645161290322581</v>
      </c>
      <c r="AQ32" s="6">
        <f t="shared" si="26"/>
        <v>13.999999999999998</v>
      </c>
      <c r="AR32" s="6">
        <f>tbl_główna_GRACZE[[#This Row],[GmSc]]*(40/tbl_główna_GRACZE[[#This Row],[min]])</f>
        <v>18.064516129032256</v>
      </c>
      <c r="AS32" s="6">
        <f>tbl_główna_GRACZE[[#This Row],[EVAL]]*(40/tbl_główna_GRACZE[[#This Row],[min]])</f>
        <v>23.225806451612904</v>
      </c>
      <c r="AT32" s="11">
        <f>tbl_główna_GRACZE[[#This Row],[fgm]]-tbl_główna_GRACZE[[#This Row],[3pm]]</f>
        <v>1</v>
      </c>
      <c r="AU32" s="11">
        <f>tbl_główna_GRACZE[[#This Row],[fga]]-tbl_główna_GRACZE[[#This Row],[3pa]]</f>
        <v>3</v>
      </c>
      <c r="AV32">
        <f>IF(tbl_główna_GRACZE[[#This Row],[min]]&gt;0,1,0)</f>
        <v>1</v>
      </c>
      <c r="AW32" s="58" t="str">
        <f>tbl_główna_GRACZE[[#This Row],[I. Nazwisko]]</f>
        <v>K. Bereda</v>
      </c>
    </row>
    <row r="33" spans="1:49" ht="14.5" customHeight="1" x14ac:dyDescent="0.35">
      <c r="A33" t="s">
        <v>48</v>
      </c>
      <c r="B33" t="s">
        <v>46</v>
      </c>
      <c r="C33" t="s">
        <v>58</v>
      </c>
      <c r="D33" t="str">
        <f>IF(C33="H",VLOOKUP($A33,tab_nazwy_zespołów[],2,0)&amp;VLOOKUP($B33,tab_nazwy_zespołów[],2,0),VLOOKUP($B33,tab_nazwy_zespołów[],2,0)&amp;VLOOKUP($A33,tab_nazwy_zespołów[],2,0))</f>
        <v>BYPŁOD</v>
      </c>
      <c r="E33">
        <v>1</v>
      </c>
      <c r="F33">
        <f>COUNTIF(tbl_zawodnicy_sumy[I. Nazwisko],tbl_główna_GRACZE[[#This Row],[I. Nazwisko]])</f>
        <v>1</v>
      </c>
      <c r="G33" s="58" t="str">
        <f>RIGHT(tbl_główna_GRACZE[[#This Row],[Kolumna1]],LEN(tbl_główna_GRACZE[[#This Row],[Kolumna1]])-FIND(" ",tbl_główna_GRACZE[[#This Row],[Kolumna1]]))</f>
        <v>M. Łukasiuk</v>
      </c>
      <c r="H33" s="2" t="s">
        <v>82</v>
      </c>
      <c r="I33" s="10">
        <v>3</v>
      </c>
      <c r="J33" s="10">
        <v>16</v>
      </c>
      <c r="K33" s="10">
        <v>2</v>
      </c>
      <c r="L33" s="10">
        <v>7</v>
      </c>
      <c r="M33" s="10">
        <v>0</v>
      </c>
      <c r="N33" s="10">
        <v>0</v>
      </c>
      <c r="O33" s="10">
        <v>4</v>
      </c>
      <c r="P33" s="10">
        <v>5</v>
      </c>
      <c r="Q33" s="10">
        <v>1</v>
      </c>
      <c r="R33" s="10">
        <v>1</v>
      </c>
      <c r="S33" s="10">
        <v>0</v>
      </c>
      <c r="T33" s="10">
        <v>0</v>
      </c>
      <c r="U33" s="10">
        <v>5</v>
      </c>
      <c r="V33" s="10">
        <v>27</v>
      </c>
      <c r="W33" s="10">
        <v>8</v>
      </c>
      <c r="X33" s="11">
        <f t="shared" si="19"/>
        <v>9</v>
      </c>
      <c r="Y33" s="4">
        <f t="shared" si="20"/>
        <v>0.1875</v>
      </c>
      <c r="Z33" s="4">
        <f t="shared" si="0"/>
        <v>0.2857142857142857</v>
      </c>
      <c r="AA33" s="4">
        <f t="shared" si="1"/>
        <v>0</v>
      </c>
      <c r="AB33" s="4">
        <f>IFERROR(tbl_główna_GRACZE[[#This Row],[2pm]]/tbl_główna_GRACZE[[#This Row],[2pa]],0)</f>
        <v>0.1111111111111111</v>
      </c>
      <c r="AC33" s="4">
        <f t="shared" si="21"/>
        <v>0.25</v>
      </c>
      <c r="AD33" s="4">
        <f t="shared" si="22"/>
        <v>0.25</v>
      </c>
      <c r="AE33" s="11">
        <f t="shared" si="2"/>
        <v>10</v>
      </c>
      <c r="AF33" s="4">
        <f t="shared" si="23"/>
        <v>0</v>
      </c>
      <c r="AG33" s="4">
        <f t="shared" si="24"/>
        <v>0.4375</v>
      </c>
      <c r="AH3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0.16913319238900634</v>
      </c>
      <c r="AI33" s="25">
        <f>tbl_główna_GRACZE[[#This Row],[pts]]*(40/tbl_główna_GRACZE[[#This Row],[min]])</f>
        <v>11.851851851851851</v>
      </c>
      <c r="AJ33" s="30">
        <f>tbl_główna_GRACZE[[#This Row],[reb total]]*(40/tbl_główna_GRACZE[[#This Row],[min]])</f>
        <v>13.333333333333332</v>
      </c>
      <c r="AK33" s="30">
        <f>tbl_główna_GRACZE[[#This Row],[asst]]*(40/tbl_główna_GRACZE[[#This Row],[min]])</f>
        <v>7.4074074074074066</v>
      </c>
      <c r="AL33" s="5">
        <f t="shared" si="25"/>
        <v>0.5</v>
      </c>
      <c r="AM33" s="5">
        <f>(tbl_główna_GRACZE[[#This Row],[stl]]+tbl_główna_GRACZE[[#This Row],[blk]])*(40/tbl_główna_GRACZE[[#This Row],[min]])</f>
        <v>1.4814814814814814</v>
      </c>
      <c r="AN3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33" s="25">
        <f>tbl_główna_GRACZE[[#This Row],[stl]]+tbl_główna_GRACZE[[#This Row],[blk]]+(tbl_główna_GRACZE[[#This Row],[dreb]]*0.5)</f>
        <v>3.5</v>
      </c>
      <c r="AP33" s="29">
        <f>(tbl_główna_GRACZE[[#This Row],[stl]]+tbl_główna_GRACZE[[#This Row],[blk]]+0.5*tbl_główna_GRACZE[[#This Row],[dreb]])/tbl_główna_GRACZE[[#This Row],[min]]</f>
        <v>0.12962962962962962</v>
      </c>
      <c r="AQ33" s="6">
        <f t="shared" si="26"/>
        <v>6.8</v>
      </c>
      <c r="AR33" s="6">
        <f>tbl_główna_GRACZE[[#This Row],[GmSc]]*(40/tbl_główna_GRACZE[[#This Row],[min]])</f>
        <v>10.074074074074073</v>
      </c>
      <c r="AS33" s="6">
        <f>tbl_główna_GRACZE[[#This Row],[EVAL]]*(40/tbl_główna_GRACZE[[#This Row],[min]])</f>
        <v>14.814814814814813</v>
      </c>
      <c r="AT33" s="11">
        <f>tbl_główna_GRACZE[[#This Row],[fgm]]-tbl_główna_GRACZE[[#This Row],[3pm]]</f>
        <v>1</v>
      </c>
      <c r="AU33" s="11">
        <f>tbl_główna_GRACZE[[#This Row],[fga]]-tbl_główna_GRACZE[[#This Row],[3pa]]</f>
        <v>9</v>
      </c>
      <c r="AV33">
        <f>IF(tbl_główna_GRACZE[[#This Row],[min]]&gt;0,1,0)</f>
        <v>1</v>
      </c>
      <c r="AW33" s="58" t="str">
        <f>tbl_główna_GRACZE[[#This Row],[I. Nazwisko]]</f>
        <v>M. Łukasiuk</v>
      </c>
    </row>
    <row r="34" spans="1:49" ht="14.5" customHeight="1" x14ac:dyDescent="0.35">
      <c r="A34" t="s">
        <v>48</v>
      </c>
      <c r="B34" t="s">
        <v>46</v>
      </c>
      <c r="C34" t="s">
        <v>58</v>
      </c>
      <c r="D34" t="str">
        <f>IF(C34="H",VLOOKUP($A34,tab_nazwy_zespołów[],2,0)&amp;VLOOKUP($B34,tab_nazwy_zespołów[],2,0),VLOOKUP($B34,tab_nazwy_zespołów[],2,0)&amp;VLOOKUP($A34,tab_nazwy_zespołów[],2,0))</f>
        <v>BYPŁOD</v>
      </c>
      <c r="E34">
        <v>1</v>
      </c>
      <c r="F34">
        <f>COUNTIF(tbl_zawodnicy_sumy[I. Nazwisko],tbl_główna_GRACZE[[#This Row],[I. Nazwisko]])</f>
        <v>1</v>
      </c>
      <c r="G34" s="58" t="str">
        <f>RIGHT(tbl_główna_GRACZE[[#This Row],[Kolumna1]],LEN(tbl_główna_GRACZE[[#This Row],[Kolumna1]])-FIND(" ",tbl_główna_GRACZE[[#This Row],[Kolumna1]]))</f>
        <v>M. Mąkowski</v>
      </c>
      <c r="H34" s="2" t="s">
        <v>83</v>
      </c>
      <c r="I34" s="10">
        <v>3</v>
      </c>
      <c r="J34" s="10">
        <v>12</v>
      </c>
      <c r="K34" s="10">
        <v>0</v>
      </c>
      <c r="L34" s="10">
        <v>0</v>
      </c>
      <c r="M34" s="10">
        <v>0</v>
      </c>
      <c r="N34" s="10">
        <v>5</v>
      </c>
      <c r="O34" s="10">
        <v>6</v>
      </c>
      <c r="P34" s="10">
        <v>6</v>
      </c>
      <c r="Q34" s="10">
        <v>2</v>
      </c>
      <c r="R34" s="10">
        <v>1</v>
      </c>
      <c r="S34" s="10">
        <v>0</v>
      </c>
      <c r="T34" s="10">
        <v>0</v>
      </c>
      <c r="U34" s="10">
        <v>3</v>
      </c>
      <c r="V34" s="10">
        <v>25</v>
      </c>
      <c r="W34" s="10">
        <v>6</v>
      </c>
      <c r="X34" s="11">
        <f t="shared" si="19"/>
        <v>12</v>
      </c>
      <c r="Y34" s="4">
        <f t="shared" si="20"/>
        <v>0.25</v>
      </c>
      <c r="Z34" s="4">
        <f t="shared" si="0"/>
        <v>0</v>
      </c>
      <c r="AA34" s="4">
        <f t="shared" si="1"/>
        <v>0</v>
      </c>
      <c r="AB34" s="4">
        <f>IFERROR(tbl_główna_GRACZE[[#This Row],[2pm]]/tbl_główna_GRACZE[[#This Row],[2pa]],0)</f>
        <v>0.25</v>
      </c>
      <c r="AC34" s="4">
        <f t="shared" si="21"/>
        <v>0.21126760563380284</v>
      </c>
      <c r="AD34" s="4">
        <f t="shared" si="22"/>
        <v>0.25</v>
      </c>
      <c r="AE34" s="11">
        <f t="shared" si="2"/>
        <v>8</v>
      </c>
      <c r="AF34" s="4">
        <f t="shared" si="23"/>
        <v>0.41666666666666669</v>
      </c>
      <c r="AG34" s="4">
        <f t="shared" si="24"/>
        <v>0</v>
      </c>
      <c r="AH3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0.15010570824524314</v>
      </c>
      <c r="AI34" s="25">
        <f>tbl_główna_GRACZE[[#This Row],[pts]]*(40/tbl_główna_GRACZE[[#This Row],[min]])</f>
        <v>9.6000000000000014</v>
      </c>
      <c r="AJ34" s="30">
        <f>tbl_główna_GRACZE[[#This Row],[reb total]]*(40/tbl_główna_GRACZE[[#This Row],[min]])</f>
        <v>19.200000000000003</v>
      </c>
      <c r="AK34" s="30">
        <f>tbl_główna_GRACZE[[#This Row],[asst]]*(40/tbl_główna_GRACZE[[#This Row],[min]])</f>
        <v>4.8000000000000007</v>
      </c>
      <c r="AL34" s="5">
        <f t="shared" si="25"/>
        <v>0.5</v>
      </c>
      <c r="AM34" s="5">
        <f>(tbl_główna_GRACZE[[#This Row],[stl]]+tbl_główna_GRACZE[[#This Row],[blk]])*(40/tbl_główna_GRACZE[[#This Row],[min]])</f>
        <v>1.6</v>
      </c>
      <c r="AN3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34" s="25">
        <f>tbl_główna_GRACZE[[#This Row],[stl]]+tbl_główna_GRACZE[[#This Row],[blk]]+(tbl_główna_GRACZE[[#This Row],[dreb]]*0.5)</f>
        <v>4</v>
      </c>
      <c r="AP34" s="29">
        <f>(tbl_główna_GRACZE[[#This Row],[stl]]+tbl_główna_GRACZE[[#This Row],[blk]]+0.5*tbl_główna_GRACZE[[#This Row],[dreb]])/tbl_główna_GRACZE[[#This Row],[min]]</f>
        <v>0.16</v>
      </c>
      <c r="AQ34" s="6">
        <f t="shared" si="26"/>
        <v>5.9</v>
      </c>
      <c r="AR34" s="6">
        <f>tbl_główna_GRACZE[[#This Row],[GmSc]]*(40/tbl_główna_GRACZE[[#This Row],[min]])</f>
        <v>9.4400000000000013</v>
      </c>
      <c r="AS34" s="6">
        <f>tbl_główna_GRACZE[[#This Row],[EVAL]]*(40/tbl_główna_GRACZE[[#This Row],[min]])</f>
        <v>12.8</v>
      </c>
      <c r="AT34" s="11">
        <f>tbl_główna_GRACZE[[#This Row],[fgm]]-tbl_główna_GRACZE[[#This Row],[3pm]]</f>
        <v>3</v>
      </c>
      <c r="AU34" s="11">
        <f>tbl_główna_GRACZE[[#This Row],[fga]]-tbl_główna_GRACZE[[#This Row],[3pa]]</f>
        <v>12</v>
      </c>
      <c r="AV34">
        <f>IF(tbl_główna_GRACZE[[#This Row],[min]]&gt;0,1,0)</f>
        <v>1</v>
      </c>
      <c r="AW34" s="58" t="str">
        <f>tbl_główna_GRACZE[[#This Row],[I. Nazwisko]]</f>
        <v>M. Mąkowski</v>
      </c>
    </row>
    <row r="35" spans="1:49" ht="14.5" customHeight="1" x14ac:dyDescent="0.35">
      <c r="A35" t="s">
        <v>50</v>
      </c>
      <c r="B35" t="s">
        <v>52</v>
      </c>
      <c r="C35" t="s">
        <v>57</v>
      </c>
      <c r="D35" t="str">
        <f>IF(C35="H",VLOOKUP($A35,tab_nazwy_zespołów[],2,0)&amp;VLOOKUP($B35,tab_nazwy_zespołów[],2,0),VLOOKUP($B35,tab_nazwy_zespołów[],2,0)&amp;VLOOKUP($A35,tab_nazwy_zespołów[],2,0))</f>
        <v>KONWIL</v>
      </c>
      <c r="E35">
        <v>1</v>
      </c>
      <c r="F35">
        <f>COUNTIF(tbl_zawodnicy_sumy[I. Nazwisko],tbl_główna_GRACZE[[#This Row],[I. Nazwisko]])</f>
        <v>1</v>
      </c>
      <c r="G35" s="58" t="str">
        <f>RIGHT(tbl_główna_GRACZE[[#This Row],[Kolumna1]],LEN(tbl_główna_GRACZE[[#This Row],[Kolumna1]])-FIND(" ",tbl_główna_GRACZE[[#This Row],[Kolumna1]]))</f>
        <v>D. Hentosz</v>
      </c>
      <c r="H35" s="2" t="s">
        <v>84</v>
      </c>
      <c r="I35" s="10">
        <v>6</v>
      </c>
      <c r="J35" s="10">
        <v>23</v>
      </c>
      <c r="K35" s="10">
        <v>2</v>
      </c>
      <c r="L35" s="10">
        <v>13</v>
      </c>
      <c r="M35" s="10">
        <v>4</v>
      </c>
      <c r="N35" s="10">
        <v>4</v>
      </c>
      <c r="O35" s="10">
        <v>1</v>
      </c>
      <c r="P35" s="10">
        <v>9</v>
      </c>
      <c r="Q35" s="10">
        <v>3</v>
      </c>
      <c r="R35" s="10">
        <v>1</v>
      </c>
      <c r="S35" s="10">
        <v>0</v>
      </c>
      <c r="T35" s="10">
        <v>0</v>
      </c>
      <c r="U35" s="10">
        <v>1</v>
      </c>
      <c r="V35" s="10">
        <v>40</v>
      </c>
      <c r="W35" s="10">
        <v>18</v>
      </c>
      <c r="X35" s="11">
        <f t="shared" ref="X35:X41" si="27">O35+P35</f>
        <v>10</v>
      </c>
      <c r="Y35" s="4">
        <f t="shared" ref="Y35:Y41" si="28">I35/J35</f>
        <v>0.2608695652173913</v>
      </c>
      <c r="Z35" s="4">
        <f t="shared" si="0"/>
        <v>0.15384615384615385</v>
      </c>
      <c r="AA35" s="4">
        <f t="shared" si="1"/>
        <v>1</v>
      </c>
      <c r="AB35" s="4">
        <f>IFERROR(tbl_główna_GRACZE[[#This Row],[2pm]]/tbl_główna_GRACZE[[#This Row],[2pa]],0)</f>
        <v>0.4</v>
      </c>
      <c r="AC35" s="4">
        <f t="shared" ref="AC35:AC41" si="29">W35/(2*(J35+0.44*N35))</f>
        <v>0.36348949919224555</v>
      </c>
      <c r="AD35" s="4">
        <f t="shared" ref="AD35:AD41" si="30">(I35+0.5*K35)/J35</f>
        <v>0.30434782608695654</v>
      </c>
      <c r="AE35" s="11">
        <f t="shared" si="2"/>
        <v>13</v>
      </c>
      <c r="AF35" s="4">
        <f t="shared" ref="AF35:AF41" si="31">N35/J35</f>
        <v>0.17391304347826086</v>
      </c>
      <c r="AG35" s="4">
        <f t="shared" ref="AG35:AG41" si="32">L35/J35</f>
        <v>0.56521739130434778</v>
      </c>
      <c r="AH3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0.40777338603425561</v>
      </c>
      <c r="AI35" s="25">
        <f>tbl_główna_GRACZE[[#This Row],[pts]]*(40/tbl_główna_GRACZE[[#This Row],[min]])</f>
        <v>18</v>
      </c>
      <c r="AJ35" s="30">
        <f>tbl_główna_GRACZE[[#This Row],[reb total]]*(40/tbl_główna_GRACZE[[#This Row],[min]])</f>
        <v>10</v>
      </c>
      <c r="AK35" s="30">
        <f>tbl_główna_GRACZE[[#This Row],[asst]]*(40/tbl_główna_GRACZE[[#This Row],[min]])</f>
        <v>1</v>
      </c>
      <c r="AL35" s="5">
        <f t="shared" ref="AL35:AL41" si="33">W35/J35</f>
        <v>0.78260869565217395</v>
      </c>
      <c r="AM35" s="5">
        <f>(tbl_główna_GRACZE[[#This Row],[stl]]+tbl_główna_GRACZE[[#This Row],[blk]])*(40/tbl_główna_GRACZE[[#This Row],[min]])</f>
        <v>1</v>
      </c>
      <c r="AN3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35" s="25">
        <f>tbl_główna_GRACZE[[#This Row],[stl]]+tbl_główna_GRACZE[[#This Row],[blk]]+(tbl_główna_GRACZE[[#This Row],[dreb]]*0.5)</f>
        <v>5.5</v>
      </c>
      <c r="AP35" s="29">
        <f>(tbl_główna_GRACZE[[#This Row],[stl]]+tbl_główna_GRACZE[[#This Row],[blk]]+0.5*tbl_główna_GRACZE[[#This Row],[dreb]])/tbl_główna_GRACZE[[#This Row],[min]]</f>
        <v>0.13750000000000001</v>
      </c>
      <c r="AQ35" s="6">
        <f t="shared" ref="AQ35:AQ41" si="34">W35+0.4*I35-0.7*J35-0.4*(N35-M35)+0.7*O35+0.3*P35+R35+0.7*U35+0.7*T35</f>
        <v>9.4</v>
      </c>
      <c r="AR35" s="6">
        <f>tbl_główna_GRACZE[[#This Row],[GmSc]]*(40/tbl_główna_GRACZE[[#This Row],[min]])</f>
        <v>9.4</v>
      </c>
      <c r="AS35" s="6">
        <f>tbl_główna_GRACZE[[#This Row],[EVAL]]*(40/tbl_główna_GRACZE[[#This Row],[min]])</f>
        <v>13</v>
      </c>
      <c r="AT35" s="11">
        <f>tbl_główna_GRACZE[[#This Row],[fgm]]-tbl_główna_GRACZE[[#This Row],[3pm]]</f>
        <v>4</v>
      </c>
      <c r="AU35" s="11">
        <f>tbl_główna_GRACZE[[#This Row],[fga]]-tbl_główna_GRACZE[[#This Row],[3pa]]</f>
        <v>10</v>
      </c>
      <c r="AV35">
        <f>IF(tbl_główna_GRACZE[[#This Row],[min]]&gt;0,1,0)</f>
        <v>1</v>
      </c>
      <c r="AW35" s="58" t="str">
        <f>tbl_główna_GRACZE[[#This Row],[I. Nazwisko]]</f>
        <v>D. Hentosz</v>
      </c>
    </row>
    <row r="36" spans="1:49" ht="14.5" customHeight="1" x14ac:dyDescent="0.35">
      <c r="A36" t="s">
        <v>50</v>
      </c>
      <c r="B36" t="s">
        <v>52</v>
      </c>
      <c r="C36" t="s">
        <v>57</v>
      </c>
      <c r="D36" t="str">
        <f>IF(C36="H",VLOOKUP($A36,tab_nazwy_zespołów[],2,0)&amp;VLOOKUP($B36,tab_nazwy_zespołów[],2,0),VLOOKUP($B36,tab_nazwy_zespołów[],2,0)&amp;VLOOKUP($A36,tab_nazwy_zespołów[],2,0))</f>
        <v>KONWIL</v>
      </c>
      <c r="E36">
        <v>1</v>
      </c>
      <c r="F36">
        <f>COUNTIF(tbl_zawodnicy_sumy[I. Nazwisko],tbl_główna_GRACZE[[#This Row],[I. Nazwisko]])</f>
        <v>1</v>
      </c>
      <c r="G36" s="58" t="str">
        <f>RIGHT(tbl_główna_GRACZE[[#This Row],[Kolumna1]],LEN(tbl_główna_GRACZE[[#This Row],[Kolumna1]])-FIND(" ",tbl_główna_GRACZE[[#This Row],[Kolumna1]]))</f>
        <v>A. Franko</v>
      </c>
      <c r="H36" s="2" t="s">
        <v>85</v>
      </c>
      <c r="I36" s="10">
        <v>2</v>
      </c>
      <c r="J36" s="10">
        <v>6</v>
      </c>
      <c r="K36" s="10">
        <v>2</v>
      </c>
      <c r="L36" s="10">
        <v>3</v>
      </c>
      <c r="M36" s="10">
        <v>0</v>
      </c>
      <c r="N36" s="10">
        <v>0</v>
      </c>
      <c r="O36" s="10">
        <v>0</v>
      </c>
      <c r="P36" s="10">
        <v>2</v>
      </c>
      <c r="Q36" s="10">
        <v>2</v>
      </c>
      <c r="R36" s="10">
        <v>0</v>
      </c>
      <c r="S36" s="10">
        <v>0</v>
      </c>
      <c r="T36" s="10">
        <v>1</v>
      </c>
      <c r="U36" s="10">
        <v>0</v>
      </c>
      <c r="V36" s="10">
        <v>31</v>
      </c>
      <c r="W36" s="10">
        <v>6</v>
      </c>
      <c r="X36" s="11">
        <f t="shared" si="27"/>
        <v>2</v>
      </c>
      <c r="Y36" s="4">
        <f t="shared" si="28"/>
        <v>0.33333333333333331</v>
      </c>
      <c r="Z36" s="4">
        <f t="shared" si="0"/>
        <v>0.66666666666666663</v>
      </c>
      <c r="AA36" s="4">
        <f t="shared" si="1"/>
        <v>0</v>
      </c>
      <c r="AB36" s="4">
        <f>IFERROR(tbl_główna_GRACZE[[#This Row],[2pm]]/tbl_główna_GRACZE[[#This Row],[2pa]],0)</f>
        <v>0</v>
      </c>
      <c r="AC36" s="4">
        <f t="shared" si="29"/>
        <v>0.5</v>
      </c>
      <c r="AD36" s="4">
        <f t="shared" si="30"/>
        <v>0.5</v>
      </c>
      <c r="AE36" s="11">
        <f t="shared" si="2"/>
        <v>5</v>
      </c>
      <c r="AF36" s="4">
        <f t="shared" si="31"/>
        <v>0</v>
      </c>
      <c r="AG36" s="4">
        <f t="shared" si="32"/>
        <v>0.5</v>
      </c>
      <c r="AH3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9.8814229249011856E-2</v>
      </c>
      <c r="AI36" s="25">
        <f>tbl_główna_GRACZE[[#This Row],[pts]]*(40/tbl_główna_GRACZE[[#This Row],[min]])</f>
        <v>7.741935483870968</v>
      </c>
      <c r="AJ36" s="30">
        <f>tbl_główna_GRACZE[[#This Row],[reb total]]*(40/tbl_główna_GRACZE[[#This Row],[min]])</f>
        <v>2.5806451612903225</v>
      </c>
      <c r="AK36" s="30">
        <f>tbl_główna_GRACZE[[#This Row],[asst]]*(40/tbl_główna_GRACZE[[#This Row],[min]])</f>
        <v>0</v>
      </c>
      <c r="AL36" s="5">
        <f t="shared" si="33"/>
        <v>1</v>
      </c>
      <c r="AM36" s="5">
        <f>(tbl_główna_GRACZE[[#This Row],[stl]]+tbl_główna_GRACZE[[#This Row],[blk]])*(40/tbl_główna_GRACZE[[#This Row],[min]])</f>
        <v>1.2903225806451613</v>
      </c>
      <c r="AN3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36" s="25">
        <f>tbl_główna_GRACZE[[#This Row],[stl]]+tbl_główna_GRACZE[[#This Row],[blk]]+(tbl_główna_GRACZE[[#This Row],[dreb]]*0.5)</f>
        <v>2</v>
      </c>
      <c r="AP36" s="29">
        <f>(tbl_główna_GRACZE[[#This Row],[stl]]+tbl_główna_GRACZE[[#This Row],[blk]]+0.5*tbl_główna_GRACZE[[#This Row],[dreb]])/tbl_główna_GRACZE[[#This Row],[min]]</f>
        <v>6.4516129032258063E-2</v>
      </c>
      <c r="AQ36" s="6">
        <f t="shared" si="34"/>
        <v>3.9000000000000004</v>
      </c>
      <c r="AR36" s="6">
        <f>tbl_główna_GRACZE[[#This Row],[GmSc]]*(40/tbl_główna_GRACZE[[#This Row],[min]])</f>
        <v>5.032258064516129</v>
      </c>
      <c r="AS36" s="6">
        <f>tbl_główna_GRACZE[[#This Row],[EVAL]]*(40/tbl_główna_GRACZE[[#This Row],[min]])</f>
        <v>6.4516129032258061</v>
      </c>
      <c r="AT36" s="11">
        <f>tbl_główna_GRACZE[[#This Row],[fgm]]-tbl_główna_GRACZE[[#This Row],[3pm]]</f>
        <v>0</v>
      </c>
      <c r="AU36" s="11">
        <f>tbl_główna_GRACZE[[#This Row],[fga]]-tbl_główna_GRACZE[[#This Row],[3pa]]</f>
        <v>3</v>
      </c>
      <c r="AV36">
        <f>IF(tbl_główna_GRACZE[[#This Row],[min]]&gt;0,1,0)</f>
        <v>1</v>
      </c>
      <c r="AW36" s="58" t="str">
        <f>tbl_główna_GRACZE[[#This Row],[I. Nazwisko]]</f>
        <v>A. Franko</v>
      </c>
    </row>
    <row r="37" spans="1:49" ht="14.5" customHeight="1" x14ac:dyDescent="0.35">
      <c r="A37" t="s">
        <v>50</v>
      </c>
      <c r="B37" t="s">
        <v>52</v>
      </c>
      <c r="C37" t="s">
        <v>57</v>
      </c>
      <c r="D37" t="str">
        <f>IF(C37="H",VLOOKUP($A37,tab_nazwy_zespołów[],2,0)&amp;VLOOKUP($B37,tab_nazwy_zespołów[],2,0),VLOOKUP($B37,tab_nazwy_zespołów[],2,0)&amp;VLOOKUP($A37,tab_nazwy_zespołów[],2,0))</f>
        <v>KONWIL</v>
      </c>
      <c r="E37">
        <v>1</v>
      </c>
      <c r="F37">
        <f>COUNTIF(tbl_zawodnicy_sumy[I. Nazwisko],tbl_główna_GRACZE[[#This Row],[I. Nazwisko]])</f>
        <v>1</v>
      </c>
      <c r="G37" s="58" t="str">
        <f>RIGHT(tbl_główna_GRACZE[[#This Row],[Kolumna1]],LEN(tbl_główna_GRACZE[[#This Row],[Kolumna1]])-FIND(" ",tbl_główna_GRACZE[[#This Row],[Kolumna1]]))</f>
        <v>M. Matusik</v>
      </c>
      <c r="H37" s="2" t="s">
        <v>86</v>
      </c>
      <c r="I37" s="10">
        <v>3</v>
      </c>
      <c r="J37" s="10">
        <v>6</v>
      </c>
      <c r="K37" s="10">
        <v>0</v>
      </c>
      <c r="L37" s="10">
        <v>2</v>
      </c>
      <c r="M37" s="10">
        <v>0</v>
      </c>
      <c r="N37" s="10">
        <v>0</v>
      </c>
      <c r="O37" s="10">
        <v>0</v>
      </c>
      <c r="P37" s="10">
        <v>4</v>
      </c>
      <c r="Q37" s="10">
        <v>0</v>
      </c>
      <c r="R37" s="10">
        <v>3</v>
      </c>
      <c r="S37" s="10">
        <v>0</v>
      </c>
      <c r="T37" s="10">
        <v>1</v>
      </c>
      <c r="U37" s="10">
        <v>2</v>
      </c>
      <c r="V37" s="10">
        <v>23</v>
      </c>
      <c r="W37" s="10">
        <v>6</v>
      </c>
      <c r="X37" s="11">
        <f t="shared" si="27"/>
        <v>4</v>
      </c>
      <c r="Y37" s="4">
        <f t="shared" si="28"/>
        <v>0.5</v>
      </c>
      <c r="Z37" s="4">
        <f t="shared" si="0"/>
        <v>0</v>
      </c>
      <c r="AA37" s="4">
        <f t="shared" si="1"/>
        <v>0</v>
      </c>
      <c r="AB37" s="4">
        <f>IFERROR(tbl_główna_GRACZE[[#This Row],[2pm]]/tbl_główna_GRACZE[[#This Row],[2pa]],0)</f>
        <v>0.75</v>
      </c>
      <c r="AC37" s="4">
        <f t="shared" si="29"/>
        <v>0.5</v>
      </c>
      <c r="AD37" s="4">
        <f t="shared" si="30"/>
        <v>0.5</v>
      </c>
      <c r="AE37" s="11">
        <f t="shared" si="2"/>
        <v>13</v>
      </c>
      <c r="AF37" s="4">
        <f t="shared" si="31"/>
        <v>0</v>
      </c>
      <c r="AG37" s="4">
        <f t="shared" si="32"/>
        <v>0.33333333333333331</v>
      </c>
      <c r="AH3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9.8814229249011856E-2</v>
      </c>
      <c r="AI37" s="25">
        <f>tbl_główna_GRACZE[[#This Row],[pts]]*(40/tbl_główna_GRACZE[[#This Row],[min]])</f>
        <v>10.434782608695652</v>
      </c>
      <c r="AJ37" s="30">
        <f>tbl_główna_GRACZE[[#This Row],[reb total]]*(40/tbl_główna_GRACZE[[#This Row],[min]])</f>
        <v>6.9565217391304346</v>
      </c>
      <c r="AK37" s="30">
        <f>tbl_główna_GRACZE[[#This Row],[asst]]*(40/tbl_główna_GRACZE[[#This Row],[min]])</f>
        <v>3.4782608695652173</v>
      </c>
      <c r="AL37" s="5">
        <f t="shared" si="33"/>
        <v>1</v>
      </c>
      <c r="AM37" s="5">
        <f>(tbl_główna_GRACZE[[#This Row],[stl]]+tbl_główna_GRACZE[[#This Row],[blk]])*(40/tbl_główna_GRACZE[[#This Row],[min]])</f>
        <v>6.9565217391304346</v>
      </c>
      <c r="AN3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0.4</v>
      </c>
      <c r="AO37" s="25">
        <f>tbl_główna_GRACZE[[#This Row],[stl]]+tbl_główna_GRACZE[[#This Row],[blk]]+(tbl_główna_GRACZE[[#This Row],[dreb]]*0.5)</f>
        <v>6</v>
      </c>
      <c r="AP37" s="29">
        <f>(tbl_główna_GRACZE[[#This Row],[stl]]+tbl_główna_GRACZE[[#This Row],[blk]]+0.5*tbl_główna_GRACZE[[#This Row],[dreb]])/tbl_główna_GRACZE[[#This Row],[min]]</f>
        <v>0.2608695652173913</v>
      </c>
      <c r="AQ37" s="6">
        <f t="shared" si="34"/>
        <v>9.3000000000000007</v>
      </c>
      <c r="AR37" s="6">
        <f>tbl_główna_GRACZE[[#This Row],[GmSc]]*(40/tbl_główna_GRACZE[[#This Row],[min]])</f>
        <v>16.173913043478262</v>
      </c>
      <c r="AS37" s="6">
        <f>tbl_główna_GRACZE[[#This Row],[EVAL]]*(40/tbl_główna_GRACZE[[#This Row],[min]])</f>
        <v>22.608695652173914</v>
      </c>
      <c r="AT37" s="11">
        <f>tbl_główna_GRACZE[[#This Row],[fgm]]-tbl_główna_GRACZE[[#This Row],[3pm]]</f>
        <v>3</v>
      </c>
      <c r="AU37" s="11">
        <f>tbl_główna_GRACZE[[#This Row],[fga]]-tbl_główna_GRACZE[[#This Row],[3pa]]</f>
        <v>4</v>
      </c>
      <c r="AV37">
        <f>IF(tbl_główna_GRACZE[[#This Row],[min]]&gt;0,1,0)</f>
        <v>1</v>
      </c>
      <c r="AW37" s="58" t="str">
        <f>tbl_główna_GRACZE[[#This Row],[I. Nazwisko]]</f>
        <v>M. Matusik</v>
      </c>
    </row>
    <row r="38" spans="1:49" ht="14.5" customHeight="1" x14ac:dyDescent="0.35">
      <c r="A38" t="s">
        <v>50</v>
      </c>
      <c r="B38" t="s">
        <v>52</v>
      </c>
      <c r="C38" t="s">
        <v>57</v>
      </c>
      <c r="D38" t="str">
        <f>IF(C38="H",VLOOKUP($A38,tab_nazwy_zespołów[],2,0)&amp;VLOOKUP($B38,tab_nazwy_zespołów[],2,0),VLOOKUP($B38,tab_nazwy_zespołów[],2,0)&amp;VLOOKUP($A38,tab_nazwy_zespołów[],2,0))</f>
        <v>KONWIL</v>
      </c>
      <c r="E38">
        <v>1</v>
      </c>
      <c r="F38">
        <f>COUNTIF(tbl_zawodnicy_sumy[I. Nazwisko],tbl_główna_GRACZE[[#This Row],[I. Nazwisko]])</f>
        <v>1</v>
      </c>
      <c r="G38" s="58" t="str">
        <f>RIGHT(tbl_główna_GRACZE[[#This Row],[Kolumna1]],LEN(tbl_główna_GRACZE[[#This Row],[Kolumna1]])-FIND(" ",tbl_główna_GRACZE[[#This Row],[Kolumna1]]))</f>
        <v>D. Więcław</v>
      </c>
      <c r="H38" s="2" t="s">
        <v>87</v>
      </c>
      <c r="I38" s="10">
        <v>0</v>
      </c>
      <c r="J38" s="10">
        <v>4</v>
      </c>
      <c r="K38" s="10">
        <v>0</v>
      </c>
      <c r="L38" s="10">
        <v>0</v>
      </c>
      <c r="M38" s="10">
        <v>6</v>
      </c>
      <c r="N38" s="10">
        <v>7</v>
      </c>
      <c r="O38" s="10">
        <v>2</v>
      </c>
      <c r="P38" s="10">
        <v>3</v>
      </c>
      <c r="Q38" s="10">
        <v>0</v>
      </c>
      <c r="R38" s="10">
        <v>2</v>
      </c>
      <c r="S38" s="10">
        <v>0</v>
      </c>
      <c r="T38" s="10">
        <v>0</v>
      </c>
      <c r="U38" s="10">
        <v>1</v>
      </c>
      <c r="V38" s="10">
        <v>32</v>
      </c>
      <c r="W38" s="10">
        <v>6</v>
      </c>
      <c r="X38" s="11">
        <f t="shared" si="27"/>
        <v>5</v>
      </c>
      <c r="Y38" s="4">
        <f t="shared" si="28"/>
        <v>0</v>
      </c>
      <c r="Z38" s="4">
        <f t="shared" ref="Z38:Z61" si="35">IFERROR(K38/L38,0)</f>
        <v>0</v>
      </c>
      <c r="AA38" s="4">
        <f t="shared" ref="AA38:AA61" si="36">IFERROR(M38/N38,0)</f>
        <v>0.8571428571428571</v>
      </c>
      <c r="AB38" s="4">
        <f>IFERROR(tbl_główna_GRACZE[[#This Row],[2pm]]/tbl_główna_GRACZE[[#This Row],[2pa]],0)</f>
        <v>0</v>
      </c>
      <c r="AC38" s="4">
        <f t="shared" si="29"/>
        <v>0.42372881355932202</v>
      </c>
      <c r="AD38" s="4">
        <f t="shared" si="30"/>
        <v>0</v>
      </c>
      <c r="AE38" s="11">
        <f t="shared" si="2"/>
        <v>9</v>
      </c>
      <c r="AF38" s="4">
        <f t="shared" si="31"/>
        <v>1.75</v>
      </c>
      <c r="AG38" s="4">
        <f t="shared" si="32"/>
        <v>0</v>
      </c>
      <c r="AH3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0.116600790513834</v>
      </c>
      <c r="AI38" s="25">
        <f>tbl_główna_GRACZE[[#This Row],[pts]]*(40/tbl_główna_GRACZE[[#This Row],[min]])</f>
        <v>7.5</v>
      </c>
      <c r="AJ38" s="30">
        <f>tbl_główna_GRACZE[[#This Row],[reb total]]*(40/tbl_główna_GRACZE[[#This Row],[min]])</f>
        <v>6.25</v>
      </c>
      <c r="AK38" s="30">
        <f>tbl_główna_GRACZE[[#This Row],[asst]]*(40/tbl_główna_GRACZE[[#This Row],[min]])</f>
        <v>1.25</v>
      </c>
      <c r="AL38" s="5">
        <f t="shared" si="33"/>
        <v>1.5</v>
      </c>
      <c r="AM38" s="5">
        <f>(tbl_główna_GRACZE[[#This Row],[stl]]+tbl_główna_GRACZE[[#This Row],[blk]])*(40/tbl_główna_GRACZE[[#This Row],[min]])</f>
        <v>2.5</v>
      </c>
      <c r="AN3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38" s="25">
        <f>tbl_główna_GRACZE[[#This Row],[stl]]+tbl_główna_GRACZE[[#This Row],[blk]]+(tbl_główna_GRACZE[[#This Row],[dreb]]*0.5)</f>
        <v>3.5</v>
      </c>
      <c r="AP38" s="29">
        <f>(tbl_główna_GRACZE[[#This Row],[stl]]+tbl_główna_GRACZE[[#This Row],[blk]]+0.5*tbl_główna_GRACZE[[#This Row],[dreb]])/tbl_główna_GRACZE[[#This Row],[min]]</f>
        <v>0.109375</v>
      </c>
      <c r="AQ38" s="6">
        <f t="shared" si="34"/>
        <v>7.8</v>
      </c>
      <c r="AR38" s="6">
        <f>tbl_główna_GRACZE[[#This Row],[GmSc]]*(40/tbl_główna_GRACZE[[#This Row],[min]])</f>
        <v>9.75</v>
      </c>
      <c r="AS38" s="6">
        <f>tbl_główna_GRACZE[[#This Row],[EVAL]]*(40/tbl_główna_GRACZE[[#This Row],[min]])</f>
        <v>11.25</v>
      </c>
      <c r="AT38" s="11">
        <f>tbl_główna_GRACZE[[#This Row],[fgm]]-tbl_główna_GRACZE[[#This Row],[3pm]]</f>
        <v>0</v>
      </c>
      <c r="AU38" s="11">
        <f>tbl_główna_GRACZE[[#This Row],[fga]]-tbl_główna_GRACZE[[#This Row],[3pa]]</f>
        <v>4</v>
      </c>
      <c r="AV38">
        <f>IF(tbl_główna_GRACZE[[#This Row],[min]]&gt;0,1,0)</f>
        <v>1</v>
      </c>
      <c r="AW38" s="58" t="str">
        <f>tbl_główna_GRACZE[[#This Row],[I. Nazwisko]]</f>
        <v>D. Więcław</v>
      </c>
    </row>
    <row r="39" spans="1:49" ht="14.5" customHeight="1" x14ac:dyDescent="0.35">
      <c r="A39" t="s">
        <v>50</v>
      </c>
      <c r="B39" t="s">
        <v>52</v>
      </c>
      <c r="C39" t="s">
        <v>57</v>
      </c>
      <c r="D39" t="str">
        <f>IF(C39="H",VLOOKUP($A39,tab_nazwy_zespołów[],2,0)&amp;VLOOKUP($B39,tab_nazwy_zespołów[],2,0),VLOOKUP($B39,tab_nazwy_zespołów[],2,0)&amp;VLOOKUP($A39,tab_nazwy_zespołów[],2,0))</f>
        <v>KONWIL</v>
      </c>
      <c r="E39">
        <v>1</v>
      </c>
      <c r="F39">
        <f>COUNTIF(tbl_zawodnicy_sumy[I. Nazwisko],tbl_główna_GRACZE[[#This Row],[I. Nazwisko]])</f>
        <v>1</v>
      </c>
      <c r="G39" s="58" t="str">
        <f>RIGHT(tbl_główna_GRACZE[[#This Row],[Kolumna1]],LEN(tbl_główna_GRACZE[[#This Row],[Kolumna1]])-FIND(" ",tbl_główna_GRACZE[[#This Row],[Kolumna1]]))</f>
        <v>D. Wardak</v>
      </c>
      <c r="H39" s="2" t="s">
        <v>88</v>
      </c>
      <c r="I39" s="10">
        <v>1</v>
      </c>
      <c r="J39" s="10">
        <v>5</v>
      </c>
      <c r="K39" s="10">
        <v>0</v>
      </c>
      <c r="L39" s="10">
        <v>0</v>
      </c>
      <c r="M39" s="10">
        <v>0</v>
      </c>
      <c r="N39" s="10">
        <v>0</v>
      </c>
      <c r="O39" s="10">
        <v>4</v>
      </c>
      <c r="P39" s="10">
        <v>5</v>
      </c>
      <c r="Q39" s="10">
        <v>1</v>
      </c>
      <c r="R39" s="10">
        <v>0</v>
      </c>
      <c r="S39" s="10">
        <v>0</v>
      </c>
      <c r="T39" s="10">
        <v>0</v>
      </c>
      <c r="U39" s="10">
        <v>1</v>
      </c>
      <c r="V39" s="10">
        <v>29</v>
      </c>
      <c r="W39" s="10">
        <v>2</v>
      </c>
      <c r="X39" s="11">
        <f t="shared" si="27"/>
        <v>9</v>
      </c>
      <c r="Y39" s="4">
        <f t="shared" si="28"/>
        <v>0.2</v>
      </c>
      <c r="Z39" s="4">
        <f t="shared" si="35"/>
        <v>0</v>
      </c>
      <c r="AA39" s="4">
        <f t="shared" si="36"/>
        <v>0</v>
      </c>
      <c r="AB39" s="4">
        <f>IFERROR(tbl_główna_GRACZE[[#This Row],[2pm]]/tbl_główna_GRACZE[[#This Row],[2pa]],0)</f>
        <v>0.2</v>
      </c>
      <c r="AC39" s="4">
        <f t="shared" si="29"/>
        <v>0.2</v>
      </c>
      <c r="AD39" s="4">
        <f t="shared" si="30"/>
        <v>0.2</v>
      </c>
      <c r="AE39" s="11">
        <f t="shared" si="2"/>
        <v>8</v>
      </c>
      <c r="AF39" s="4">
        <f t="shared" si="31"/>
        <v>0</v>
      </c>
      <c r="AG39" s="4">
        <f t="shared" si="32"/>
        <v>0</v>
      </c>
      <c r="AH3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8.2345191040843216E-2</v>
      </c>
      <c r="AI39" s="25">
        <f>tbl_główna_GRACZE[[#This Row],[pts]]*(40/tbl_główna_GRACZE[[#This Row],[min]])</f>
        <v>2.7586206896551726</v>
      </c>
      <c r="AJ39" s="30">
        <f>tbl_główna_GRACZE[[#This Row],[reb total]]*(40/tbl_główna_GRACZE[[#This Row],[min]])</f>
        <v>12.413793103448278</v>
      </c>
      <c r="AK39" s="30">
        <f>tbl_główna_GRACZE[[#This Row],[asst]]*(40/tbl_główna_GRACZE[[#This Row],[min]])</f>
        <v>1.3793103448275863</v>
      </c>
      <c r="AL39" s="5">
        <f t="shared" si="33"/>
        <v>0.4</v>
      </c>
      <c r="AM39" s="5">
        <f>(tbl_główna_GRACZE[[#This Row],[stl]]+tbl_główna_GRACZE[[#This Row],[blk]])*(40/tbl_główna_GRACZE[[#This Row],[min]])</f>
        <v>0</v>
      </c>
      <c r="AN3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39" s="25">
        <f>tbl_główna_GRACZE[[#This Row],[stl]]+tbl_główna_GRACZE[[#This Row],[blk]]+(tbl_główna_GRACZE[[#This Row],[dreb]]*0.5)</f>
        <v>2.5</v>
      </c>
      <c r="AP39" s="29">
        <f>(tbl_główna_GRACZE[[#This Row],[stl]]+tbl_główna_GRACZE[[#This Row],[blk]]+0.5*tbl_główna_GRACZE[[#This Row],[dreb]])/tbl_główna_GRACZE[[#This Row],[min]]</f>
        <v>8.6206896551724144E-2</v>
      </c>
      <c r="AQ39" s="6">
        <f t="shared" si="34"/>
        <v>3.8999999999999995</v>
      </c>
      <c r="AR39" s="6">
        <f>tbl_główna_GRACZE[[#This Row],[GmSc]]*(40/tbl_główna_GRACZE[[#This Row],[min]])</f>
        <v>5.3793103448275854</v>
      </c>
      <c r="AS39" s="6">
        <f>tbl_główna_GRACZE[[#This Row],[EVAL]]*(40/tbl_główna_GRACZE[[#This Row],[min]])</f>
        <v>11.03448275862069</v>
      </c>
      <c r="AT39" s="11">
        <f>tbl_główna_GRACZE[[#This Row],[fgm]]-tbl_główna_GRACZE[[#This Row],[3pm]]</f>
        <v>1</v>
      </c>
      <c r="AU39" s="11">
        <f>tbl_główna_GRACZE[[#This Row],[fga]]-tbl_główna_GRACZE[[#This Row],[3pa]]</f>
        <v>5</v>
      </c>
      <c r="AV39">
        <f>IF(tbl_główna_GRACZE[[#This Row],[min]]&gt;0,1,0)</f>
        <v>1</v>
      </c>
      <c r="AW39" s="58" t="str">
        <f>tbl_główna_GRACZE[[#This Row],[I. Nazwisko]]</f>
        <v>D. Wardak</v>
      </c>
    </row>
    <row r="40" spans="1:49" ht="14.5" customHeight="1" x14ac:dyDescent="0.35">
      <c r="A40" t="s">
        <v>50</v>
      </c>
      <c r="B40" t="s">
        <v>52</v>
      </c>
      <c r="C40" t="s">
        <v>57</v>
      </c>
      <c r="D40" t="str">
        <f>IF(C40="H",VLOOKUP($A40,tab_nazwy_zespołów[],2,0)&amp;VLOOKUP($B40,tab_nazwy_zespołów[],2,0),VLOOKUP($B40,tab_nazwy_zespołów[],2,0)&amp;VLOOKUP($A40,tab_nazwy_zespołów[],2,0))</f>
        <v>KONWIL</v>
      </c>
      <c r="E40">
        <v>1</v>
      </c>
      <c r="F40">
        <f>COUNTIF(tbl_zawodnicy_sumy[I. Nazwisko],tbl_główna_GRACZE[[#This Row],[I. Nazwisko]])</f>
        <v>1</v>
      </c>
      <c r="G40" s="58" t="str">
        <f>RIGHT(tbl_główna_GRACZE[[#This Row],[Kolumna1]],LEN(tbl_główna_GRACZE[[#This Row],[Kolumna1]])-FIND(" ",tbl_główna_GRACZE[[#This Row],[Kolumna1]]))</f>
        <v>A. Godlewski</v>
      </c>
      <c r="H40" s="2" t="s">
        <v>89</v>
      </c>
      <c r="I40" s="10">
        <v>0</v>
      </c>
      <c r="J40" s="10">
        <v>5</v>
      </c>
      <c r="K40" s="10">
        <v>0</v>
      </c>
      <c r="L40" s="10">
        <v>2</v>
      </c>
      <c r="M40" s="10">
        <v>0</v>
      </c>
      <c r="N40" s="10">
        <v>0</v>
      </c>
      <c r="O40" s="10">
        <v>0</v>
      </c>
      <c r="P40" s="10">
        <v>2</v>
      </c>
      <c r="Q40" s="10">
        <v>0</v>
      </c>
      <c r="R40" s="10">
        <v>0</v>
      </c>
      <c r="S40" s="10">
        <v>0</v>
      </c>
      <c r="T40" s="10">
        <v>0</v>
      </c>
      <c r="U40" s="10">
        <v>1</v>
      </c>
      <c r="V40" s="10">
        <v>24</v>
      </c>
      <c r="W40" s="10">
        <v>0</v>
      </c>
      <c r="X40" s="11">
        <f t="shared" si="27"/>
        <v>2</v>
      </c>
      <c r="Y40" s="4">
        <f t="shared" si="28"/>
        <v>0</v>
      </c>
      <c r="Z40" s="4">
        <f t="shared" si="35"/>
        <v>0</v>
      </c>
      <c r="AA40" s="4">
        <f t="shared" si="36"/>
        <v>0</v>
      </c>
      <c r="AB40" s="4">
        <f>IFERROR(tbl_główna_GRACZE[[#This Row],[2pm]]/tbl_główna_GRACZE[[#This Row],[2pa]],0)</f>
        <v>0</v>
      </c>
      <c r="AC40" s="4">
        <f t="shared" si="29"/>
        <v>0</v>
      </c>
      <c r="AD40" s="4">
        <f t="shared" si="30"/>
        <v>0</v>
      </c>
      <c r="AE40" s="11">
        <f t="shared" si="2"/>
        <v>-2</v>
      </c>
      <c r="AF40" s="4">
        <f t="shared" si="31"/>
        <v>0</v>
      </c>
      <c r="AG40" s="4">
        <f t="shared" si="32"/>
        <v>0.4</v>
      </c>
      <c r="AH4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8.2345191040843216E-2</v>
      </c>
      <c r="AI40" s="25">
        <f>tbl_główna_GRACZE[[#This Row],[pts]]*(40/tbl_główna_GRACZE[[#This Row],[min]])</f>
        <v>0</v>
      </c>
      <c r="AJ40" s="30">
        <f>tbl_główna_GRACZE[[#This Row],[reb total]]*(40/tbl_główna_GRACZE[[#This Row],[min]])</f>
        <v>3.3333333333333335</v>
      </c>
      <c r="AK40" s="30">
        <f>tbl_główna_GRACZE[[#This Row],[asst]]*(40/tbl_główna_GRACZE[[#This Row],[min]])</f>
        <v>1.6666666666666667</v>
      </c>
      <c r="AL40" s="5">
        <f t="shared" si="33"/>
        <v>0</v>
      </c>
      <c r="AM40" s="5">
        <f>(tbl_główna_GRACZE[[#This Row],[stl]]+tbl_główna_GRACZE[[#This Row],[blk]])*(40/tbl_główna_GRACZE[[#This Row],[min]])</f>
        <v>0</v>
      </c>
      <c r="AN4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0" s="25">
        <f>tbl_główna_GRACZE[[#This Row],[stl]]+tbl_główna_GRACZE[[#This Row],[blk]]+(tbl_główna_GRACZE[[#This Row],[dreb]]*0.5)</f>
        <v>1</v>
      </c>
      <c r="AP40" s="29">
        <f>(tbl_główna_GRACZE[[#This Row],[stl]]+tbl_główna_GRACZE[[#This Row],[blk]]+0.5*tbl_główna_GRACZE[[#This Row],[dreb]])/tbl_główna_GRACZE[[#This Row],[min]]</f>
        <v>4.1666666666666664E-2</v>
      </c>
      <c r="AQ40" s="6">
        <f t="shared" si="34"/>
        <v>-2.2000000000000002</v>
      </c>
      <c r="AR40" s="6">
        <f>tbl_główna_GRACZE[[#This Row],[GmSc]]*(40/tbl_główna_GRACZE[[#This Row],[min]])</f>
        <v>-3.666666666666667</v>
      </c>
      <c r="AS40" s="6">
        <f>tbl_główna_GRACZE[[#This Row],[EVAL]]*(40/tbl_główna_GRACZE[[#This Row],[min]])</f>
        <v>-3.3333333333333335</v>
      </c>
      <c r="AT40" s="11">
        <f>tbl_główna_GRACZE[[#This Row],[fgm]]-tbl_główna_GRACZE[[#This Row],[3pm]]</f>
        <v>0</v>
      </c>
      <c r="AU40" s="11">
        <f>tbl_główna_GRACZE[[#This Row],[fga]]-tbl_główna_GRACZE[[#This Row],[3pa]]</f>
        <v>3</v>
      </c>
      <c r="AV40">
        <f>IF(tbl_główna_GRACZE[[#This Row],[min]]&gt;0,1,0)</f>
        <v>1</v>
      </c>
      <c r="AW40" s="58" t="str">
        <f>tbl_główna_GRACZE[[#This Row],[I. Nazwisko]]</f>
        <v>A. Godlewski</v>
      </c>
    </row>
    <row r="41" spans="1:49" ht="14.5" customHeight="1" x14ac:dyDescent="0.35">
      <c r="A41" t="s">
        <v>50</v>
      </c>
      <c r="B41" t="s">
        <v>52</v>
      </c>
      <c r="C41" t="s">
        <v>57</v>
      </c>
      <c r="D41" t="str">
        <f>IF(C41="H",VLOOKUP($A41,tab_nazwy_zespołów[],2,0)&amp;VLOOKUP($B41,tab_nazwy_zespołów[],2,0),VLOOKUP($B41,tab_nazwy_zespołów[],2,0)&amp;VLOOKUP($A41,tab_nazwy_zespołów[],2,0))</f>
        <v>KONWIL</v>
      </c>
      <c r="E41">
        <v>1</v>
      </c>
      <c r="F41">
        <f>COUNTIF(tbl_zawodnicy_sumy[I. Nazwisko],tbl_główna_GRACZE[[#This Row],[I. Nazwisko]])</f>
        <v>1</v>
      </c>
      <c r="G41" s="58" t="str">
        <f>RIGHT(tbl_główna_GRACZE[[#This Row],[Kolumna1]],LEN(tbl_główna_GRACZE[[#This Row],[Kolumna1]])-FIND(" ",tbl_główna_GRACZE[[#This Row],[Kolumna1]]))</f>
        <v>P. Makieła</v>
      </c>
      <c r="H41" s="2" t="s">
        <v>90</v>
      </c>
      <c r="I41" s="10">
        <v>0</v>
      </c>
      <c r="J41" s="10">
        <v>6</v>
      </c>
      <c r="K41" s="10">
        <v>0</v>
      </c>
      <c r="L41" s="10">
        <v>1</v>
      </c>
      <c r="M41" s="10">
        <v>0</v>
      </c>
      <c r="N41" s="10">
        <v>2</v>
      </c>
      <c r="O41" s="10">
        <v>1</v>
      </c>
      <c r="P41" s="10">
        <v>2</v>
      </c>
      <c r="Q41" s="10">
        <v>0</v>
      </c>
      <c r="R41" s="10">
        <v>2</v>
      </c>
      <c r="S41" s="10">
        <v>0</v>
      </c>
      <c r="T41" s="10">
        <v>0</v>
      </c>
      <c r="U41" s="10">
        <v>0</v>
      </c>
      <c r="V41" s="10">
        <v>20</v>
      </c>
      <c r="W41" s="10">
        <v>0</v>
      </c>
      <c r="X41" s="11">
        <f t="shared" si="27"/>
        <v>3</v>
      </c>
      <c r="Y41" s="4">
        <f t="shared" si="28"/>
        <v>0</v>
      </c>
      <c r="Z41" s="4">
        <f t="shared" si="35"/>
        <v>0</v>
      </c>
      <c r="AA41" s="4">
        <f t="shared" si="36"/>
        <v>0</v>
      </c>
      <c r="AB41" s="4">
        <f>IFERROR(tbl_główna_GRACZE[[#This Row],[2pm]]/tbl_główna_GRACZE[[#This Row],[2pa]],0)</f>
        <v>0</v>
      </c>
      <c r="AC41" s="4">
        <f t="shared" si="29"/>
        <v>0</v>
      </c>
      <c r="AD41" s="4">
        <f t="shared" si="30"/>
        <v>0</v>
      </c>
      <c r="AE41" s="11">
        <f t="shared" si="2"/>
        <v>-3</v>
      </c>
      <c r="AF41" s="4">
        <f t="shared" si="31"/>
        <v>0.33333333333333331</v>
      </c>
      <c r="AG41" s="4">
        <f t="shared" si="32"/>
        <v>0.16666666666666666</v>
      </c>
      <c r="AH4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0.11330698287220026</v>
      </c>
      <c r="AI41" s="25">
        <f>tbl_główna_GRACZE[[#This Row],[pts]]*(40/tbl_główna_GRACZE[[#This Row],[min]])</f>
        <v>0</v>
      </c>
      <c r="AJ41" s="30">
        <f>tbl_główna_GRACZE[[#This Row],[reb total]]*(40/tbl_główna_GRACZE[[#This Row],[min]])</f>
        <v>6</v>
      </c>
      <c r="AK41" s="30">
        <f>tbl_główna_GRACZE[[#This Row],[asst]]*(40/tbl_główna_GRACZE[[#This Row],[min]])</f>
        <v>0</v>
      </c>
      <c r="AL41" s="5">
        <f t="shared" si="33"/>
        <v>0</v>
      </c>
      <c r="AM41" s="5">
        <f>(tbl_główna_GRACZE[[#This Row],[stl]]+tbl_główna_GRACZE[[#This Row],[blk]])*(40/tbl_główna_GRACZE[[#This Row],[min]])</f>
        <v>4</v>
      </c>
      <c r="AN4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41" s="25">
        <f>tbl_główna_GRACZE[[#This Row],[stl]]+tbl_główna_GRACZE[[#This Row],[blk]]+(tbl_główna_GRACZE[[#This Row],[dreb]]*0.5)</f>
        <v>3</v>
      </c>
      <c r="AP41" s="29">
        <f>(tbl_główna_GRACZE[[#This Row],[stl]]+tbl_główna_GRACZE[[#This Row],[blk]]+0.5*tbl_główna_GRACZE[[#This Row],[dreb]])/tbl_główna_GRACZE[[#This Row],[min]]</f>
        <v>0.15</v>
      </c>
      <c r="AQ41" s="6">
        <f t="shared" si="34"/>
        <v>-1.6999999999999988</v>
      </c>
      <c r="AR41" s="6">
        <f>tbl_główna_GRACZE[[#This Row],[GmSc]]*(40/tbl_główna_GRACZE[[#This Row],[min]])</f>
        <v>-3.3999999999999977</v>
      </c>
      <c r="AS41" s="6">
        <f>tbl_główna_GRACZE[[#This Row],[EVAL]]*(40/tbl_główna_GRACZE[[#This Row],[min]])</f>
        <v>-6</v>
      </c>
      <c r="AT41" s="11">
        <f>tbl_główna_GRACZE[[#This Row],[fgm]]-tbl_główna_GRACZE[[#This Row],[3pm]]</f>
        <v>0</v>
      </c>
      <c r="AU41" s="11">
        <f>tbl_główna_GRACZE[[#This Row],[fga]]-tbl_główna_GRACZE[[#This Row],[3pa]]</f>
        <v>5</v>
      </c>
      <c r="AV41">
        <f>IF(tbl_główna_GRACZE[[#This Row],[min]]&gt;0,1,0)</f>
        <v>1</v>
      </c>
      <c r="AW41" s="58" t="str">
        <f>tbl_główna_GRACZE[[#This Row],[I. Nazwisko]]</f>
        <v>P. Makieła</v>
      </c>
    </row>
    <row r="42" spans="1:49" ht="14.5" customHeight="1" x14ac:dyDescent="0.35">
      <c r="A42" t="s">
        <v>52</v>
      </c>
      <c r="B42" t="s">
        <v>50</v>
      </c>
      <c r="C42" t="s">
        <v>58</v>
      </c>
      <c r="D42" t="str">
        <f>IF(C42="H",VLOOKUP($A42,tab_nazwy_zespołów[],2,0)&amp;VLOOKUP($B42,tab_nazwy_zespołów[],2,0),VLOOKUP($B42,tab_nazwy_zespołów[],2,0)&amp;VLOOKUP($A42,tab_nazwy_zespołów[],2,0))</f>
        <v>KONWIL</v>
      </c>
      <c r="E42">
        <v>1</v>
      </c>
      <c r="F42">
        <f>COUNTIF(tbl_zawodnicy_sumy[I. Nazwisko],tbl_główna_GRACZE[[#This Row],[I. Nazwisko]])</f>
        <v>1</v>
      </c>
      <c r="G42" s="58" t="str">
        <f>RIGHT(tbl_główna_GRACZE[[#This Row],[Kolumna1]],LEN(tbl_główna_GRACZE[[#This Row],[Kolumna1]])-FIND(" ",tbl_główna_GRACZE[[#This Row],[Kolumna1]]))</f>
        <v>C. Mavity</v>
      </c>
      <c r="H42" s="9" t="s">
        <v>343</v>
      </c>
      <c r="I42" s="10">
        <v>10</v>
      </c>
      <c r="J42" s="10">
        <v>19</v>
      </c>
      <c r="K42" s="10">
        <v>4</v>
      </c>
      <c r="L42" s="10">
        <v>8</v>
      </c>
      <c r="M42" s="10">
        <v>2</v>
      </c>
      <c r="N42" s="10">
        <v>2</v>
      </c>
      <c r="O42" s="10">
        <v>2</v>
      </c>
      <c r="P42" s="10">
        <v>1</v>
      </c>
      <c r="Q42" s="10">
        <v>2</v>
      </c>
      <c r="R42" s="10">
        <v>6</v>
      </c>
      <c r="S42" s="10">
        <v>0</v>
      </c>
      <c r="T42" s="10">
        <v>0</v>
      </c>
      <c r="U42" s="10">
        <v>4</v>
      </c>
      <c r="V42" s="10">
        <v>36</v>
      </c>
      <c r="W42" s="10">
        <v>26</v>
      </c>
      <c r="X42" s="11">
        <f>O42+P42</f>
        <v>3</v>
      </c>
      <c r="Y42" s="4">
        <f>I42/J42</f>
        <v>0.52631578947368418</v>
      </c>
      <c r="Z42" s="4">
        <f t="shared" si="35"/>
        <v>0.5</v>
      </c>
      <c r="AA42" s="4">
        <f t="shared" si="36"/>
        <v>1</v>
      </c>
      <c r="AB42" s="4">
        <f>IFERROR(tbl_główna_GRACZE[[#This Row],[2pm]]/tbl_główna_GRACZE[[#This Row],[2pa]],0)</f>
        <v>0.54545454545454541</v>
      </c>
      <c r="AC42" s="4">
        <f>W42/(2*(J42+0.44*N42))</f>
        <v>0.65392354124748497</v>
      </c>
      <c r="AD42" s="4">
        <f>(I42+0.5*K42)/J42</f>
        <v>0.63157894736842102</v>
      </c>
      <c r="AE42" s="11">
        <f t="shared" si="2"/>
        <v>30</v>
      </c>
      <c r="AF42" s="4">
        <f>N42/J42</f>
        <v>0.10526315789473684</v>
      </c>
      <c r="AG42" s="4">
        <f>L42/J42</f>
        <v>0.42105263157894735</v>
      </c>
      <c r="AH4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0.26020942408376962</v>
      </c>
      <c r="AI42" s="25">
        <f>tbl_główna_GRACZE[[#This Row],[pts]]*(40/tbl_główna_GRACZE[[#This Row],[min]])</f>
        <v>28.888888888888889</v>
      </c>
      <c r="AJ42" s="30">
        <f>tbl_główna_GRACZE[[#This Row],[reb total]]*(40/tbl_główna_GRACZE[[#This Row],[min]])</f>
        <v>3.3333333333333335</v>
      </c>
      <c r="AK42" s="30">
        <f>tbl_główna_GRACZE[[#This Row],[asst]]*(40/tbl_główna_GRACZE[[#This Row],[min]])</f>
        <v>4.4444444444444446</v>
      </c>
      <c r="AL42" s="5">
        <f>W42/J42</f>
        <v>1.368421052631579</v>
      </c>
      <c r="AM42" s="5">
        <f>(tbl_główna_GRACZE[[#This Row],[stl]]+tbl_główna_GRACZE[[#This Row],[blk]])*(40/tbl_główna_GRACZE[[#This Row],[min]])</f>
        <v>6.666666666666667</v>
      </c>
      <c r="AN4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0.27272727272727271</v>
      </c>
      <c r="AO42" s="25">
        <f>tbl_główna_GRACZE[[#This Row],[stl]]+tbl_główna_GRACZE[[#This Row],[blk]]+(tbl_główna_GRACZE[[#This Row],[dreb]]*0.5)</f>
        <v>6.5</v>
      </c>
      <c r="AP42" s="29">
        <f>(tbl_główna_GRACZE[[#This Row],[stl]]+tbl_główna_GRACZE[[#This Row],[blk]]+0.5*tbl_główna_GRACZE[[#This Row],[dreb]])/tbl_główna_GRACZE[[#This Row],[min]]</f>
        <v>0.18055555555555555</v>
      </c>
      <c r="AQ42" s="6">
        <f>W42+0.4*I42-0.7*J42-0.4*(N42-M42)+0.7*O42+0.3*P42+R42+0.7*U42+0.7*T42</f>
        <v>27.200000000000003</v>
      </c>
      <c r="AR42" s="6">
        <f>tbl_główna_GRACZE[[#This Row],[GmSc]]*(40/tbl_główna_GRACZE[[#This Row],[min]])</f>
        <v>30.222222222222225</v>
      </c>
      <c r="AS42" s="6">
        <f>tbl_główna_GRACZE[[#This Row],[EVAL]]*(40/tbl_główna_GRACZE[[#This Row],[min]])</f>
        <v>33.333333333333336</v>
      </c>
      <c r="AT42" s="11">
        <f>tbl_główna_GRACZE[[#This Row],[fgm]]-tbl_główna_GRACZE[[#This Row],[3pm]]</f>
        <v>6</v>
      </c>
      <c r="AU42" s="11">
        <f>tbl_główna_GRACZE[[#This Row],[fga]]-tbl_główna_GRACZE[[#This Row],[3pa]]</f>
        <v>11</v>
      </c>
      <c r="AV42">
        <f>IF(tbl_główna_GRACZE[[#This Row],[min]]&gt;0,1,0)</f>
        <v>1</v>
      </c>
      <c r="AW42" s="58" t="str">
        <f>tbl_główna_GRACZE[[#This Row],[I. Nazwisko]]</f>
        <v>C. Mavity</v>
      </c>
    </row>
    <row r="43" spans="1:49" ht="14.5" customHeight="1" x14ac:dyDescent="0.35">
      <c r="A43" t="s">
        <v>52</v>
      </c>
      <c r="B43" t="s">
        <v>50</v>
      </c>
      <c r="C43" t="s">
        <v>58</v>
      </c>
      <c r="D43" t="str">
        <f>IF(C43="H",VLOOKUP($A43,tab_nazwy_zespołów[],2,0)&amp;VLOOKUP($B43,tab_nazwy_zespołów[],2,0),VLOOKUP($B43,tab_nazwy_zespołów[],2,0)&amp;VLOOKUP($A43,tab_nazwy_zespołów[],2,0))</f>
        <v>KONWIL</v>
      </c>
      <c r="E43">
        <v>1</v>
      </c>
      <c r="F43">
        <f>COUNTIF(tbl_zawodnicy_sumy[I. Nazwisko],tbl_główna_GRACZE[[#This Row],[I. Nazwisko]])</f>
        <v>1</v>
      </c>
      <c r="G43" s="58" t="str">
        <f>RIGHT(tbl_główna_GRACZE[[#This Row],[Kolumna1]],LEN(tbl_główna_GRACZE[[#This Row],[Kolumna1]])-FIND(" ",tbl_główna_GRACZE[[#This Row],[Kolumna1]]))</f>
        <v>Ł. Bułanowski</v>
      </c>
      <c r="H43" s="2" t="s">
        <v>91</v>
      </c>
      <c r="I43" s="10">
        <v>4</v>
      </c>
      <c r="J43" s="10">
        <v>7</v>
      </c>
      <c r="K43" s="10">
        <v>0</v>
      </c>
      <c r="L43" s="10">
        <v>0</v>
      </c>
      <c r="M43" s="10">
        <v>2</v>
      </c>
      <c r="N43" s="10">
        <v>4</v>
      </c>
      <c r="O43" s="10">
        <v>2</v>
      </c>
      <c r="P43" s="10">
        <v>11</v>
      </c>
      <c r="Q43" s="10">
        <v>3</v>
      </c>
      <c r="R43" s="10">
        <v>7</v>
      </c>
      <c r="S43" s="10">
        <v>0</v>
      </c>
      <c r="T43" s="10">
        <v>0</v>
      </c>
      <c r="U43" s="10">
        <v>1</v>
      </c>
      <c r="V43" s="10">
        <v>31</v>
      </c>
      <c r="W43" s="10">
        <v>10</v>
      </c>
      <c r="X43" s="11">
        <f t="shared" ref="X43:X51" si="37">O43+P43</f>
        <v>13</v>
      </c>
      <c r="Y43" s="4">
        <f t="shared" ref="Y43:Y51" si="38">I43/J43</f>
        <v>0.5714285714285714</v>
      </c>
      <c r="Z43" s="4">
        <f t="shared" si="35"/>
        <v>0</v>
      </c>
      <c r="AA43" s="4">
        <f t="shared" si="36"/>
        <v>0.5</v>
      </c>
      <c r="AB43" s="4">
        <f>IFERROR(tbl_główna_GRACZE[[#This Row],[2pm]]/tbl_główna_GRACZE[[#This Row],[2pa]],0)</f>
        <v>0.5714285714285714</v>
      </c>
      <c r="AC43" s="4">
        <f t="shared" ref="AC43:AC51" si="39">W43/(2*(J43+0.44*N43))</f>
        <v>0.57077625570776258</v>
      </c>
      <c r="AD43" s="4">
        <f t="shared" ref="AD43:AD51" si="40">(I43+0.5*K43)/J43</f>
        <v>0.5714285714285714</v>
      </c>
      <c r="AE43" s="11">
        <f t="shared" si="2"/>
        <v>26</v>
      </c>
      <c r="AF43" s="4">
        <f t="shared" ref="AF43:AF51" si="41">N43/J43</f>
        <v>0.5714285714285714</v>
      </c>
      <c r="AG43" s="4">
        <f t="shared" ref="AG43:AG51" si="42">L43/J43</f>
        <v>0</v>
      </c>
      <c r="AH4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0.11465968586387433</v>
      </c>
      <c r="AI43" s="25">
        <f>tbl_główna_GRACZE[[#This Row],[pts]]*(40/tbl_główna_GRACZE[[#This Row],[min]])</f>
        <v>12.903225806451612</v>
      </c>
      <c r="AJ43" s="30">
        <f>tbl_główna_GRACZE[[#This Row],[reb total]]*(40/tbl_główna_GRACZE[[#This Row],[min]])</f>
        <v>16.774193548387096</v>
      </c>
      <c r="AK43" s="30">
        <f>tbl_główna_GRACZE[[#This Row],[asst]]*(40/tbl_główna_GRACZE[[#This Row],[min]])</f>
        <v>1.2903225806451613</v>
      </c>
      <c r="AL43" s="5">
        <f t="shared" ref="AL43:AL51" si="43">W43/J43</f>
        <v>1.4285714285714286</v>
      </c>
      <c r="AM43" s="5">
        <f>(tbl_główna_GRACZE[[#This Row],[stl]]+tbl_główna_GRACZE[[#This Row],[blk]])*(40/tbl_główna_GRACZE[[#This Row],[min]])</f>
        <v>9.0322580645161281</v>
      </c>
      <c r="AN4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43" s="25">
        <f>tbl_główna_GRACZE[[#This Row],[stl]]+tbl_główna_GRACZE[[#This Row],[blk]]+(tbl_główna_GRACZE[[#This Row],[dreb]]*0.5)</f>
        <v>12.5</v>
      </c>
      <c r="AP43" s="29">
        <f>(tbl_główna_GRACZE[[#This Row],[stl]]+tbl_główna_GRACZE[[#This Row],[blk]]+0.5*tbl_główna_GRACZE[[#This Row],[dreb]])/tbl_główna_GRACZE[[#This Row],[min]]</f>
        <v>0.40322580645161288</v>
      </c>
      <c r="AQ43" s="6">
        <f t="shared" ref="AQ43:AQ51" si="44">W43+0.4*I43-0.7*J43-0.4*(N43-M43)+0.7*O43+0.3*P43+R43+0.7*U43+0.7*T43</f>
        <v>18.3</v>
      </c>
      <c r="AR43" s="6">
        <f>tbl_główna_GRACZE[[#This Row],[GmSc]]*(40/tbl_główna_GRACZE[[#This Row],[min]])</f>
        <v>23.612903225806452</v>
      </c>
      <c r="AS43" s="6">
        <f>tbl_główna_GRACZE[[#This Row],[EVAL]]*(40/tbl_główna_GRACZE[[#This Row],[min]])</f>
        <v>33.548387096774192</v>
      </c>
      <c r="AT43" s="11">
        <f>tbl_główna_GRACZE[[#This Row],[fgm]]-tbl_główna_GRACZE[[#This Row],[3pm]]</f>
        <v>4</v>
      </c>
      <c r="AU43" s="11">
        <f>tbl_główna_GRACZE[[#This Row],[fga]]-tbl_główna_GRACZE[[#This Row],[3pa]]</f>
        <v>7</v>
      </c>
      <c r="AV43">
        <f>IF(tbl_główna_GRACZE[[#This Row],[min]]&gt;0,1,0)</f>
        <v>1</v>
      </c>
      <c r="AW43" s="58" t="str">
        <f>tbl_główna_GRACZE[[#This Row],[I. Nazwisko]]</f>
        <v>Ł. Bułanowski</v>
      </c>
    </row>
    <row r="44" spans="1:49" ht="14.5" customHeight="1" x14ac:dyDescent="0.35">
      <c r="A44" t="s">
        <v>52</v>
      </c>
      <c r="B44" t="s">
        <v>50</v>
      </c>
      <c r="C44" t="s">
        <v>58</v>
      </c>
      <c r="D44" t="str">
        <f>IF(C44="H",VLOOKUP($A44,tab_nazwy_zespołów[],2,0)&amp;VLOOKUP($B44,tab_nazwy_zespołów[],2,0),VLOOKUP($B44,tab_nazwy_zespołów[],2,0)&amp;VLOOKUP($A44,tab_nazwy_zespołów[],2,0))</f>
        <v>KONWIL</v>
      </c>
      <c r="E44">
        <v>1</v>
      </c>
      <c r="F44">
        <f>COUNTIF(tbl_zawodnicy_sumy[I. Nazwisko],tbl_główna_GRACZE[[#This Row],[I. Nazwisko]])</f>
        <v>1</v>
      </c>
      <c r="G44" s="58" t="str">
        <f>RIGHT(tbl_główna_GRACZE[[#This Row],[Kolumna1]],LEN(tbl_główna_GRACZE[[#This Row],[Kolumna1]])-FIND(" ",tbl_główna_GRACZE[[#This Row],[Kolumna1]]))</f>
        <v>P. Kaszuba</v>
      </c>
      <c r="H44" s="2" t="s">
        <v>92</v>
      </c>
      <c r="I44" s="10">
        <v>3</v>
      </c>
      <c r="J44" s="10">
        <v>9</v>
      </c>
      <c r="K44" s="10">
        <v>0</v>
      </c>
      <c r="L44" s="10">
        <v>0</v>
      </c>
      <c r="M44" s="10">
        <v>2</v>
      </c>
      <c r="N44" s="10">
        <v>4</v>
      </c>
      <c r="O44" s="10">
        <v>1</v>
      </c>
      <c r="P44" s="10">
        <v>3</v>
      </c>
      <c r="Q44" s="10">
        <v>2</v>
      </c>
      <c r="R44" s="10">
        <v>1</v>
      </c>
      <c r="S44" s="10">
        <v>0</v>
      </c>
      <c r="T44" s="10">
        <v>0</v>
      </c>
      <c r="U44" s="10">
        <v>1</v>
      </c>
      <c r="V44" s="10">
        <v>31</v>
      </c>
      <c r="W44" s="10">
        <v>8</v>
      </c>
      <c r="X44" s="11">
        <f t="shared" si="37"/>
        <v>4</v>
      </c>
      <c r="Y44" s="4">
        <f t="shared" si="38"/>
        <v>0.33333333333333331</v>
      </c>
      <c r="Z44" s="4">
        <f t="shared" si="35"/>
        <v>0</v>
      </c>
      <c r="AA44" s="4">
        <f t="shared" si="36"/>
        <v>0.5</v>
      </c>
      <c r="AB44" s="4">
        <f>IFERROR(tbl_główna_GRACZE[[#This Row],[2pm]]/tbl_główna_GRACZE[[#This Row],[2pa]],0)</f>
        <v>0.33333333333333331</v>
      </c>
      <c r="AC44" s="4">
        <f t="shared" si="39"/>
        <v>0.37174721189591081</v>
      </c>
      <c r="AD44" s="4">
        <f t="shared" si="40"/>
        <v>0.33333333333333331</v>
      </c>
      <c r="AE44" s="11">
        <f t="shared" si="2"/>
        <v>6</v>
      </c>
      <c r="AF44" s="4">
        <f t="shared" si="41"/>
        <v>0.44444444444444442</v>
      </c>
      <c r="AG44" s="4">
        <f t="shared" si="42"/>
        <v>0</v>
      </c>
      <c r="AH4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0.14083769633507853</v>
      </c>
      <c r="AI44" s="25">
        <f>tbl_główna_GRACZE[[#This Row],[pts]]*(40/tbl_główna_GRACZE[[#This Row],[min]])</f>
        <v>10.32258064516129</v>
      </c>
      <c r="AJ44" s="30">
        <f>tbl_główna_GRACZE[[#This Row],[reb total]]*(40/tbl_główna_GRACZE[[#This Row],[min]])</f>
        <v>5.161290322580645</v>
      </c>
      <c r="AK44" s="30">
        <f>tbl_główna_GRACZE[[#This Row],[asst]]*(40/tbl_główna_GRACZE[[#This Row],[min]])</f>
        <v>1.2903225806451613</v>
      </c>
      <c r="AL44" s="5">
        <f t="shared" si="43"/>
        <v>0.88888888888888884</v>
      </c>
      <c r="AM44" s="5">
        <f>(tbl_główna_GRACZE[[#This Row],[stl]]+tbl_główna_GRACZE[[#This Row],[blk]])*(40/tbl_główna_GRACZE[[#This Row],[min]])</f>
        <v>1.2903225806451613</v>
      </c>
      <c r="AN4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44" s="25">
        <f>tbl_główna_GRACZE[[#This Row],[stl]]+tbl_główna_GRACZE[[#This Row],[blk]]+(tbl_główna_GRACZE[[#This Row],[dreb]]*0.5)</f>
        <v>2.5</v>
      </c>
      <c r="AP44" s="29">
        <f>(tbl_główna_GRACZE[[#This Row],[stl]]+tbl_główna_GRACZE[[#This Row],[blk]]+0.5*tbl_główna_GRACZE[[#This Row],[dreb]])/tbl_główna_GRACZE[[#This Row],[min]]</f>
        <v>8.0645161290322578E-2</v>
      </c>
      <c r="AQ44" s="6">
        <f t="shared" si="44"/>
        <v>5.3999999999999995</v>
      </c>
      <c r="AR44" s="6">
        <f>tbl_główna_GRACZE[[#This Row],[GmSc]]*(40/tbl_główna_GRACZE[[#This Row],[min]])</f>
        <v>6.9677419354838701</v>
      </c>
      <c r="AS44" s="6">
        <f>tbl_główna_GRACZE[[#This Row],[EVAL]]*(40/tbl_główna_GRACZE[[#This Row],[min]])</f>
        <v>7.741935483870968</v>
      </c>
      <c r="AT44" s="11">
        <f>tbl_główna_GRACZE[[#This Row],[fgm]]-tbl_główna_GRACZE[[#This Row],[3pm]]</f>
        <v>3</v>
      </c>
      <c r="AU44" s="11">
        <f>tbl_główna_GRACZE[[#This Row],[fga]]-tbl_główna_GRACZE[[#This Row],[3pa]]</f>
        <v>9</v>
      </c>
      <c r="AV44">
        <f>IF(tbl_główna_GRACZE[[#This Row],[min]]&gt;0,1,0)</f>
        <v>1</v>
      </c>
      <c r="AW44" s="58" t="str">
        <f>tbl_główna_GRACZE[[#This Row],[I. Nazwisko]]</f>
        <v>P. Kaszuba</v>
      </c>
    </row>
    <row r="45" spans="1:49" ht="14.5" customHeight="1" x14ac:dyDescent="0.35">
      <c r="A45" t="s">
        <v>52</v>
      </c>
      <c r="B45" t="s">
        <v>50</v>
      </c>
      <c r="C45" t="s">
        <v>58</v>
      </c>
      <c r="D45" t="str">
        <f>IF(C45="H",VLOOKUP($A45,tab_nazwy_zespołów[],2,0)&amp;VLOOKUP($B45,tab_nazwy_zespołów[],2,0),VLOOKUP($B45,tab_nazwy_zespołów[],2,0)&amp;VLOOKUP($A45,tab_nazwy_zespołów[],2,0))</f>
        <v>KONWIL</v>
      </c>
      <c r="E45">
        <v>1</v>
      </c>
      <c r="F45">
        <f>COUNTIF(tbl_zawodnicy_sumy[I. Nazwisko],tbl_główna_GRACZE[[#This Row],[I. Nazwisko]])</f>
        <v>1</v>
      </c>
      <c r="G45" s="58" t="str">
        <f>RIGHT(tbl_główna_GRACZE[[#This Row],[Kolumna1]],LEN(tbl_główna_GRACZE[[#This Row],[Kolumna1]])-FIND(" ",tbl_główna_GRACZE[[#This Row],[Kolumna1]]))</f>
        <v>D. Sobański</v>
      </c>
      <c r="H45" s="2" t="s">
        <v>93</v>
      </c>
      <c r="I45" s="10">
        <v>3</v>
      </c>
      <c r="J45" s="10">
        <v>10</v>
      </c>
      <c r="K45" s="10">
        <v>0</v>
      </c>
      <c r="L45" s="10">
        <v>2</v>
      </c>
      <c r="M45" s="10">
        <v>0</v>
      </c>
      <c r="N45" s="10">
        <v>0</v>
      </c>
      <c r="O45" s="10">
        <v>1</v>
      </c>
      <c r="P45" s="10">
        <v>5</v>
      </c>
      <c r="Q45" s="10">
        <v>1</v>
      </c>
      <c r="R45" s="10">
        <v>3</v>
      </c>
      <c r="S45" s="10">
        <v>0</v>
      </c>
      <c r="T45" s="10">
        <v>1</v>
      </c>
      <c r="U45" s="10">
        <v>2</v>
      </c>
      <c r="V45" s="10">
        <v>26</v>
      </c>
      <c r="W45" s="10">
        <v>6</v>
      </c>
      <c r="X45" s="11">
        <f t="shared" si="37"/>
        <v>6</v>
      </c>
      <c r="Y45" s="4">
        <f t="shared" si="38"/>
        <v>0.3</v>
      </c>
      <c r="Z45" s="4">
        <f t="shared" si="35"/>
        <v>0</v>
      </c>
      <c r="AA45" s="4">
        <f t="shared" si="36"/>
        <v>0</v>
      </c>
      <c r="AB45" s="4">
        <f>IFERROR(tbl_główna_GRACZE[[#This Row],[2pm]]/tbl_główna_GRACZE[[#This Row],[2pa]],0)</f>
        <v>0.375</v>
      </c>
      <c r="AC45" s="4">
        <f t="shared" si="39"/>
        <v>0.3</v>
      </c>
      <c r="AD45" s="4">
        <f t="shared" si="40"/>
        <v>0.3</v>
      </c>
      <c r="AE45" s="11">
        <f t="shared" si="2"/>
        <v>11</v>
      </c>
      <c r="AF45" s="4">
        <f t="shared" si="41"/>
        <v>0</v>
      </c>
      <c r="AG45" s="4">
        <f t="shared" si="42"/>
        <v>0.2</v>
      </c>
      <c r="AH4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0.13089005235602094</v>
      </c>
      <c r="AI45" s="25">
        <f>tbl_główna_GRACZE[[#This Row],[pts]]*(40/tbl_główna_GRACZE[[#This Row],[min]])</f>
        <v>9.2307692307692317</v>
      </c>
      <c r="AJ45" s="30">
        <f>tbl_główna_GRACZE[[#This Row],[reb total]]*(40/tbl_główna_GRACZE[[#This Row],[min]])</f>
        <v>9.2307692307692317</v>
      </c>
      <c r="AK45" s="30">
        <f>tbl_główna_GRACZE[[#This Row],[asst]]*(40/tbl_główna_GRACZE[[#This Row],[min]])</f>
        <v>3.0769230769230771</v>
      </c>
      <c r="AL45" s="5">
        <f t="shared" si="43"/>
        <v>0.6</v>
      </c>
      <c r="AM45" s="5">
        <f>(tbl_główna_GRACZE[[#This Row],[stl]]+tbl_główna_GRACZE[[#This Row],[blk]])*(40/tbl_główna_GRACZE[[#This Row],[min]])</f>
        <v>6.1538461538461542</v>
      </c>
      <c r="AN4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0.18181818181818182</v>
      </c>
      <c r="AO45" s="25">
        <f>tbl_główna_GRACZE[[#This Row],[stl]]+tbl_główna_GRACZE[[#This Row],[blk]]+(tbl_główna_GRACZE[[#This Row],[dreb]]*0.5)</f>
        <v>6.5</v>
      </c>
      <c r="AP45" s="29">
        <f>(tbl_główna_GRACZE[[#This Row],[stl]]+tbl_główna_GRACZE[[#This Row],[blk]]+0.5*tbl_główna_GRACZE[[#This Row],[dreb]])/tbl_główna_GRACZE[[#This Row],[min]]</f>
        <v>0.25</v>
      </c>
      <c r="AQ45" s="6">
        <f t="shared" si="44"/>
        <v>7.5000000000000009</v>
      </c>
      <c r="AR45" s="6">
        <f>tbl_główna_GRACZE[[#This Row],[GmSc]]*(40/tbl_główna_GRACZE[[#This Row],[min]])</f>
        <v>11.53846153846154</v>
      </c>
      <c r="AS45" s="6">
        <f>tbl_główna_GRACZE[[#This Row],[EVAL]]*(40/tbl_główna_GRACZE[[#This Row],[min]])</f>
        <v>16.923076923076923</v>
      </c>
      <c r="AT45" s="11">
        <f>tbl_główna_GRACZE[[#This Row],[fgm]]-tbl_główna_GRACZE[[#This Row],[3pm]]</f>
        <v>3</v>
      </c>
      <c r="AU45" s="11">
        <f>tbl_główna_GRACZE[[#This Row],[fga]]-tbl_główna_GRACZE[[#This Row],[3pa]]</f>
        <v>8</v>
      </c>
      <c r="AV45">
        <f>IF(tbl_główna_GRACZE[[#This Row],[min]]&gt;0,1,0)</f>
        <v>1</v>
      </c>
      <c r="AW45" s="58" t="str">
        <f>tbl_główna_GRACZE[[#This Row],[I. Nazwisko]]</f>
        <v>D. Sobański</v>
      </c>
    </row>
    <row r="46" spans="1:49" ht="14.5" customHeight="1" x14ac:dyDescent="0.35">
      <c r="A46" t="s">
        <v>52</v>
      </c>
      <c r="B46" t="s">
        <v>50</v>
      </c>
      <c r="C46" t="s">
        <v>58</v>
      </c>
      <c r="D46" t="str">
        <f>IF(C46="H",VLOOKUP($A46,tab_nazwy_zespołów[],2,0)&amp;VLOOKUP($B46,tab_nazwy_zespołów[],2,0),VLOOKUP($B46,tab_nazwy_zespołów[],2,0)&amp;VLOOKUP($A46,tab_nazwy_zespołów[],2,0))</f>
        <v>KONWIL</v>
      </c>
      <c r="E46">
        <v>1</v>
      </c>
      <c r="F46">
        <f>COUNTIF(tbl_zawodnicy_sumy[I. Nazwisko],tbl_główna_GRACZE[[#This Row],[I. Nazwisko]])</f>
        <v>1</v>
      </c>
      <c r="G46" s="58" t="str">
        <f>RIGHT(tbl_główna_GRACZE[[#This Row],[Kolumna1]],LEN(tbl_główna_GRACZE[[#This Row],[Kolumna1]])-FIND(" ",tbl_główna_GRACZE[[#This Row],[Kolumna1]]))</f>
        <v>W. Sienkowski</v>
      </c>
      <c r="H46" s="2" t="s">
        <v>94</v>
      </c>
      <c r="I46" s="10">
        <v>2</v>
      </c>
      <c r="J46" s="10">
        <v>9</v>
      </c>
      <c r="K46" s="10">
        <v>0</v>
      </c>
      <c r="L46" s="10">
        <v>1</v>
      </c>
      <c r="M46" s="10">
        <v>0</v>
      </c>
      <c r="N46" s="10">
        <v>0</v>
      </c>
      <c r="O46" s="10">
        <v>2</v>
      </c>
      <c r="P46" s="10">
        <v>1</v>
      </c>
      <c r="Q46" s="10">
        <v>1</v>
      </c>
      <c r="R46" s="10">
        <v>1</v>
      </c>
      <c r="S46" s="10">
        <v>0</v>
      </c>
      <c r="T46" s="10">
        <v>0</v>
      </c>
      <c r="U46" s="10">
        <v>3</v>
      </c>
      <c r="V46" s="10">
        <v>31</v>
      </c>
      <c r="W46" s="10">
        <v>4</v>
      </c>
      <c r="X46" s="11">
        <f t="shared" si="37"/>
        <v>3</v>
      </c>
      <c r="Y46" s="4">
        <f t="shared" si="38"/>
        <v>0.22222222222222221</v>
      </c>
      <c r="Z46" s="4">
        <f t="shared" si="35"/>
        <v>0</v>
      </c>
      <c r="AA46" s="4">
        <f t="shared" si="36"/>
        <v>0</v>
      </c>
      <c r="AB46" s="4">
        <f>IFERROR(tbl_główna_GRACZE[[#This Row],[2pm]]/tbl_główna_GRACZE[[#This Row],[2pa]],0)</f>
        <v>0.25</v>
      </c>
      <c r="AC46" s="4">
        <f t="shared" si="39"/>
        <v>0.22222222222222221</v>
      </c>
      <c r="AD46" s="4">
        <f t="shared" si="40"/>
        <v>0.22222222222222221</v>
      </c>
      <c r="AE46" s="11">
        <f t="shared" si="2"/>
        <v>4</v>
      </c>
      <c r="AF46" s="4">
        <f t="shared" si="41"/>
        <v>0</v>
      </c>
      <c r="AG46" s="4">
        <f t="shared" si="42"/>
        <v>0.1111111111111111</v>
      </c>
      <c r="AH4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0.11780104712041883</v>
      </c>
      <c r="AI46" s="25">
        <f>tbl_główna_GRACZE[[#This Row],[pts]]*(40/tbl_główna_GRACZE[[#This Row],[min]])</f>
        <v>5.161290322580645</v>
      </c>
      <c r="AJ46" s="30">
        <f>tbl_główna_GRACZE[[#This Row],[reb total]]*(40/tbl_główna_GRACZE[[#This Row],[min]])</f>
        <v>3.870967741935484</v>
      </c>
      <c r="AK46" s="30">
        <f>tbl_główna_GRACZE[[#This Row],[asst]]*(40/tbl_główna_GRACZE[[#This Row],[min]])</f>
        <v>3.870967741935484</v>
      </c>
      <c r="AL46" s="5">
        <f t="shared" si="43"/>
        <v>0.44444444444444442</v>
      </c>
      <c r="AM46" s="5">
        <f>(tbl_główna_GRACZE[[#This Row],[stl]]+tbl_główna_GRACZE[[#This Row],[blk]])*(40/tbl_główna_GRACZE[[#This Row],[min]])</f>
        <v>1.2903225806451613</v>
      </c>
      <c r="AN4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46" s="25">
        <f>tbl_główna_GRACZE[[#This Row],[stl]]+tbl_główna_GRACZE[[#This Row],[blk]]+(tbl_główna_GRACZE[[#This Row],[dreb]]*0.5)</f>
        <v>1.5</v>
      </c>
      <c r="AP46" s="29">
        <f>(tbl_główna_GRACZE[[#This Row],[stl]]+tbl_główna_GRACZE[[#This Row],[blk]]+0.5*tbl_główna_GRACZE[[#This Row],[dreb]])/tbl_główna_GRACZE[[#This Row],[min]]</f>
        <v>4.8387096774193547E-2</v>
      </c>
      <c r="AQ46" s="6">
        <f t="shared" si="44"/>
        <v>3.3</v>
      </c>
      <c r="AR46" s="6">
        <f>tbl_główna_GRACZE[[#This Row],[GmSc]]*(40/tbl_główna_GRACZE[[#This Row],[min]])</f>
        <v>4.258064516129032</v>
      </c>
      <c r="AS46" s="6">
        <f>tbl_główna_GRACZE[[#This Row],[EVAL]]*(40/tbl_główna_GRACZE[[#This Row],[min]])</f>
        <v>5.161290322580645</v>
      </c>
      <c r="AT46" s="11">
        <f>tbl_główna_GRACZE[[#This Row],[fgm]]-tbl_główna_GRACZE[[#This Row],[3pm]]</f>
        <v>2</v>
      </c>
      <c r="AU46" s="11">
        <f>tbl_główna_GRACZE[[#This Row],[fga]]-tbl_główna_GRACZE[[#This Row],[3pa]]</f>
        <v>8</v>
      </c>
      <c r="AV46">
        <f>IF(tbl_główna_GRACZE[[#This Row],[min]]&gt;0,1,0)</f>
        <v>1</v>
      </c>
      <c r="AW46" s="58" t="str">
        <f>tbl_główna_GRACZE[[#This Row],[I. Nazwisko]]</f>
        <v>W. Sienkowski</v>
      </c>
    </row>
    <row r="47" spans="1:49" ht="14.5" customHeight="1" x14ac:dyDescent="0.35">
      <c r="A47" t="s">
        <v>52</v>
      </c>
      <c r="B47" t="s">
        <v>50</v>
      </c>
      <c r="C47" t="s">
        <v>58</v>
      </c>
      <c r="D47" t="str">
        <f>IF(C47="H",VLOOKUP($A47,tab_nazwy_zespołów[],2,0)&amp;VLOOKUP($B47,tab_nazwy_zespołów[],2,0),VLOOKUP($B47,tab_nazwy_zespołów[],2,0)&amp;VLOOKUP($A47,tab_nazwy_zespołów[],2,0))</f>
        <v>KONWIL</v>
      </c>
      <c r="E47">
        <v>1</v>
      </c>
      <c r="F47">
        <f>COUNTIF(tbl_zawodnicy_sumy[I. Nazwisko],tbl_główna_GRACZE[[#This Row],[I. Nazwisko]])</f>
        <v>1</v>
      </c>
      <c r="G47" s="58" t="str">
        <f>RIGHT(tbl_główna_GRACZE[[#This Row],[Kolumna1]],LEN(tbl_główna_GRACZE[[#This Row],[Kolumna1]])-FIND(" ",tbl_główna_GRACZE[[#This Row],[Kolumna1]]))</f>
        <v>M. Karczmarczyk</v>
      </c>
      <c r="H47" s="21" t="s">
        <v>95</v>
      </c>
      <c r="I47" s="10">
        <v>2</v>
      </c>
      <c r="J47" s="10">
        <v>4</v>
      </c>
      <c r="K47" s="10">
        <v>0</v>
      </c>
      <c r="L47" s="10">
        <v>0</v>
      </c>
      <c r="M47" s="10">
        <v>0</v>
      </c>
      <c r="N47" s="10">
        <v>0</v>
      </c>
      <c r="O47" s="10">
        <v>2</v>
      </c>
      <c r="P47" s="10">
        <v>2</v>
      </c>
      <c r="Q47" s="10">
        <v>1</v>
      </c>
      <c r="R47" s="10">
        <v>0</v>
      </c>
      <c r="S47" s="10">
        <v>0</v>
      </c>
      <c r="T47" s="10">
        <v>0</v>
      </c>
      <c r="U47" s="10">
        <v>0</v>
      </c>
      <c r="V47" s="10">
        <v>8</v>
      </c>
      <c r="W47" s="10">
        <v>4</v>
      </c>
      <c r="X47" s="11">
        <f t="shared" si="37"/>
        <v>4</v>
      </c>
      <c r="Y47" s="4">
        <f t="shared" si="38"/>
        <v>0.5</v>
      </c>
      <c r="Z47" s="4">
        <f t="shared" si="35"/>
        <v>0</v>
      </c>
      <c r="AA47" s="4">
        <f t="shared" si="36"/>
        <v>0</v>
      </c>
      <c r="AB47" s="4">
        <f>IFERROR(tbl_główna_GRACZE[[#This Row],[2pm]]/tbl_główna_GRACZE[[#This Row],[2pa]],0)</f>
        <v>0.5</v>
      </c>
      <c r="AC47" s="4">
        <f t="shared" si="39"/>
        <v>0.5</v>
      </c>
      <c r="AD47" s="4">
        <f t="shared" si="40"/>
        <v>0.5</v>
      </c>
      <c r="AE47" s="11">
        <f t="shared" si="2"/>
        <v>6</v>
      </c>
      <c r="AF47" s="4">
        <f t="shared" si="41"/>
        <v>0</v>
      </c>
      <c r="AG47" s="4">
        <f t="shared" si="42"/>
        <v>0</v>
      </c>
      <c r="AH4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5.235602094240837E-2</v>
      </c>
      <c r="AI47" s="25">
        <f>tbl_główna_GRACZE[[#This Row],[pts]]*(40/tbl_główna_GRACZE[[#This Row],[min]])</f>
        <v>20</v>
      </c>
      <c r="AJ47" s="30">
        <f>tbl_główna_GRACZE[[#This Row],[reb total]]*(40/tbl_główna_GRACZE[[#This Row],[min]])</f>
        <v>20</v>
      </c>
      <c r="AK47" s="30">
        <f>tbl_główna_GRACZE[[#This Row],[asst]]*(40/tbl_główna_GRACZE[[#This Row],[min]])</f>
        <v>0</v>
      </c>
      <c r="AL47" s="5">
        <f t="shared" si="43"/>
        <v>1</v>
      </c>
      <c r="AM47" s="5">
        <f>(tbl_główna_GRACZE[[#This Row],[stl]]+tbl_główna_GRACZE[[#This Row],[blk]])*(40/tbl_główna_GRACZE[[#This Row],[min]])</f>
        <v>0</v>
      </c>
      <c r="AN4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7" s="25">
        <f>tbl_główna_GRACZE[[#This Row],[stl]]+tbl_główna_GRACZE[[#This Row],[blk]]+(tbl_główna_GRACZE[[#This Row],[dreb]]*0.5)</f>
        <v>1</v>
      </c>
      <c r="AP47" s="29">
        <f>(tbl_główna_GRACZE[[#This Row],[stl]]+tbl_główna_GRACZE[[#This Row],[blk]]+0.5*tbl_główna_GRACZE[[#This Row],[dreb]])/tbl_główna_GRACZE[[#This Row],[min]]</f>
        <v>0.125</v>
      </c>
      <c r="AQ47" s="6">
        <f t="shared" si="44"/>
        <v>4</v>
      </c>
      <c r="AR47" s="6">
        <f>tbl_główna_GRACZE[[#This Row],[GmSc]]*(40/tbl_główna_GRACZE[[#This Row],[min]])</f>
        <v>20</v>
      </c>
      <c r="AS47" s="6">
        <f>tbl_główna_GRACZE[[#This Row],[EVAL]]*(40/tbl_główna_GRACZE[[#This Row],[min]])</f>
        <v>30</v>
      </c>
      <c r="AT47" s="11">
        <f>tbl_główna_GRACZE[[#This Row],[fgm]]-tbl_główna_GRACZE[[#This Row],[3pm]]</f>
        <v>2</v>
      </c>
      <c r="AU47" s="11">
        <f>tbl_główna_GRACZE[[#This Row],[fga]]-tbl_główna_GRACZE[[#This Row],[3pa]]</f>
        <v>4</v>
      </c>
      <c r="AV47">
        <f>IF(tbl_główna_GRACZE[[#This Row],[min]]&gt;0,1,0)</f>
        <v>1</v>
      </c>
      <c r="AW47" s="58" t="str">
        <f>tbl_główna_GRACZE[[#This Row],[I. Nazwisko]]</f>
        <v>M. Karczmarczyk</v>
      </c>
    </row>
    <row r="48" spans="1:49" ht="14.5" customHeight="1" x14ac:dyDescent="0.35">
      <c r="A48" t="s">
        <v>52</v>
      </c>
      <c r="B48" t="s">
        <v>50</v>
      </c>
      <c r="C48" t="s">
        <v>58</v>
      </c>
      <c r="D48" t="str">
        <f>IF(C48="H",VLOOKUP($A48,tab_nazwy_zespołów[],2,0)&amp;VLOOKUP($B48,tab_nazwy_zespołów[],2,0),VLOOKUP($B48,tab_nazwy_zespołów[],2,0)&amp;VLOOKUP($A48,tab_nazwy_zespołów[],2,0))</f>
        <v>KONWIL</v>
      </c>
      <c r="E48">
        <v>1</v>
      </c>
      <c r="F48">
        <f>COUNTIF(tbl_zawodnicy_sumy[I. Nazwisko],tbl_główna_GRACZE[[#This Row],[I. Nazwisko]])</f>
        <v>1</v>
      </c>
      <c r="G48" s="58" t="str">
        <f>RIGHT(tbl_główna_GRACZE[[#This Row],[Kolumna1]],LEN(tbl_główna_GRACZE[[#This Row],[Kolumna1]])-FIND(" ",tbl_główna_GRACZE[[#This Row],[Kolumna1]]))</f>
        <v>M. Nagrodzki</v>
      </c>
      <c r="H48" s="2" t="s">
        <v>96</v>
      </c>
      <c r="I48" s="10">
        <v>1</v>
      </c>
      <c r="J48" s="10">
        <v>6</v>
      </c>
      <c r="K48" s="10">
        <v>0</v>
      </c>
      <c r="L48" s="10">
        <v>1</v>
      </c>
      <c r="M48" s="10">
        <v>0</v>
      </c>
      <c r="N48" s="10">
        <v>0</v>
      </c>
      <c r="O48" s="10">
        <v>0</v>
      </c>
      <c r="P48" s="10">
        <v>3</v>
      </c>
      <c r="Q48" s="10">
        <v>3</v>
      </c>
      <c r="R48" s="10">
        <v>0</v>
      </c>
      <c r="S48" s="10">
        <v>0</v>
      </c>
      <c r="T48" s="10">
        <v>0</v>
      </c>
      <c r="U48" s="10">
        <v>0</v>
      </c>
      <c r="V48" s="10">
        <v>11</v>
      </c>
      <c r="W48" s="10">
        <v>2</v>
      </c>
      <c r="X48" s="11">
        <f t="shared" si="37"/>
        <v>3</v>
      </c>
      <c r="Y48" s="4">
        <f t="shared" si="38"/>
        <v>0.16666666666666666</v>
      </c>
      <c r="Z48" s="4">
        <f t="shared" si="35"/>
        <v>0</v>
      </c>
      <c r="AA48" s="4">
        <f t="shared" si="36"/>
        <v>0</v>
      </c>
      <c r="AB48" s="4">
        <f>IFERROR(tbl_główna_GRACZE[[#This Row],[2pm]]/tbl_główna_GRACZE[[#This Row],[2pa]],0)</f>
        <v>0.2</v>
      </c>
      <c r="AC48" s="4">
        <f t="shared" si="39"/>
        <v>0.16666666666666666</v>
      </c>
      <c r="AD48" s="4">
        <f t="shared" si="40"/>
        <v>0.16666666666666666</v>
      </c>
      <c r="AE48" s="11">
        <f t="shared" si="2"/>
        <v>0</v>
      </c>
      <c r="AF48" s="4">
        <f t="shared" si="41"/>
        <v>0</v>
      </c>
      <c r="AG48" s="4">
        <f t="shared" si="42"/>
        <v>0.16666666666666666</v>
      </c>
      <c r="AH4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7.8534031413612565E-2</v>
      </c>
      <c r="AI48" s="25">
        <f>tbl_główna_GRACZE[[#This Row],[pts]]*(40/tbl_główna_GRACZE[[#This Row],[min]])</f>
        <v>7.2727272727272725</v>
      </c>
      <c r="AJ48" s="30">
        <f>tbl_główna_GRACZE[[#This Row],[reb total]]*(40/tbl_główna_GRACZE[[#This Row],[min]])</f>
        <v>10.909090909090908</v>
      </c>
      <c r="AK48" s="30">
        <f>tbl_główna_GRACZE[[#This Row],[asst]]*(40/tbl_główna_GRACZE[[#This Row],[min]])</f>
        <v>0</v>
      </c>
      <c r="AL48" s="5">
        <f t="shared" si="43"/>
        <v>0.33333333333333331</v>
      </c>
      <c r="AM48" s="5">
        <f>(tbl_główna_GRACZE[[#This Row],[stl]]+tbl_główna_GRACZE[[#This Row],[blk]])*(40/tbl_główna_GRACZE[[#This Row],[min]])</f>
        <v>0</v>
      </c>
      <c r="AN4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8" s="25">
        <f>tbl_główna_GRACZE[[#This Row],[stl]]+tbl_główna_GRACZE[[#This Row],[blk]]+(tbl_główna_GRACZE[[#This Row],[dreb]]*0.5)</f>
        <v>1.5</v>
      </c>
      <c r="AP48" s="29">
        <f>(tbl_główna_GRACZE[[#This Row],[stl]]+tbl_główna_GRACZE[[#This Row],[blk]]+0.5*tbl_główna_GRACZE[[#This Row],[dreb]])/tbl_główna_GRACZE[[#This Row],[min]]</f>
        <v>0.13636363636363635</v>
      </c>
      <c r="AQ48" s="6">
        <f t="shared" si="44"/>
        <v>-0.89999999999999947</v>
      </c>
      <c r="AR48" s="6">
        <f>tbl_główna_GRACZE[[#This Row],[GmSc]]*(40/tbl_główna_GRACZE[[#This Row],[min]])</f>
        <v>-3.2727272727272707</v>
      </c>
      <c r="AS48" s="6">
        <f>tbl_główna_GRACZE[[#This Row],[EVAL]]*(40/tbl_główna_GRACZE[[#This Row],[min]])</f>
        <v>0</v>
      </c>
      <c r="AT48" s="11">
        <f>tbl_główna_GRACZE[[#This Row],[fgm]]-tbl_główna_GRACZE[[#This Row],[3pm]]</f>
        <v>1</v>
      </c>
      <c r="AU48" s="11">
        <f>tbl_główna_GRACZE[[#This Row],[fga]]-tbl_główna_GRACZE[[#This Row],[3pa]]</f>
        <v>5</v>
      </c>
      <c r="AV48">
        <f>IF(tbl_główna_GRACZE[[#This Row],[min]]&gt;0,1,0)</f>
        <v>1</v>
      </c>
      <c r="AW48" s="58" t="str">
        <f>tbl_główna_GRACZE[[#This Row],[I. Nazwisko]]</f>
        <v>M. Nagrodzki</v>
      </c>
    </row>
    <row r="49" spans="1:49" ht="14.5" customHeight="1" x14ac:dyDescent="0.35">
      <c r="A49" t="s">
        <v>52</v>
      </c>
      <c r="B49" t="s">
        <v>50</v>
      </c>
      <c r="C49" t="s">
        <v>58</v>
      </c>
      <c r="D49" t="str">
        <f>IF(C49="H",VLOOKUP($A49,tab_nazwy_zespołów[],2,0)&amp;VLOOKUP($B49,tab_nazwy_zespołów[],2,0),VLOOKUP($B49,tab_nazwy_zespołów[],2,0)&amp;VLOOKUP($A49,tab_nazwy_zespołów[],2,0))</f>
        <v>KONWIL</v>
      </c>
      <c r="E49">
        <v>1</v>
      </c>
      <c r="F49">
        <f>COUNTIF(tbl_zawodnicy_sumy[I. Nazwisko],tbl_główna_GRACZE[[#This Row],[I. Nazwisko]])</f>
        <v>1</v>
      </c>
      <c r="G49" s="58" t="str">
        <f>RIGHT(tbl_główna_GRACZE[[#This Row],[Kolumna1]],LEN(tbl_główna_GRACZE[[#This Row],[Kolumna1]])-FIND(" ",tbl_główna_GRACZE[[#This Row],[Kolumna1]]))</f>
        <v>J. Karolczuk</v>
      </c>
      <c r="H49" s="2" t="s">
        <v>97</v>
      </c>
      <c r="I49" s="10">
        <v>0</v>
      </c>
      <c r="J49" s="10">
        <v>6</v>
      </c>
      <c r="K49" s="10">
        <v>0</v>
      </c>
      <c r="L49" s="10">
        <v>4</v>
      </c>
      <c r="M49" s="10">
        <v>0</v>
      </c>
      <c r="N49" s="10">
        <v>0</v>
      </c>
      <c r="O49" s="10">
        <v>1</v>
      </c>
      <c r="P49" s="10">
        <v>2</v>
      </c>
      <c r="Q49" s="10">
        <v>1</v>
      </c>
      <c r="R49" s="10">
        <v>0</v>
      </c>
      <c r="S49" s="10">
        <v>0</v>
      </c>
      <c r="T49" s="10">
        <v>2</v>
      </c>
      <c r="U49" s="10">
        <v>1</v>
      </c>
      <c r="V49" s="10">
        <v>9</v>
      </c>
      <c r="W49" s="10">
        <v>0</v>
      </c>
      <c r="X49" s="11">
        <f t="shared" si="37"/>
        <v>3</v>
      </c>
      <c r="Y49" s="4">
        <f t="shared" si="38"/>
        <v>0</v>
      </c>
      <c r="Z49" s="4">
        <f t="shared" si="35"/>
        <v>0</v>
      </c>
      <c r="AA49" s="4">
        <f t="shared" si="36"/>
        <v>0</v>
      </c>
      <c r="AB49" s="4">
        <f>IFERROR(tbl_główna_GRACZE[[#This Row],[2pm]]/tbl_główna_GRACZE[[#This Row],[2pa]],0)</f>
        <v>0</v>
      </c>
      <c r="AC49" s="4">
        <f t="shared" si="39"/>
        <v>0</v>
      </c>
      <c r="AD49" s="4">
        <f t="shared" si="40"/>
        <v>0</v>
      </c>
      <c r="AE49" s="11">
        <f t="shared" si="2"/>
        <v>0</v>
      </c>
      <c r="AF49" s="4">
        <f t="shared" si="41"/>
        <v>0</v>
      </c>
      <c r="AG49" s="4">
        <f t="shared" si="42"/>
        <v>0.66666666666666663</v>
      </c>
      <c r="AH4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7.8534031413612565E-2</v>
      </c>
      <c r="AI49" s="25">
        <f>tbl_główna_GRACZE[[#This Row],[pts]]*(40/tbl_główna_GRACZE[[#This Row],[min]])</f>
        <v>0</v>
      </c>
      <c r="AJ49" s="30">
        <f>tbl_główna_GRACZE[[#This Row],[reb total]]*(40/tbl_główna_GRACZE[[#This Row],[min]])</f>
        <v>13.333333333333334</v>
      </c>
      <c r="AK49" s="30">
        <f>tbl_główna_GRACZE[[#This Row],[asst]]*(40/tbl_główna_GRACZE[[#This Row],[min]])</f>
        <v>4.4444444444444446</v>
      </c>
      <c r="AL49" s="5">
        <f t="shared" si="43"/>
        <v>0</v>
      </c>
      <c r="AM49" s="5">
        <f>(tbl_główna_GRACZE[[#This Row],[stl]]+tbl_główna_GRACZE[[#This Row],[blk]])*(40/tbl_główna_GRACZE[[#This Row],[min]])</f>
        <v>8.8888888888888893</v>
      </c>
      <c r="AN4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49" s="25">
        <f>tbl_główna_GRACZE[[#This Row],[stl]]+tbl_główna_GRACZE[[#This Row],[blk]]+(tbl_główna_GRACZE[[#This Row],[dreb]]*0.5)</f>
        <v>3</v>
      </c>
      <c r="AP49" s="29">
        <f>(tbl_główna_GRACZE[[#This Row],[stl]]+tbl_główna_GRACZE[[#This Row],[blk]]+0.5*tbl_główna_GRACZE[[#This Row],[dreb]])/tbl_główna_GRACZE[[#This Row],[min]]</f>
        <v>0.33333333333333331</v>
      </c>
      <c r="AQ49" s="6">
        <f t="shared" si="44"/>
        <v>-0.79999999999999938</v>
      </c>
      <c r="AR49" s="6">
        <f>tbl_główna_GRACZE[[#This Row],[GmSc]]*(40/tbl_główna_GRACZE[[#This Row],[min]])</f>
        <v>-3.5555555555555531</v>
      </c>
      <c r="AS49" s="6">
        <f>tbl_główna_GRACZE[[#This Row],[EVAL]]*(40/tbl_główna_GRACZE[[#This Row],[min]])</f>
        <v>0</v>
      </c>
      <c r="AT49" s="11">
        <f>tbl_główna_GRACZE[[#This Row],[fgm]]-tbl_główna_GRACZE[[#This Row],[3pm]]</f>
        <v>0</v>
      </c>
      <c r="AU49" s="11">
        <f>tbl_główna_GRACZE[[#This Row],[fga]]-tbl_główna_GRACZE[[#This Row],[3pa]]</f>
        <v>2</v>
      </c>
      <c r="AV49">
        <f>IF(tbl_główna_GRACZE[[#This Row],[min]]&gt;0,1,0)</f>
        <v>1</v>
      </c>
      <c r="AW49" s="58" t="str">
        <f>tbl_główna_GRACZE[[#This Row],[I. Nazwisko]]</f>
        <v>J. Karolczuk</v>
      </c>
    </row>
    <row r="50" spans="1:49" ht="14.5" customHeight="1" x14ac:dyDescent="0.35">
      <c r="A50" t="s">
        <v>52</v>
      </c>
      <c r="B50" t="s">
        <v>50</v>
      </c>
      <c r="C50" t="s">
        <v>58</v>
      </c>
      <c r="D50" t="str">
        <f>IF(C50="H",VLOOKUP($A50,tab_nazwy_zespołów[],2,0)&amp;VLOOKUP($B50,tab_nazwy_zespołów[],2,0),VLOOKUP($B50,tab_nazwy_zespołów[],2,0)&amp;VLOOKUP($A50,tab_nazwy_zespołów[],2,0))</f>
        <v>KONWIL</v>
      </c>
      <c r="E50">
        <v>1</v>
      </c>
      <c r="F50">
        <f>COUNTIF(tbl_zawodnicy_sumy[I. Nazwisko],tbl_główna_GRACZE[[#This Row],[I. Nazwisko]])</f>
        <v>1</v>
      </c>
      <c r="G50" s="58" t="str">
        <f>RIGHT(tbl_główna_GRACZE[[#This Row],[Kolumna1]],LEN(tbl_główna_GRACZE[[#This Row],[Kolumna1]])-FIND(" ",tbl_główna_GRACZE[[#This Row],[Kolumna1]]))</f>
        <v>K. Kondeja</v>
      </c>
      <c r="H50" s="2" t="s">
        <v>98</v>
      </c>
      <c r="I50" s="10">
        <v>0</v>
      </c>
      <c r="J50" s="10">
        <v>1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1</v>
      </c>
      <c r="Q50" s="10">
        <v>0</v>
      </c>
      <c r="R50" s="10">
        <v>1</v>
      </c>
      <c r="S50" s="10">
        <v>0</v>
      </c>
      <c r="T50" s="10">
        <v>0</v>
      </c>
      <c r="U50" s="10">
        <v>0</v>
      </c>
      <c r="V50" s="10">
        <v>7</v>
      </c>
      <c r="W50" s="10">
        <v>0</v>
      </c>
      <c r="X50" s="11">
        <f t="shared" si="37"/>
        <v>2</v>
      </c>
      <c r="Y50" s="4">
        <f t="shared" si="38"/>
        <v>0</v>
      </c>
      <c r="Z50" s="4">
        <f t="shared" si="35"/>
        <v>0</v>
      </c>
      <c r="AA50" s="4">
        <f t="shared" si="36"/>
        <v>0</v>
      </c>
      <c r="AB50" s="4">
        <f>IFERROR(tbl_główna_GRACZE[[#This Row],[2pm]]/tbl_główna_GRACZE[[#This Row],[2pa]],0)</f>
        <v>0</v>
      </c>
      <c r="AC50" s="4">
        <f t="shared" si="39"/>
        <v>0</v>
      </c>
      <c r="AD50" s="4">
        <f t="shared" si="40"/>
        <v>0</v>
      </c>
      <c r="AE50" s="11">
        <f t="shared" si="2"/>
        <v>2</v>
      </c>
      <c r="AF50" s="4">
        <f t="shared" si="41"/>
        <v>0</v>
      </c>
      <c r="AG50" s="4">
        <f t="shared" si="42"/>
        <v>0</v>
      </c>
      <c r="AH5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1.3089005235602092E-2</v>
      </c>
      <c r="AI50" s="25">
        <f>tbl_główna_GRACZE[[#This Row],[pts]]*(40/tbl_główna_GRACZE[[#This Row],[min]])</f>
        <v>0</v>
      </c>
      <c r="AJ50" s="30">
        <f>tbl_główna_GRACZE[[#This Row],[reb total]]*(40/tbl_główna_GRACZE[[#This Row],[min]])</f>
        <v>11.428571428571429</v>
      </c>
      <c r="AK50" s="30">
        <f>tbl_główna_GRACZE[[#This Row],[asst]]*(40/tbl_główna_GRACZE[[#This Row],[min]])</f>
        <v>0</v>
      </c>
      <c r="AL50" s="5">
        <f t="shared" si="43"/>
        <v>0</v>
      </c>
      <c r="AM50" s="5">
        <f>(tbl_główna_GRACZE[[#This Row],[stl]]+tbl_główna_GRACZE[[#This Row],[blk]])*(40/tbl_główna_GRACZE[[#This Row],[min]])</f>
        <v>5.7142857142857144</v>
      </c>
      <c r="AN5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50" s="25">
        <f>tbl_główna_GRACZE[[#This Row],[stl]]+tbl_główna_GRACZE[[#This Row],[blk]]+(tbl_główna_GRACZE[[#This Row],[dreb]]*0.5)</f>
        <v>1.5</v>
      </c>
      <c r="AP50" s="29">
        <f>(tbl_główna_GRACZE[[#This Row],[stl]]+tbl_główna_GRACZE[[#This Row],[blk]]+0.5*tbl_główna_GRACZE[[#This Row],[dreb]])/tbl_główna_GRACZE[[#This Row],[min]]</f>
        <v>0.21428571428571427</v>
      </c>
      <c r="AQ50" s="6">
        <f t="shared" si="44"/>
        <v>1.3</v>
      </c>
      <c r="AR50" s="6">
        <f>tbl_główna_GRACZE[[#This Row],[GmSc]]*(40/tbl_główna_GRACZE[[#This Row],[min]])</f>
        <v>7.4285714285714288</v>
      </c>
      <c r="AS50" s="6">
        <f>tbl_główna_GRACZE[[#This Row],[EVAL]]*(40/tbl_główna_GRACZE[[#This Row],[min]])</f>
        <v>11.428571428571429</v>
      </c>
      <c r="AT50" s="11">
        <f>tbl_główna_GRACZE[[#This Row],[fgm]]-tbl_główna_GRACZE[[#This Row],[3pm]]</f>
        <v>0</v>
      </c>
      <c r="AU50" s="11">
        <f>tbl_główna_GRACZE[[#This Row],[fga]]-tbl_główna_GRACZE[[#This Row],[3pa]]</f>
        <v>1</v>
      </c>
      <c r="AV50">
        <f>IF(tbl_główna_GRACZE[[#This Row],[min]]&gt;0,1,0)</f>
        <v>1</v>
      </c>
      <c r="AW50" s="58" t="str">
        <f>tbl_główna_GRACZE[[#This Row],[I. Nazwisko]]</f>
        <v>K. Kondeja</v>
      </c>
    </row>
    <row r="51" spans="1:49" ht="14.5" customHeight="1" x14ac:dyDescent="0.35">
      <c r="A51" t="s">
        <v>52</v>
      </c>
      <c r="B51" t="s">
        <v>50</v>
      </c>
      <c r="C51" t="s">
        <v>58</v>
      </c>
      <c r="D51" t="str">
        <f>IF(C51="H",VLOOKUP($A51,tab_nazwy_zespołów[],2,0)&amp;VLOOKUP($B51,tab_nazwy_zespołów[],2,0),VLOOKUP($B51,tab_nazwy_zespołów[],2,0)&amp;VLOOKUP($A51,tab_nazwy_zespołów[],2,0))</f>
        <v>KONWIL</v>
      </c>
      <c r="E51">
        <v>1</v>
      </c>
      <c r="F51">
        <f>COUNTIF(tbl_zawodnicy_sumy[I. Nazwisko],tbl_główna_GRACZE[[#This Row],[I. Nazwisko]])</f>
        <v>1</v>
      </c>
      <c r="G51" s="58" t="str">
        <f>RIGHT(tbl_główna_GRACZE[[#This Row],[Kolumna1]],LEN(tbl_główna_GRACZE[[#This Row],[Kolumna1]])-FIND(" ",tbl_główna_GRACZE[[#This Row],[Kolumna1]]))</f>
        <v>G. Jusiński</v>
      </c>
      <c r="H51" s="2" t="s">
        <v>99</v>
      </c>
      <c r="I51" s="10">
        <v>0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1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5</v>
      </c>
      <c r="W51" s="10">
        <v>0</v>
      </c>
      <c r="X51" s="11">
        <f t="shared" si="37"/>
        <v>2</v>
      </c>
      <c r="Y51" s="4">
        <f t="shared" si="38"/>
        <v>0</v>
      </c>
      <c r="Z51" s="4">
        <f t="shared" si="35"/>
        <v>0</v>
      </c>
      <c r="AA51" s="4">
        <f t="shared" si="36"/>
        <v>0</v>
      </c>
      <c r="AB51" s="4">
        <f>IFERROR(tbl_główna_GRACZE[[#This Row],[2pm]]/tbl_główna_GRACZE[[#This Row],[2pa]],0)</f>
        <v>0</v>
      </c>
      <c r="AC51" s="4">
        <f t="shared" si="39"/>
        <v>0</v>
      </c>
      <c r="AD51" s="4">
        <f t="shared" si="40"/>
        <v>0</v>
      </c>
      <c r="AE51" s="11">
        <f t="shared" si="2"/>
        <v>1</v>
      </c>
      <c r="AF51" s="4">
        <f t="shared" si="41"/>
        <v>0</v>
      </c>
      <c r="AG51" s="4">
        <f t="shared" si="42"/>
        <v>0</v>
      </c>
      <c r="AH5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1.3089005235602092E-2</v>
      </c>
      <c r="AI51" s="25">
        <f>tbl_główna_GRACZE[[#This Row],[pts]]*(40/tbl_główna_GRACZE[[#This Row],[min]])</f>
        <v>0</v>
      </c>
      <c r="AJ51" s="30">
        <f>tbl_główna_GRACZE[[#This Row],[reb total]]*(40/tbl_główna_GRACZE[[#This Row],[min]])</f>
        <v>16</v>
      </c>
      <c r="AK51" s="30">
        <f>tbl_główna_GRACZE[[#This Row],[asst]]*(40/tbl_główna_GRACZE[[#This Row],[min]])</f>
        <v>0</v>
      </c>
      <c r="AL51" s="5">
        <f t="shared" si="43"/>
        <v>0</v>
      </c>
      <c r="AM51" s="5">
        <f>(tbl_główna_GRACZE[[#This Row],[stl]]+tbl_główna_GRACZE[[#This Row],[blk]])*(40/tbl_główna_GRACZE[[#This Row],[min]])</f>
        <v>0</v>
      </c>
      <c r="AN5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51" s="25">
        <f>tbl_główna_GRACZE[[#This Row],[stl]]+tbl_główna_GRACZE[[#This Row],[blk]]+(tbl_główna_GRACZE[[#This Row],[dreb]]*0.5)</f>
        <v>0.5</v>
      </c>
      <c r="AP51" s="29">
        <f>(tbl_główna_GRACZE[[#This Row],[stl]]+tbl_główna_GRACZE[[#This Row],[blk]]+0.5*tbl_główna_GRACZE[[#This Row],[dreb]])/tbl_główna_GRACZE[[#This Row],[min]]</f>
        <v>0.1</v>
      </c>
      <c r="AQ51" s="6">
        <f t="shared" si="44"/>
        <v>0.3</v>
      </c>
      <c r="AR51" s="6">
        <f>tbl_główna_GRACZE[[#This Row],[GmSc]]*(40/tbl_główna_GRACZE[[#This Row],[min]])</f>
        <v>2.4</v>
      </c>
      <c r="AS51" s="6">
        <f>tbl_główna_GRACZE[[#This Row],[EVAL]]*(40/tbl_główna_GRACZE[[#This Row],[min]])</f>
        <v>8</v>
      </c>
      <c r="AT51" s="11">
        <f>tbl_główna_GRACZE[[#This Row],[fgm]]-tbl_główna_GRACZE[[#This Row],[3pm]]</f>
        <v>0</v>
      </c>
      <c r="AU51" s="11">
        <f>tbl_główna_GRACZE[[#This Row],[fga]]-tbl_główna_GRACZE[[#This Row],[3pa]]</f>
        <v>1</v>
      </c>
      <c r="AV51">
        <f>IF(tbl_główna_GRACZE[[#This Row],[min]]&gt;0,1,0)</f>
        <v>1</v>
      </c>
      <c r="AW51" s="58" t="str">
        <f>tbl_główna_GRACZE[[#This Row],[I. Nazwisko]]</f>
        <v>G. Jusiński</v>
      </c>
    </row>
    <row r="52" spans="1:49" ht="14.5" customHeight="1" x14ac:dyDescent="0.35">
      <c r="A52" t="s">
        <v>19</v>
      </c>
      <c r="B52" t="s">
        <v>50</v>
      </c>
      <c r="C52" t="s">
        <v>58</v>
      </c>
      <c r="D52" t="str">
        <f>IF(C52="H",VLOOKUP($A52,tab_nazwy_zespołów[],2,0)&amp;VLOOKUP($B52,tab_nazwy_zespołów[],2,0),VLOOKUP($B52,tab_nazwy_zespołów[],2,0)&amp;VLOOKUP($A52,tab_nazwy_zespołów[],2,0))</f>
        <v>KONSTA</v>
      </c>
      <c r="E52">
        <v>2</v>
      </c>
      <c r="F52">
        <f>COUNTIF(tbl_zawodnicy_sumy[I. Nazwisko],tbl_główna_GRACZE[[#This Row],[I. Nazwisko]])</f>
        <v>1</v>
      </c>
      <c r="G52" s="58" t="str">
        <f>RIGHT(tbl_główna_GRACZE[[#This Row],[Kolumna1]],LEN(tbl_główna_GRACZE[[#This Row],[Kolumna1]])-FIND(" ",tbl_główna_GRACZE[[#This Row],[Kolumna1]]))</f>
        <v>G. Bańkowski</v>
      </c>
      <c r="H52" s="9" t="s">
        <v>11</v>
      </c>
      <c r="I52" s="10">
        <v>5</v>
      </c>
      <c r="J52" s="10">
        <v>10</v>
      </c>
      <c r="K52" s="10">
        <v>0</v>
      </c>
      <c r="L52" s="10">
        <v>2</v>
      </c>
      <c r="M52" s="10">
        <v>0</v>
      </c>
      <c r="N52" s="10">
        <v>0</v>
      </c>
      <c r="O52" s="10">
        <v>2</v>
      </c>
      <c r="P52" s="10">
        <v>6</v>
      </c>
      <c r="Q52" s="10">
        <v>1</v>
      </c>
      <c r="R52" s="10">
        <v>1</v>
      </c>
      <c r="S52" s="10">
        <v>0</v>
      </c>
      <c r="T52" s="10">
        <v>1</v>
      </c>
      <c r="U52" s="10">
        <v>0</v>
      </c>
      <c r="V52" s="10">
        <v>21</v>
      </c>
      <c r="W52" s="10">
        <v>10</v>
      </c>
      <c r="X52" s="57">
        <f t="shared" ref="X52:X61" si="45">O52+P52</f>
        <v>8</v>
      </c>
      <c r="Y52" s="4">
        <f t="shared" ref="Y52:Y61" si="46">I52/J52</f>
        <v>0.5</v>
      </c>
      <c r="Z52" s="4">
        <f t="shared" si="35"/>
        <v>0</v>
      </c>
      <c r="AA52" s="4">
        <f t="shared" si="36"/>
        <v>0</v>
      </c>
      <c r="AB52" s="4">
        <f>IFERROR(tbl_główna_GRACZE[[#This Row],[2pm]]/tbl_główna_GRACZE[[#This Row],[2pa]],0)</f>
        <v>0.625</v>
      </c>
      <c r="AC52" s="4">
        <f t="shared" ref="AC52:AC61" si="47">W52/(2*(J52+0.44*N52))</f>
        <v>0.5</v>
      </c>
      <c r="AD52" s="4">
        <f t="shared" ref="AD52:AD61" si="48">(I52+0.5*K52)/J52</f>
        <v>0.5</v>
      </c>
      <c r="AE52" s="11">
        <f t="shared" ref="AE52:AE61" si="49">R52+T52+U52+W52+X52-(J52-I52)-(N52-M52)</f>
        <v>15</v>
      </c>
      <c r="AF52" s="4">
        <f t="shared" ref="AF52:AF61" si="50">N52/J52</f>
        <v>0</v>
      </c>
      <c r="AG52" s="4">
        <f t="shared" ref="AG52:AG61" si="51">L52/J52</f>
        <v>0.2</v>
      </c>
      <c r="AH5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0.14979029358897542</v>
      </c>
      <c r="AI52" s="25">
        <f>tbl_główna_GRACZE[[#This Row],[pts]]*(40/tbl_główna_GRACZE[[#This Row],[min]])</f>
        <v>19.047619047619047</v>
      </c>
      <c r="AJ52" s="30">
        <f>tbl_główna_GRACZE[[#This Row],[reb total]]*(40/tbl_główna_GRACZE[[#This Row],[min]])</f>
        <v>15.238095238095237</v>
      </c>
      <c r="AK52" s="30">
        <f>tbl_główna_GRACZE[[#This Row],[asst]]*(40/tbl_główna_GRACZE[[#This Row],[min]])</f>
        <v>0</v>
      </c>
      <c r="AL52" s="5">
        <f t="shared" ref="AL52:AL61" si="52">W52/J52</f>
        <v>1</v>
      </c>
      <c r="AM52" s="5">
        <f>(tbl_główna_GRACZE[[#This Row],[stl]]+tbl_główna_GRACZE[[#This Row],[blk]])*(40/tbl_główna_GRACZE[[#This Row],[min]])</f>
        <v>3.8095238095238093</v>
      </c>
      <c r="AN5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2" s="25">
        <f>tbl_główna_GRACZE[[#This Row],[stl]]+tbl_główna_GRACZE[[#This Row],[blk]]+(tbl_główna_GRACZE[[#This Row],[dreb]]*0.5)</f>
        <v>5</v>
      </c>
      <c r="AP52" s="29">
        <f>(tbl_główna_GRACZE[[#This Row],[stl]]+tbl_główna_GRACZE[[#This Row],[blk]]+0.5*tbl_główna_GRACZE[[#This Row],[dreb]])/tbl_główna_GRACZE[[#This Row],[min]]</f>
        <v>0.23809523809523808</v>
      </c>
      <c r="AQ52" s="6">
        <f t="shared" ref="AQ52:AQ61" si="53">W52+0.4*I52-0.7*J52-0.4*(N52-M52)+0.7*O52+0.3*P52+R52+0.7*U52+0.7*T52</f>
        <v>9.8999999999999986</v>
      </c>
      <c r="AR52" s="6">
        <f>tbl_główna_GRACZE[[#This Row],[GmSc]]*(40/tbl_główna_GRACZE[[#This Row],[min]])</f>
        <v>18.857142857142854</v>
      </c>
      <c r="AS52" s="6">
        <f>tbl_główna_GRACZE[[#This Row],[EVAL]]*(40/tbl_główna_GRACZE[[#This Row],[min]])</f>
        <v>28.571428571428569</v>
      </c>
      <c r="AT52" s="11">
        <f>tbl_główna_GRACZE[[#This Row],[fgm]]-tbl_główna_GRACZE[[#This Row],[3pm]]</f>
        <v>5</v>
      </c>
      <c r="AU52" s="11">
        <f>tbl_główna_GRACZE[[#This Row],[fga]]-tbl_główna_GRACZE[[#This Row],[3pa]]</f>
        <v>8</v>
      </c>
      <c r="AV52">
        <f>IF(tbl_główna_GRACZE[[#This Row],[min]]&gt;0,1,0)</f>
        <v>1</v>
      </c>
      <c r="AW52" s="58" t="str">
        <f>tbl_główna_GRACZE[[#This Row],[I. Nazwisko]]</f>
        <v>G. Bańkowski</v>
      </c>
    </row>
    <row r="53" spans="1:49" ht="14.5" customHeight="1" x14ac:dyDescent="0.35">
      <c r="A53" t="s">
        <v>19</v>
      </c>
      <c r="B53" t="s">
        <v>50</v>
      </c>
      <c r="C53" t="s">
        <v>58</v>
      </c>
      <c r="D53" t="str">
        <f>IF(C53="H",VLOOKUP($A53,tab_nazwy_zespołów[],2,0)&amp;VLOOKUP($B53,tab_nazwy_zespołów[],2,0),VLOOKUP($B53,tab_nazwy_zespołów[],2,0)&amp;VLOOKUP($A53,tab_nazwy_zespołów[],2,0))</f>
        <v>KONSTA</v>
      </c>
      <c r="E53">
        <v>2</v>
      </c>
      <c r="F53">
        <f>COUNTIF(tbl_zawodnicy_sumy[I. Nazwisko],tbl_główna_GRACZE[[#This Row],[I. Nazwisko]])</f>
        <v>1</v>
      </c>
      <c r="G53" s="58" t="str">
        <f>RIGHT(tbl_główna_GRACZE[[#This Row],[Kolumna1]],LEN(tbl_główna_GRACZE[[#This Row],[Kolumna1]])-FIND(" ",tbl_główna_GRACZE[[#This Row],[Kolumna1]]))</f>
        <v>K. Walaszczyk</v>
      </c>
      <c r="H53" s="9" t="s">
        <v>226</v>
      </c>
      <c r="I53" s="10">
        <v>3</v>
      </c>
      <c r="J53" s="10">
        <v>13</v>
      </c>
      <c r="K53" s="10">
        <v>3</v>
      </c>
      <c r="L53" s="10">
        <v>9</v>
      </c>
      <c r="M53" s="10">
        <v>0</v>
      </c>
      <c r="N53" s="10">
        <v>0</v>
      </c>
      <c r="O53" s="10">
        <v>2</v>
      </c>
      <c r="P53" s="10">
        <v>5</v>
      </c>
      <c r="Q53" s="10">
        <v>2</v>
      </c>
      <c r="R53" s="10">
        <v>1</v>
      </c>
      <c r="S53" s="10">
        <v>0</v>
      </c>
      <c r="T53" s="10">
        <v>1</v>
      </c>
      <c r="U53" s="10">
        <v>3</v>
      </c>
      <c r="V53" s="10">
        <v>25</v>
      </c>
      <c r="W53" s="10">
        <v>9</v>
      </c>
      <c r="X53" s="57">
        <f t="shared" si="45"/>
        <v>7</v>
      </c>
      <c r="Y53" s="4">
        <f t="shared" si="46"/>
        <v>0.23076923076923078</v>
      </c>
      <c r="Z53" s="4">
        <f t="shared" si="35"/>
        <v>0.33333333333333331</v>
      </c>
      <c r="AA53" s="4">
        <f t="shared" si="36"/>
        <v>0</v>
      </c>
      <c r="AB53" s="4">
        <f>IFERROR(tbl_główna_GRACZE[[#This Row],[2pm]]/tbl_główna_GRACZE[[#This Row],[2pa]],0)</f>
        <v>0</v>
      </c>
      <c r="AC53" s="4">
        <f t="shared" si="47"/>
        <v>0.34615384615384615</v>
      </c>
      <c r="AD53" s="4">
        <f t="shared" si="48"/>
        <v>0.34615384615384615</v>
      </c>
      <c r="AE53" s="11">
        <f t="shared" si="49"/>
        <v>11</v>
      </c>
      <c r="AF53" s="4">
        <f t="shared" si="50"/>
        <v>0</v>
      </c>
      <c r="AG53" s="4">
        <f t="shared" si="51"/>
        <v>0.69230769230769229</v>
      </c>
      <c r="AH5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0.19472738166566805</v>
      </c>
      <c r="AI53" s="25">
        <f>tbl_główna_GRACZE[[#This Row],[pts]]*(40/tbl_główna_GRACZE[[#This Row],[min]])</f>
        <v>14.4</v>
      </c>
      <c r="AJ53" s="30">
        <f>tbl_główna_GRACZE[[#This Row],[reb total]]*(40/tbl_główna_GRACZE[[#This Row],[min]])</f>
        <v>11.200000000000001</v>
      </c>
      <c r="AK53" s="30">
        <f>tbl_główna_GRACZE[[#This Row],[asst]]*(40/tbl_główna_GRACZE[[#This Row],[min]])</f>
        <v>4.8000000000000007</v>
      </c>
      <c r="AL53" s="5">
        <f t="shared" si="52"/>
        <v>0.69230769230769229</v>
      </c>
      <c r="AM53" s="5">
        <f>(tbl_główna_GRACZE[[#This Row],[stl]]+tbl_główna_GRACZE[[#This Row],[blk]])*(40/tbl_główna_GRACZE[[#This Row],[min]])</f>
        <v>3.2</v>
      </c>
      <c r="AN5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3" s="25">
        <f>tbl_główna_GRACZE[[#This Row],[stl]]+tbl_główna_GRACZE[[#This Row],[blk]]+(tbl_główna_GRACZE[[#This Row],[dreb]]*0.5)</f>
        <v>4.5</v>
      </c>
      <c r="AP53" s="29">
        <f>(tbl_główna_GRACZE[[#This Row],[stl]]+tbl_główna_GRACZE[[#This Row],[blk]]+0.5*tbl_główna_GRACZE[[#This Row],[dreb]])/tbl_główna_GRACZE[[#This Row],[min]]</f>
        <v>0.18</v>
      </c>
      <c r="AQ53" s="6">
        <f t="shared" si="53"/>
        <v>7.8</v>
      </c>
      <c r="AR53" s="6">
        <f>tbl_główna_GRACZE[[#This Row],[GmSc]]*(40/tbl_główna_GRACZE[[#This Row],[min]])</f>
        <v>12.48</v>
      </c>
      <c r="AS53" s="6">
        <f>tbl_główna_GRACZE[[#This Row],[EVAL]]*(40/tbl_główna_GRACZE[[#This Row],[min]])</f>
        <v>17.600000000000001</v>
      </c>
      <c r="AT53" s="11">
        <f>tbl_główna_GRACZE[[#This Row],[fgm]]-tbl_główna_GRACZE[[#This Row],[3pm]]</f>
        <v>0</v>
      </c>
      <c r="AU53" s="11">
        <f>tbl_główna_GRACZE[[#This Row],[fga]]-tbl_główna_GRACZE[[#This Row],[3pa]]</f>
        <v>4</v>
      </c>
      <c r="AV53">
        <f>IF(tbl_główna_GRACZE[[#This Row],[min]]&gt;0,1,0)</f>
        <v>1</v>
      </c>
      <c r="AW53" s="58" t="str">
        <f>tbl_główna_GRACZE[[#This Row],[I. Nazwisko]]</f>
        <v>K. Walaszczyk</v>
      </c>
    </row>
    <row r="54" spans="1:49" ht="14.5" customHeight="1" x14ac:dyDescent="0.35">
      <c r="A54" t="s">
        <v>19</v>
      </c>
      <c r="B54" t="s">
        <v>50</v>
      </c>
      <c r="C54" t="s">
        <v>58</v>
      </c>
      <c r="D54" t="str">
        <f>IF(C54="H",VLOOKUP($A54,tab_nazwy_zespołów[],2,0)&amp;VLOOKUP($B54,tab_nazwy_zespołów[],2,0),VLOOKUP($B54,tab_nazwy_zespołów[],2,0)&amp;VLOOKUP($A54,tab_nazwy_zespołów[],2,0))</f>
        <v>KONSTA</v>
      </c>
      <c r="E54">
        <v>2</v>
      </c>
      <c r="F54">
        <f>COUNTIF(tbl_zawodnicy_sumy[I. Nazwisko],tbl_główna_GRACZE[[#This Row],[I. Nazwisko]])</f>
        <v>1</v>
      </c>
      <c r="G54" s="58" t="str">
        <f>RIGHT(tbl_główna_GRACZE[[#This Row],[Kolumna1]],LEN(tbl_główna_GRACZE[[#This Row],[Kolumna1]])-FIND(" ",tbl_główna_GRACZE[[#This Row],[Kolumna1]]))</f>
        <v>B. Okaczuk</v>
      </c>
      <c r="H54" s="9" t="s">
        <v>12</v>
      </c>
      <c r="I54" s="10">
        <v>3</v>
      </c>
      <c r="J54" s="10">
        <v>6</v>
      </c>
      <c r="K54" s="10">
        <v>0</v>
      </c>
      <c r="L54" s="10">
        <v>1</v>
      </c>
      <c r="M54" s="10">
        <v>0</v>
      </c>
      <c r="N54" s="10">
        <v>1</v>
      </c>
      <c r="O54" s="10">
        <v>1</v>
      </c>
      <c r="P54" s="10">
        <v>4</v>
      </c>
      <c r="Q54" s="10">
        <v>1</v>
      </c>
      <c r="R54" s="10">
        <v>2</v>
      </c>
      <c r="S54" s="10">
        <v>0</v>
      </c>
      <c r="T54" s="10">
        <v>0</v>
      </c>
      <c r="U54" s="10">
        <v>3</v>
      </c>
      <c r="V54" s="10">
        <v>19</v>
      </c>
      <c r="W54" s="10">
        <v>6</v>
      </c>
      <c r="X54" s="57">
        <f t="shared" si="45"/>
        <v>5</v>
      </c>
      <c r="Y54" s="4">
        <f t="shared" si="46"/>
        <v>0.5</v>
      </c>
      <c r="Z54" s="4">
        <f t="shared" si="35"/>
        <v>0</v>
      </c>
      <c r="AA54" s="4">
        <f t="shared" si="36"/>
        <v>0</v>
      </c>
      <c r="AB54" s="4">
        <f>IFERROR(tbl_główna_GRACZE[[#This Row],[2pm]]/tbl_główna_GRACZE[[#This Row],[2pa]],0)</f>
        <v>0.6</v>
      </c>
      <c r="AC54" s="4">
        <f t="shared" si="47"/>
        <v>0.46583850931677018</v>
      </c>
      <c r="AD54" s="4">
        <f t="shared" si="48"/>
        <v>0.5</v>
      </c>
      <c r="AE54" s="11">
        <f t="shared" si="49"/>
        <v>12</v>
      </c>
      <c r="AF54" s="4">
        <f t="shared" si="50"/>
        <v>0.16666666666666666</v>
      </c>
      <c r="AG54" s="4">
        <f t="shared" si="51"/>
        <v>0.16666666666666666</v>
      </c>
      <c r="AH5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9.6464949071300182E-2</v>
      </c>
      <c r="AI54" s="25">
        <f>tbl_główna_GRACZE[[#This Row],[pts]]*(40/tbl_główna_GRACZE[[#This Row],[min]])</f>
        <v>12.631578947368421</v>
      </c>
      <c r="AJ54" s="30">
        <f>tbl_główna_GRACZE[[#This Row],[reb total]]*(40/tbl_główna_GRACZE[[#This Row],[min]])</f>
        <v>10.526315789473683</v>
      </c>
      <c r="AK54" s="30">
        <f>tbl_główna_GRACZE[[#This Row],[asst]]*(40/tbl_główna_GRACZE[[#This Row],[min]])</f>
        <v>6.3157894736842106</v>
      </c>
      <c r="AL54" s="5">
        <f t="shared" si="52"/>
        <v>1</v>
      </c>
      <c r="AM54" s="5">
        <f>(tbl_główna_GRACZE[[#This Row],[stl]]+tbl_główna_GRACZE[[#This Row],[blk]])*(40/tbl_główna_GRACZE[[#This Row],[min]])</f>
        <v>4.2105263157894735</v>
      </c>
      <c r="AN5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4" s="25">
        <f>tbl_główna_GRACZE[[#This Row],[stl]]+tbl_główna_GRACZE[[#This Row],[blk]]+(tbl_główna_GRACZE[[#This Row],[dreb]]*0.5)</f>
        <v>4</v>
      </c>
      <c r="AP54" s="29">
        <f>(tbl_główna_GRACZE[[#This Row],[stl]]+tbl_główna_GRACZE[[#This Row],[blk]]+0.5*tbl_główna_GRACZE[[#This Row],[dreb]])/tbl_główna_GRACZE[[#This Row],[min]]</f>
        <v>0.21052631578947367</v>
      </c>
      <c r="AQ54" s="6">
        <f t="shared" si="53"/>
        <v>8.6000000000000014</v>
      </c>
      <c r="AR54" s="6">
        <f>tbl_główna_GRACZE[[#This Row],[GmSc]]*(40/tbl_główna_GRACZE[[#This Row],[min]])</f>
        <v>18.10526315789474</v>
      </c>
      <c r="AS54" s="6">
        <f>tbl_główna_GRACZE[[#This Row],[EVAL]]*(40/tbl_główna_GRACZE[[#This Row],[min]])</f>
        <v>25.263157894736842</v>
      </c>
      <c r="AT54" s="11">
        <f>tbl_główna_GRACZE[[#This Row],[fgm]]-tbl_główna_GRACZE[[#This Row],[3pm]]</f>
        <v>3</v>
      </c>
      <c r="AU54" s="11">
        <f>tbl_główna_GRACZE[[#This Row],[fga]]-tbl_główna_GRACZE[[#This Row],[3pa]]</f>
        <v>5</v>
      </c>
      <c r="AV54">
        <f>IF(tbl_główna_GRACZE[[#This Row],[min]]&gt;0,1,0)</f>
        <v>1</v>
      </c>
      <c r="AW54" s="58" t="str">
        <f>tbl_główna_GRACZE[[#This Row],[I. Nazwisko]]</f>
        <v>B. Okaczuk</v>
      </c>
    </row>
    <row r="55" spans="1:49" ht="14.5" customHeight="1" x14ac:dyDescent="0.35">
      <c r="A55" t="s">
        <v>19</v>
      </c>
      <c r="B55" t="s">
        <v>50</v>
      </c>
      <c r="C55" t="s">
        <v>58</v>
      </c>
      <c r="D55" t="str">
        <f>IF(C55="H",VLOOKUP($A55,tab_nazwy_zespołów[],2,0)&amp;VLOOKUP($B55,tab_nazwy_zespołów[],2,0),VLOOKUP($B55,tab_nazwy_zespołów[],2,0)&amp;VLOOKUP($A55,tab_nazwy_zespołów[],2,0))</f>
        <v>KONSTA</v>
      </c>
      <c r="E55">
        <v>2</v>
      </c>
      <c r="F55">
        <f>COUNTIF(tbl_zawodnicy_sumy[I. Nazwisko],tbl_główna_GRACZE[[#This Row],[I. Nazwisko]])</f>
        <v>1</v>
      </c>
      <c r="G55" s="58" t="str">
        <f>RIGHT(tbl_główna_GRACZE[[#This Row],[Kolumna1]],LEN(tbl_główna_GRACZE[[#This Row],[Kolumna1]])-FIND(" ",tbl_główna_GRACZE[[#This Row],[Kolumna1]]))</f>
        <v>F. Firas</v>
      </c>
      <c r="H55" s="9" t="s">
        <v>227</v>
      </c>
      <c r="I55" s="10">
        <v>2</v>
      </c>
      <c r="J55" s="10">
        <v>9</v>
      </c>
      <c r="K55" s="10">
        <v>0</v>
      </c>
      <c r="L55" s="10">
        <v>2</v>
      </c>
      <c r="M55" s="10">
        <v>1</v>
      </c>
      <c r="N55" s="10">
        <v>2</v>
      </c>
      <c r="O55" s="10">
        <v>1</v>
      </c>
      <c r="P55" s="10">
        <v>10</v>
      </c>
      <c r="Q55" s="10">
        <v>1</v>
      </c>
      <c r="R55" s="10">
        <v>1</v>
      </c>
      <c r="S55" s="10">
        <v>0</v>
      </c>
      <c r="T55" s="10">
        <v>1</v>
      </c>
      <c r="U55" s="10">
        <v>0</v>
      </c>
      <c r="V55" s="10">
        <v>24</v>
      </c>
      <c r="W55" s="10">
        <v>5</v>
      </c>
      <c r="X55" s="57">
        <f t="shared" si="45"/>
        <v>11</v>
      </c>
      <c r="Y55" s="4">
        <f t="shared" si="46"/>
        <v>0.22222222222222221</v>
      </c>
      <c r="Z55" s="4">
        <f t="shared" si="35"/>
        <v>0</v>
      </c>
      <c r="AA55" s="4">
        <f t="shared" si="36"/>
        <v>0.5</v>
      </c>
      <c r="AB55" s="4">
        <f>IFERROR(tbl_główna_GRACZE[[#This Row],[2pm]]/tbl_główna_GRACZE[[#This Row],[2pa]],0)</f>
        <v>0.2857142857142857</v>
      </c>
      <c r="AC55" s="4">
        <f t="shared" si="47"/>
        <v>0.25303643724696356</v>
      </c>
      <c r="AD55" s="4">
        <f t="shared" si="48"/>
        <v>0.22222222222222221</v>
      </c>
      <c r="AE55" s="11">
        <f t="shared" si="49"/>
        <v>10</v>
      </c>
      <c r="AF55" s="4">
        <f t="shared" si="50"/>
        <v>0.22222222222222221</v>
      </c>
      <c r="AG55" s="4">
        <f t="shared" si="51"/>
        <v>0.22222222222222221</v>
      </c>
      <c r="AH5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0.14799281006590773</v>
      </c>
      <c r="AI55" s="25">
        <f>tbl_główna_GRACZE[[#This Row],[pts]]*(40/tbl_główna_GRACZE[[#This Row],[min]])</f>
        <v>8.3333333333333339</v>
      </c>
      <c r="AJ55" s="30">
        <f>tbl_główna_GRACZE[[#This Row],[reb total]]*(40/tbl_główna_GRACZE[[#This Row],[min]])</f>
        <v>18.333333333333336</v>
      </c>
      <c r="AK55" s="30">
        <f>tbl_główna_GRACZE[[#This Row],[asst]]*(40/tbl_główna_GRACZE[[#This Row],[min]])</f>
        <v>0</v>
      </c>
      <c r="AL55" s="5">
        <f t="shared" si="52"/>
        <v>0.55555555555555558</v>
      </c>
      <c r="AM55" s="5">
        <f>(tbl_główna_GRACZE[[#This Row],[stl]]+tbl_główna_GRACZE[[#This Row],[blk]])*(40/tbl_główna_GRACZE[[#This Row],[min]])</f>
        <v>3.3333333333333335</v>
      </c>
      <c r="AN5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5" s="25">
        <f>tbl_główna_GRACZE[[#This Row],[stl]]+tbl_główna_GRACZE[[#This Row],[blk]]+(tbl_główna_GRACZE[[#This Row],[dreb]]*0.5)</f>
        <v>7</v>
      </c>
      <c r="AP55" s="29">
        <f>(tbl_główna_GRACZE[[#This Row],[stl]]+tbl_główna_GRACZE[[#This Row],[blk]]+0.5*tbl_główna_GRACZE[[#This Row],[dreb]])/tbl_główna_GRACZE[[#This Row],[min]]</f>
        <v>0.29166666666666669</v>
      </c>
      <c r="AQ55" s="6">
        <f t="shared" si="53"/>
        <v>4.5</v>
      </c>
      <c r="AR55" s="6">
        <f>tbl_główna_GRACZE[[#This Row],[GmSc]]*(40/tbl_główna_GRACZE[[#This Row],[min]])</f>
        <v>7.5</v>
      </c>
      <c r="AS55" s="6">
        <f>tbl_główna_GRACZE[[#This Row],[EVAL]]*(40/tbl_główna_GRACZE[[#This Row],[min]])</f>
        <v>16.666666666666668</v>
      </c>
      <c r="AT55" s="11">
        <f>tbl_główna_GRACZE[[#This Row],[fgm]]-tbl_główna_GRACZE[[#This Row],[3pm]]</f>
        <v>2</v>
      </c>
      <c r="AU55" s="11">
        <f>tbl_główna_GRACZE[[#This Row],[fga]]-tbl_główna_GRACZE[[#This Row],[3pa]]</f>
        <v>7</v>
      </c>
      <c r="AV55">
        <f>IF(tbl_główna_GRACZE[[#This Row],[min]]&gt;0,1,0)</f>
        <v>1</v>
      </c>
      <c r="AW55" s="58" t="str">
        <f>tbl_główna_GRACZE[[#This Row],[I. Nazwisko]]</f>
        <v>F. Firas</v>
      </c>
    </row>
    <row r="56" spans="1:49" ht="14.5" customHeight="1" x14ac:dyDescent="0.35">
      <c r="A56" t="s">
        <v>19</v>
      </c>
      <c r="B56" t="s">
        <v>50</v>
      </c>
      <c r="C56" t="s">
        <v>58</v>
      </c>
      <c r="D56" t="str">
        <f>IF(C56="H",VLOOKUP($A56,tab_nazwy_zespołów[],2,0)&amp;VLOOKUP($B56,tab_nazwy_zespołów[],2,0),VLOOKUP($B56,tab_nazwy_zespołów[],2,0)&amp;VLOOKUP($A56,tab_nazwy_zespołów[],2,0))</f>
        <v>KONSTA</v>
      </c>
      <c r="E56">
        <v>2</v>
      </c>
      <c r="F56">
        <f>COUNTIF(tbl_zawodnicy_sumy[I. Nazwisko],tbl_główna_GRACZE[[#This Row],[I. Nazwisko]])</f>
        <v>1</v>
      </c>
      <c r="G56" s="58" t="str">
        <f>RIGHT(tbl_główna_GRACZE[[#This Row],[Kolumna1]],LEN(tbl_główna_GRACZE[[#This Row],[Kolumna1]])-FIND(" ",tbl_główna_GRACZE[[#This Row],[Kolumna1]]))</f>
        <v>M. Burczyński</v>
      </c>
      <c r="H56" s="9" t="s">
        <v>16</v>
      </c>
      <c r="I56" s="10">
        <v>2</v>
      </c>
      <c r="J56" s="10">
        <v>7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4</v>
      </c>
      <c r="Q56" s="10">
        <v>0</v>
      </c>
      <c r="R56" s="10">
        <v>2</v>
      </c>
      <c r="S56" s="10">
        <v>0</v>
      </c>
      <c r="T56" s="10">
        <v>0</v>
      </c>
      <c r="U56" s="10">
        <v>0</v>
      </c>
      <c r="V56" s="10">
        <v>17</v>
      </c>
      <c r="W56" s="10">
        <v>4</v>
      </c>
      <c r="X56" s="57">
        <f t="shared" si="45"/>
        <v>4</v>
      </c>
      <c r="Y56" s="4">
        <f t="shared" si="46"/>
        <v>0.2857142857142857</v>
      </c>
      <c r="Z56" s="4">
        <f t="shared" si="35"/>
        <v>0</v>
      </c>
      <c r="AA56" s="4">
        <f t="shared" si="36"/>
        <v>0</v>
      </c>
      <c r="AB56" s="4">
        <f>IFERROR(tbl_główna_GRACZE[[#This Row],[2pm]]/tbl_główna_GRACZE[[#This Row],[2pa]],0)</f>
        <v>0.2857142857142857</v>
      </c>
      <c r="AC56" s="4">
        <f t="shared" si="47"/>
        <v>0.2857142857142857</v>
      </c>
      <c r="AD56" s="4">
        <f t="shared" si="48"/>
        <v>0.2857142857142857</v>
      </c>
      <c r="AE56" s="11">
        <f t="shared" si="49"/>
        <v>5</v>
      </c>
      <c r="AF56" s="4">
        <f t="shared" si="50"/>
        <v>0</v>
      </c>
      <c r="AG56" s="4">
        <f t="shared" si="51"/>
        <v>0</v>
      </c>
      <c r="AH5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0.10485320551228279</v>
      </c>
      <c r="AI56" s="25">
        <f>tbl_główna_GRACZE[[#This Row],[pts]]*(40/tbl_główna_GRACZE[[#This Row],[min]])</f>
        <v>9.4117647058823533</v>
      </c>
      <c r="AJ56" s="30">
        <f>tbl_główna_GRACZE[[#This Row],[reb total]]*(40/tbl_główna_GRACZE[[#This Row],[min]])</f>
        <v>9.4117647058823533</v>
      </c>
      <c r="AK56" s="30">
        <f>tbl_główna_GRACZE[[#This Row],[asst]]*(40/tbl_główna_GRACZE[[#This Row],[min]])</f>
        <v>0</v>
      </c>
      <c r="AL56" s="5">
        <f t="shared" si="52"/>
        <v>0.5714285714285714</v>
      </c>
      <c r="AM56" s="5">
        <f>(tbl_główna_GRACZE[[#This Row],[stl]]+tbl_główna_GRACZE[[#This Row],[blk]])*(40/tbl_główna_GRACZE[[#This Row],[min]])</f>
        <v>4.7058823529411766</v>
      </c>
      <c r="AN5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6" s="25">
        <f>tbl_główna_GRACZE[[#This Row],[stl]]+tbl_główna_GRACZE[[#This Row],[blk]]+(tbl_główna_GRACZE[[#This Row],[dreb]]*0.5)</f>
        <v>4</v>
      </c>
      <c r="AP56" s="29">
        <f>(tbl_główna_GRACZE[[#This Row],[stl]]+tbl_główna_GRACZE[[#This Row],[blk]]+0.5*tbl_główna_GRACZE[[#This Row],[dreb]])/tbl_główna_GRACZE[[#This Row],[min]]</f>
        <v>0.23529411764705882</v>
      </c>
      <c r="AQ56" s="6">
        <f t="shared" si="53"/>
        <v>3.1000000000000005</v>
      </c>
      <c r="AR56" s="6">
        <f>tbl_główna_GRACZE[[#This Row],[GmSc]]*(40/tbl_główna_GRACZE[[#This Row],[min]])</f>
        <v>7.2941176470588251</v>
      </c>
      <c r="AS56" s="6">
        <f>tbl_główna_GRACZE[[#This Row],[EVAL]]*(40/tbl_główna_GRACZE[[#This Row],[min]])</f>
        <v>11.764705882352942</v>
      </c>
      <c r="AT56" s="11">
        <f>tbl_główna_GRACZE[[#This Row],[fgm]]-tbl_główna_GRACZE[[#This Row],[3pm]]</f>
        <v>2</v>
      </c>
      <c r="AU56" s="11">
        <f>tbl_główna_GRACZE[[#This Row],[fga]]-tbl_główna_GRACZE[[#This Row],[3pa]]</f>
        <v>7</v>
      </c>
      <c r="AV56">
        <f>IF(tbl_główna_GRACZE[[#This Row],[min]]&gt;0,1,0)</f>
        <v>1</v>
      </c>
      <c r="AW56" s="58" t="str">
        <f>tbl_główna_GRACZE[[#This Row],[I. Nazwisko]]</f>
        <v>M. Burczyński</v>
      </c>
    </row>
    <row r="57" spans="1:49" ht="14.5" customHeight="1" x14ac:dyDescent="0.35">
      <c r="A57" t="s">
        <v>19</v>
      </c>
      <c r="B57" t="s">
        <v>50</v>
      </c>
      <c r="C57" t="s">
        <v>58</v>
      </c>
      <c r="D57" t="str">
        <f>IF(C57="H",VLOOKUP($A57,tab_nazwy_zespołów[],2,0)&amp;VLOOKUP($B57,tab_nazwy_zespołów[],2,0),VLOOKUP($B57,tab_nazwy_zespołów[],2,0)&amp;VLOOKUP($A57,tab_nazwy_zespołów[],2,0))</f>
        <v>KONSTA</v>
      </c>
      <c r="E57">
        <v>2</v>
      </c>
      <c r="F57">
        <f>COUNTIF(tbl_zawodnicy_sumy[I. Nazwisko],tbl_główna_GRACZE[[#This Row],[I. Nazwisko]])</f>
        <v>1</v>
      </c>
      <c r="G57" s="58" t="str">
        <f>RIGHT(tbl_główna_GRACZE[[#This Row],[Kolumna1]],LEN(tbl_główna_GRACZE[[#This Row],[Kolumna1]])-FIND(" ",tbl_główna_GRACZE[[#This Row],[Kolumna1]]))</f>
        <v>R. Kielczyk</v>
      </c>
      <c r="H57" s="9" t="s">
        <v>17</v>
      </c>
      <c r="I57" s="10">
        <v>2</v>
      </c>
      <c r="J57" s="10">
        <v>7</v>
      </c>
      <c r="K57" s="10">
        <v>0</v>
      </c>
      <c r="L57" s="10">
        <v>2</v>
      </c>
      <c r="M57" s="10">
        <v>0</v>
      </c>
      <c r="N57" s="10">
        <v>0</v>
      </c>
      <c r="O57" s="10">
        <v>2</v>
      </c>
      <c r="P57" s="10">
        <v>1</v>
      </c>
      <c r="Q57" s="10">
        <v>0</v>
      </c>
      <c r="R57" s="10">
        <v>3</v>
      </c>
      <c r="S57" s="10">
        <v>0</v>
      </c>
      <c r="T57" s="10">
        <v>0</v>
      </c>
      <c r="U57" s="10">
        <v>0</v>
      </c>
      <c r="V57" s="10">
        <v>19</v>
      </c>
      <c r="W57" s="10">
        <v>4</v>
      </c>
      <c r="X57" s="57">
        <f t="shared" si="45"/>
        <v>3</v>
      </c>
      <c r="Y57" s="4">
        <f t="shared" si="46"/>
        <v>0.2857142857142857</v>
      </c>
      <c r="Z57" s="4">
        <f t="shared" si="35"/>
        <v>0</v>
      </c>
      <c r="AA57" s="4">
        <f t="shared" si="36"/>
        <v>0</v>
      </c>
      <c r="AB57" s="4">
        <f>IFERROR(tbl_główna_GRACZE[[#This Row],[2pm]]/tbl_główna_GRACZE[[#This Row],[2pa]],0)</f>
        <v>0.4</v>
      </c>
      <c r="AC57" s="4">
        <f t="shared" si="47"/>
        <v>0.2857142857142857</v>
      </c>
      <c r="AD57" s="4">
        <f t="shared" si="48"/>
        <v>0.2857142857142857</v>
      </c>
      <c r="AE57" s="11">
        <f t="shared" si="49"/>
        <v>5</v>
      </c>
      <c r="AF57" s="4">
        <f t="shared" si="50"/>
        <v>0</v>
      </c>
      <c r="AG57" s="4">
        <f t="shared" si="51"/>
        <v>0.2857142857142857</v>
      </c>
      <c r="AH5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0.10485320551228279</v>
      </c>
      <c r="AI57" s="25">
        <f>tbl_główna_GRACZE[[#This Row],[pts]]*(40/tbl_główna_GRACZE[[#This Row],[min]])</f>
        <v>8.4210526315789469</v>
      </c>
      <c r="AJ57" s="30">
        <f>tbl_główna_GRACZE[[#This Row],[reb total]]*(40/tbl_główna_GRACZE[[#This Row],[min]])</f>
        <v>6.3157894736842106</v>
      </c>
      <c r="AK57" s="30">
        <f>tbl_główna_GRACZE[[#This Row],[asst]]*(40/tbl_główna_GRACZE[[#This Row],[min]])</f>
        <v>0</v>
      </c>
      <c r="AL57" s="5">
        <f t="shared" si="52"/>
        <v>0.5714285714285714</v>
      </c>
      <c r="AM57" s="5">
        <f>(tbl_główna_GRACZE[[#This Row],[stl]]+tbl_główna_GRACZE[[#This Row],[blk]])*(40/tbl_główna_GRACZE[[#This Row],[min]])</f>
        <v>6.3157894736842106</v>
      </c>
      <c r="AN5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57" s="25">
        <f>tbl_główna_GRACZE[[#This Row],[stl]]+tbl_główna_GRACZE[[#This Row],[blk]]+(tbl_główna_GRACZE[[#This Row],[dreb]]*0.5)</f>
        <v>3.5</v>
      </c>
      <c r="AP57" s="29">
        <f>(tbl_główna_GRACZE[[#This Row],[stl]]+tbl_główna_GRACZE[[#This Row],[blk]]+0.5*tbl_główna_GRACZE[[#This Row],[dreb]])/tbl_główna_GRACZE[[#This Row],[min]]</f>
        <v>0.18421052631578946</v>
      </c>
      <c r="AQ57" s="6">
        <f t="shared" si="53"/>
        <v>4.6000000000000005</v>
      </c>
      <c r="AR57" s="6">
        <f>tbl_główna_GRACZE[[#This Row],[GmSc]]*(40/tbl_główna_GRACZE[[#This Row],[min]])</f>
        <v>9.6842105263157894</v>
      </c>
      <c r="AS57" s="6">
        <f>tbl_główna_GRACZE[[#This Row],[EVAL]]*(40/tbl_główna_GRACZE[[#This Row],[min]])</f>
        <v>10.526315789473683</v>
      </c>
      <c r="AT57" s="11">
        <f>tbl_główna_GRACZE[[#This Row],[fgm]]-tbl_główna_GRACZE[[#This Row],[3pm]]</f>
        <v>2</v>
      </c>
      <c r="AU57" s="11">
        <f>tbl_główna_GRACZE[[#This Row],[fga]]-tbl_główna_GRACZE[[#This Row],[3pa]]</f>
        <v>5</v>
      </c>
      <c r="AV57">
        <f>IF(tbl_główna_GRACZE[[#This Row],[min]]&gt;0,1,0)</f>
        <v>1</v>
      </c>
      <c r="AW57" s="58" t="str">
        <f>tbl_główna_GRACZE[[#This Row],[I. Nazwisko]]</f>
        <v>R. Kielczyk</v>
      </c>
    </row>
    <row r="58" spans="1:49" ht="14.5" customHeight="1" x14ac:dyDescent="0.35">
      <c r="A58" t="s">
        <v>19</v>
      </c>
      <c r="B58" t="s">
        <v>50</v>
      </c>
      <c r="C58" t="s">
        <v>58</v>
      </c>
      <c r="D58" t="str">
        <f>IF(C58="H",VLOOKUP($A58,tab_nazwy_zespołów[],2,0)&amp;VLOOKUP($B58,tab_nazwy_zespołów[],2,0),VLOOKUP($B58,tab_nazwy_zespołów[],2,0)&amp;VLOOKUP($A58,tab_nazwy_zespołów[],2,0))</f>
        <v>KONSTA</v>
      </c>
      <c r="E58">
        <v>2</v>
      </c>
      <c r="F58">
        <f>COUNTIF(tbl_zawodnicy_sumy[I. Nazwisko],tbl_główna_GRACZE[[#This Row],[I. Nazwisko]])</f>
        <v>1</v>
      </c>
      <c r="G58" s="58" t="str">
        <f>RIGHT(tbl_główna_GRACZE[[#This Row],[Kolumna1]],LEN(tbl_główna_GRACZE[[#This Row],[Kolumna1]])-FIND(" ",tbl_główna_GRACZE[[#This Row],[Kolumna1]]))</f>
        <v>S. Mrożek</v>
      </c>
      <c r="H58" s="9" t="s">
        <v>15</v>
      </c>
      <c r="I58" s="10">
        <v>1</v>
      </c>
      <c r="J58" s="10">
        <v>2</v>
      </c>
      <c r="K58" s="10">
        <v>1</v>
      </c>
      <c r="L58" s="10">
        <v>2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12</v>
      </c>
      <c r="W58" s="10">
        <v>3</v>
      </c>
      <c r="X58" s="57">
        <f t="shared" si="45"/>
        <v>0</v>
      </c>
      <c r="Y58" s="4">
        <f t="shared" si="46"/>
        <v>0.5</v>
      </c>
      <c r="Z58" s="4">
        <f t="shared" si="35"/>
        <v>0.5</v>
      </c>
      <c r="AA58" s="4">
        <f t="shared" si="36"/>
        <v>0</v>
      </c>
      <c r="AB58" s="4">
        <f>IFERROR(tbl_główna_GRACZE[[#This Row],[2pm]]/tbl_główna_GRACZE[[#This Row],[2pa]],0)</f>
        <v>0</v>
      </c>
      <c r="AC58" s="4">
        <f t="shared" si="47"/>
        <v>0.75</v>
      </c>
      <c r="AD58" s="4">
        <f t="shared" si="48"/>
        <v>0.75</v>
      </c>
      <c r="AE58" s="11">
        <f t="shared" si="49"/>
        <v>2</v>
      </c>
      <c r="AF58" s="4">
        <f t="shared" si="50"/>
        <v>0</v>
      </c>
      <c r="AG58" s="4">
        <f t="shared" si="51"/>
        <v>1</v>
      </c>
      <c r="AH5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2.9958058717795083E-2</v>
      </c>
      <c r="AI58" s="25">
        <f>tbl_główna_GRACZE[[#This Row],[pts]]*(40/tbl_główna_GRACZE[[#This Row],[min]])</f>
        <v>10</v>
      </c>
      <c r="AJ58" s="30">
        <f>tbl_główna_GRACZE[[#This Row],[reb total]]*(40/tbl_główna_GRACZE[[#This Row],[min]])</f>
        <v>0</v>
      </c>
      <c r="AK58" s="30">
        <f>tbl_główna_GRACZE[[#This Row],[asst]]*(40/tbl_główna_GRACZE[[#This Row],[min]])</f>
        <v>0</v>
      </c>
      <c r="AL58" s="5">
        <f t="shared" si="52"/>
        <v>1.5</v>
      </c>
      <c r="AM58" s="5">
        <f>(tbl_główna_GRACZE[[#This Row],[stl]]+tbl_główna_GRACZE[[#This Row],[blk]])*(40/tbl_główna_GRACZE[[#This Row],[min]])</f>
        <v>0</v>
      </c>
      <c r="AN5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58" s="25">
        <f>tbl_główna_GRACZE[[#This Row],[stl]]+tbl_główna_GRACZE[[#This Row],[blk]]+(tbl_główna_GRACZE[[#This Row],[dreb]]*0.5)</f>
        <v>0</v>
      </c>
      <c r="AP58" s="29">
        <f>(tbl_główna_GRACZE[[#This Row],[stl]]+tbl_główna_GRACZE[[#This Row],[blk]]+0.5*tbl_główna_GRACZE[[#This Row],[dreb]])/tbl_główna_GRACZE[[#This Row],[min]]</f>
        <v>0</v>
      </c>
      <c r="AQ58" s="6">
        <f t="shared" si="53"/>
        <v>2</v>
      </c>
      <c r="AR58" s="6">
        <f>tbl_główna_GRACZE[[#This Row],[GmSc]]*(40/tbl_główna_GRACZE[[#This Row],[min]])</f>
        <v>6.666666666666667</v>
      </c>
      <c r="AS58" s="6">
        <f>tbl_główna_GRACZE[[#This Row],[EVAL]]*(40/tbl_główna_GRACZE[[#This Row],[min]])</f>
        <v>6.666666666666667</v>
      </c>
      <c r="AT58" s="11">
        <f>tbl_główna_GRACZE[[#This Row],[fgm]]-tbl_główna_GRACZE[[#This Row],[3pm]]</f>
        <v>0</v>
      </c>
      <c r="AU58" s="11">
        <f>tbl_główna_GRACZE[[#This Row],[fga]]-tbl_główna_GRACZE[[#This Row],[3pa]]</f>
        <v>0</v>
      </c>
      <c r="AV58">
        <f>IF(tbl_główna_GRACZE[[#This Row],[min]]&gt;0,1,0)</f>
        <v>1</v>
      </c>
      <c r="AW58" s="58" t="str">
        <f>tbl_główna_GRACZE[[#This Row],[I. Nazwisko]]</f>
        <v>S. Mrożek</v>
      </c>
    </row>
    <row r="59" spans="1:49" ht="14.5" customHeight="1" x14ac:dyDescent="0.35">
      <c r="A59" t="s">
        <v>19</v>
      </c>
      <c r="B59" t="s">
        <v>50</v>
      </c>
      <c r="C59" t="s">
        <v>58</v>
      </c>
      <c r="D59" t="str">
        <f>IF(C59="H",VLOOKUP($A59,tab_nazwy_zespołów[],2,0)&amp;VLOOKUP($B59,tab_nazwy_zespołów[],2,0),VLOOKUP($B59,tab_nazwy_zespołów[],2,0)&amp;VLOOKUP($A59,tab_nazwy_zespołów[],2,0))</f>
        <v>KONSTA</v>
      </c>
      <c r="E59">
        <v>2</v>
      </c>
      <c r="F59">
        <f>COUNTIF(tbl_zawodnicy_sumy[I. Nazwisko],tbl_główna_GRACZE[[#This Row],[I. Nazwisko]])</f>
        <v>1</v>
      </c>
      <c r="G59" s="58" t="str">
        <f>RIGHT(tbl_główna_GRACZE[[#This Row],[Kolumna1]],LEN(tbl_główna_GRACZE[[#This Row],[Kolumna1]])-FIND(" ",tbl_główna_GRACZE[[#This Row],[Kolumna1]]))</f>
        <v>J. Olszewski</v>
      </c>
      <c r="H59" s="9" t="s">
        <v>14</v>
      </c>
      <c r="I59" s="10">
        <v>1</v>
      </c>
      <c r="J59" s="10">
        <v>8</v>
      </c>
      <c r="K59" s="10">
        <v>0</v>
      </c>
      <c r="L59" s="10">
        <v>3</v>
      </c>
      <c r="M59" s="10">
        <v>0</v>
      </c>
      <c r="N59" s="10">
        <v>1</v>
      </c>
      <c r="O59" s="10">
        <v>0</v>
      </c>
      <c r="P59" s="10">
        <v>0</v>
      </c>
      <c r="Q59" s="10">
        <v>1</v>
      </c>
      <c r="R59" s="10">
        <v>1</v>
      </c>
      <c r="S59" s="10">
        <v>0</v>
      </c>
      <c r="T59" s="10">
        <v>0</v>
      </c>
      <c r="U59" s="10">
        <v>4</v>
      </c>
      <c r="V59" s="10">
        <v>25</v>
      </c>
      <c r="W59" s="10">
        <v>2</v>
      </c>
      <c r="X59" s="57">
        <f t="shared" si="45"/>
        <v>0</v>
      </c>
      <c r="Y59" s="4">
        <f t="shared" si="46"/>
        <v>0.125</v>
      </c>
      <c r="Z59" s="4">
        <f t="shared" si="35"/>
        <v>0</v>
      </c>
      <c r="AA59" s="4">
        <f t="shared" si="36"/>
        <v>0</v>
      </c>
      <c r="AB59" s="4">
        <f>IFERROR(tbl_główna_GRACZE[[#This Row],[2pm]]/tbl_główna_GRACZE[[#This Row],[2pa]],0)</f>
        <v>0.2</v>
      </c>
      <c r="AC59" s="4">
        <f t="shared" si="47"/>
        <v>0.11848341232227488</v>
      </c>
      <c r="AD59" s="4">
        <f t="shared" si="48"/>
        <v>0.125</v>
      </c>
      <c r="AE59" s="11">
        <f t="shared" si="49"/>
        <v>-1</v>
      </c>
      <c r="AF59" s="4">
        <f t="shared" si="50"/>
        <v>0.125</v>
      </c>
      <c r="AG59" s="4">
        <f t="shared" si="51"/>
        <v>0.375</v>
      </c>
      <c r="AH5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0.12642300778909524</v>
      </c>
      <c r="AI59" s="25">
        <f>tbl_główna_GRACZE[[#This Row],[pts]]*(40/tbl_główna_GRACZE[[#This Row],[min]])</f>
        <v>3.2</v>
      </c>
      <c r="AJ59" s="30">
        <f>tbl_główna_GRACZE[[#This Row],[reb total]]*(40/tbl_główna_GRACZE[[#This Row],[min]])</f>
        <v>0</v>
      </c>
      <c r="AK59" s="30">
        <f>tbl_główna_GRACZE[[#This Row],[asst]]*(40/tbl_główna_GRACZE[[#This Row],[min]])</f>
        <v>6.4</v>
      </c>
      <c r="AL59" s="5">
        <f t="shared" si="52"/>
        <v>0.25</v>
      </c>
      <c r="AM59" s="5">
        <f>(tbl_główna_GRACZE[[#This Row],[stl]]+tbl_główna_GRACZE[[#This Row],[blk]])*(40/tbl_główna_GRACZE[[#This Row],[min]])</f>
        <v>1.6</v>
      </c>
      <c r="AN5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59" s="25">
        <f>tbl_główna_GRACZE[[#This Row],[stl]]+tbl_główna_GRACZE[[#This Row],[blk]]+(tbl_główna_GRACZE[[#This Row],[dreb]]*0.5)</f>
        <v>1</v>
      </c>
      <c r="AP59" s="29">
        <f>(tbl_główna_GRACZE[[#This Row],[stl]]+tbl_główna_GRACZE[[#This Row],[blk]]+0.5*tbl_główna_GRACZE[[#This Row],[dreb]])/tbl_główna_GRACZE[[#This Row],[min]]</f>
        <v>0.04</v>
      </c>
      <c r="AQ59" s="6">
        <f t="shared" si="53"/>
        <v>0.20000000000000018</v>
      </c>
      <c r="AR59" s="6">
        <f>tbl_główna_GRACZE[[#This Row],[GmSc]]*(40/tbl_główna_GRACZE[[#This Row],[min]])</f>
        <v>0.32000000000000028</v>
      </c>
      <c r="AS59" s="6">
        <f>tbl_główna_GRACZE[[#This Row],[EVAL]]*(40/tbl_główna_GRACZE[[#This Row],[min]])</f>
        <v>-1.6</v>
      </c>
      <c r="AT59" s="11">
        <f>tbl_główna_GRACZE[[#This Row],[fgm]]-tbl_główna_GRACZE[[#This Row],[3pm]]</f>
        <v>1</v>
      </c>
      <c r="AU59" s="11">
        <f>tbl_główna_GRACZE[[#This Row],[fga]]-tbl_główna_GRACZE[[#This Row],[3pa]]</f>
        <v>5</v>
      </c>
      <c r="AV59">
        <f>IF(tbl_główna_GRACZE[[#This Row],[min]]&gt;0,1,0)</f>
        <v>1</v>
      </c>
      <c r="AW59" s="58" t="str">
        <f>tbl_główna_GRACZE[[#This Row],[I. Nazwisko]]</f>
        <v>J. Olszewski</v>
      </c>
    </row>
    <row r="60" spans="1:49" ht="14.5" customHeight="1" x14ac:dyDescent="0.35">
      <c r="A60" t="s">
        <v>19</v>
      </c>
      <c r="B60" t="s">
        <v>50</v>
      </c>
      <c r="C60" t="s">
        <v>58</v>
      </c>
      <c r="D60" t="str">
        <f>IF(C60="H",VLOOKUP($A60,tab_nazwy_zespołów[],2,0)&amp;VLOOKUP($B60,tab_nazwy_zespołów[],2,0),VLOOKUP($B60,tab_nazwy_zespołów[],2,0)&amp;VLOOKUP($A60,tab_nazwy_zespołów[],2,0))</f>
        <v>KONSTA</v>
      </c>
      <c r="E60">
        <v>2</v>
      </c>
      <c r="F60">
        <f>COUNTIF(tbl_zawodnicy_sumy[I. Nazwisko],tbl_główna_GRACZE[[#This Row],[I. Nazwisko]])</f>
        <v>1</v>
      </c>
      <c r="G60" s="58" t="str">
        <f>RIGHT(tbl_główna_GRACZE[[#This Row],[Kolumna1]],LEN(tbl_główna_GRACZE[[#This Row],[Kolumna1]])-FIND(" ",tbl_główna_GRACZE[[#This Row],[Kolumna1]]))</f>
        <v>T. Kowalczyk</v>
      </c>
      <c r="H60" s="9" t="s">
        <v>18</v>
      </c>
      <c r="I60" s="10">
        <v>1</v>
      </c>
      <c r="J60" s="10">
        <v>2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2</v>
      </c>
      <c r="Q60" s="10">
        <v>1</v>
      </c>
      <c r="R60" s="10">
        <v>0</v>
      </c>
      <c r="S60" s="10">
        <v>0</v>
      </c>
      <c r="T60" s="10">
        <v>0</v>
      </c>
      <c r="U60" s="10">
        <v>1</v>
      </c>
      <c r="V60" s="10">
        <v>13</v>
      </c>
      <c r="W60" s="10">
        <v>2</v>
      </c>
      <c r="X60" s="57">
        <f t="shared" si="45"/>
        <v>2</v>
      </c>
      <c r="Y60" s="4">
        <f t="shared" si="46"/>
        <v>0.5</v>
      </c>
      <c r="Z60" s="4">
        <f t="shared" si="35"/>
        <v>0</v>
      </c>
      <c r="AA60" s="4">
        <f t="shared" si="36"/>
        <v>0</v>
      </c>
      <c r="AB60" s="4">
        <f>IFERROR(tbl_główna_GRACZE[[#This Row],[2pm]]/tbl_główna_GRACZE[[#This Row],[2pa]],0)</f>
        <v>0.5</v>
      </c>
      <c r="AC60" s="4">
        <f t="shared" si="47"/>
        <v>0.5</v>
      </c>
      <c r="AD60" s="4">
        <f t="shared" si="48"/>
        <v>0.5</v>
      </c>
      <c r="AE60" s="11">
        <f t="shared" si="49"/>
        <v>4</v>
      </c>
      <c r="AF60" s="4">
        <f t="shared" si="50"/>
        <v>0</v>
      </c>
      <c r="AG60" s="4">
        <f t="shared" si="51"/>
        <v>0</v>
      </c>
      <c r="AH6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2.9958058717795083E-2</v>
      </c>
      <c r="AI60" s="25">
        <f>tbl_główna_GRACZE[[#This Row],[pts]]*(40/tbl_główna_GRACZE[[#This Row],[min]])</f>
        <v>6.1538461538461542</v>
      </c>
      <c r="AJ60" s="30">
        <f>tbl_główna_GRACZE[[#This Row],[reb total]]*(40/tbl_główna_GRACZE[[#This Row],[min]])</f>
        <v>6.1538461538461542</v>
      </c>
      <c r="AK60" s="30">
        <f>tbl_główna_GRACZE[[#This Row],[asst]]*(40/tbl_główna_GRACZE[[#This Row],[min]])</f>
        <v>3.0769230769230771</v>
      </c>
      <c r="AL60" s="5">
        <f t="shared" si="52"/>
        <v>1</v>
      </c>
      <c r="AM60" s="5">
        <f>(tbl_główna_GRACZE[[#This Row],[stl]]+tbl_główna_GRACZE[[#This Row],[blk]])*(40/tbl_główna_GRACZE[[#This Row],[min]])</f>
        <v>0</v>
      </c>
      <c r="AN6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0" s="25">
        <f>tbl_główna_GRACZE[[#This Row],[stl]]+tbl_główna_GRACZE[[#This Row],[blk]]+(tbl_główna_GRACZE[[#This Row],[dreb]]*0.5)</f>
        <v>1</v>
      </c>
      <c r="AP60" s="29">
        <f>(tbl_główna_GRACZE[[#This Row],[stl]]+tbl_główna_GRACZE[[#This Row],[blk]]+0.5*tbl_główna_GRACZE[[#This Row],[dreb]])/tbl_główna_GRACZE[[#This Row],[min]]</f>
        <v>7.6923076923076927E-2</v>
      </c>
      <c r="AQ60" s="6">
        <f t="shared" si="53"/>
        <v>2.2999999999999998</v>
      </c>
      <c r="AR60" s="6">
        <f>tbl_główna_GRACZE[[#This Row],[GmSc]]*(40/tbl_główna_GRACZE[[#This Row],[min]])</f>
        <v>7.0769230769230766</v>
      </c>
      <c r="AS60" s="6">
        <f>tbl_główna_GRACZE[[#This Row],[EVAL]]*(40/tbl_główna_GRACZE[[#This Row],[min]])</f>
        <v>12.307692307692308</v>
      </c>
      <c r="AT60" s="11">
        <f>tbl_główna_GRACZE[[#This Row],[fgm]]-tbl_główna_GRACZE[[#This Row],[3pm]]</f>
        <v>1</v>
      </c>
      <c r="AU60" s="11">
        <f>tbl_główna_GRACZE[[#This Row],[fga]]-tbl_główna_GRACZE[[#This Row],[3pa]]</f>
        <v>2</v>
      </c>
      <c r="AV60">
        <f>IF(tbl_główna_GRACZE[[#This Row],[min]]&gt;0,1,0)</f>
        <v>1</v>
      </c>
      <c r="AW60" s="58" t="str">
        <f>tbl_główna_GRACZE[[#This Row],[I. Nazwisko]]</f>
        <v>T. Kowalczyk</v>
      </c>
    </row>
    <row r="61" spans="1:49" ht="14.5" customHeight="1" x14ac:dyDescent="0.35">
      <c r="A61" t="s">
        <v>19</v>
      </c>
      <c r="B61" t="s">
        <v>50</v>
      </c>
      <c r="C61" t="s">
        <v>58</v>
      </c>
      <c r="D61" t="str">
        <f>IF(C61="H",VLOOKUP($A61,tab_nazwy_zespołów[],2,0)&amp;VLOOKUP($B61,tab_nazwy_zespołów[],2,0),VLOOKUP($B61,tab_nazwy_zespołów[],2,0)&amp;VLOOKUP($A61,tab_nazwy_zespołów[],2,0))</f>
        <v>KONSTA</v>
      </c>
      <c r="E61">
        <v>2</v>
      </c>
      <c r="F61">
        <f>COUNTIF(tbl_zawodnicy_sumy[I. Nazwisko],tbl_główna_GRACZE[[#This Row],[I. Nazwisko]])</f>
        <v>1</v>
      </c>
      <c r="G61" s="58" t="str">
        <f>RIGHT(tbl_główna_GRACZE[[#This Row],[Kolumna1]],LEN(tbl_główna_GRACZE[[#This Row],[Kolumna1]])-FIND(" ",tbl_główna_GRACZE[[#This Row],[Kolumna1]]))</f>
        <v>P. Roguski</v>
      </c>
      <c r="H61" s="9" t="s">
        <v>412</v>
      </c>
      <c r="I61" s="10">
        <v>0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5</v>
      </c>
      <c r="Q61" s="10">
        <v>0</v>
      </c>
      <c r="R61" s="10">
        <v>0</v>
      </c>
      <c r="S61" s="10">
        <v>0</v>
      </c>
      <c r="T61" s="10">
        <v>1</v>
      </c>
      <c r="U61" s="10">
        <v>3</v>
      </c>
      <c r="V61" s="10">
        <v>13</v>
      </c>
      <c r="W61" s="10">
        <v>0</v>
      </c>
      <c r="X61" s="57">
        <f t="shared" si="45"/>
        <v>6</v>
      </c>
      <c r="Y61" s="4">
        <f t="shared" si="46"/>
        <v>0</v>
      </c>
      <c r="Z61" s="4">
        <f t="shared" si="35"/>
        <v>0</v>
      </c>
      <c r="AA61" s="4">
        <f t="shared" si="36"/>
        <v>0</v>
      </c>
      <c r="AB61" s="4">
        <f>IFERROR(tbl_główna_GRACZE[[#This Row],[2pm]]/tbl_główna_GRACZE[[#This Row],[2pa]],0)</f>
        <v>0</v>
      </c>
      <c r="AC61" s="4">
        <f t="shared" si="47"/>
        <v>0</v>
      </c>
      <c r="AD61" s="4">
        <f t="shared" si="48"/>
        <v>0</v>
      </c>
      <c r="AE61" s="11">
        <f t="shared" si="49"/>
        <v>9</v>
      </c>
      <c r="AF61" s="4">
        <f t="shared" si="50"/>
        <v>0</v>
      </c>
      <c r="AG61" s="4">
        <f t="shared" si="51"/>
        <v>0</v>
      </c>
      <c r="AH6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1.4979029358897542E-2</v>
      </c>
      <c r="AI61" s="25">
        <f>tbl_główna_GRACZE[[#This Row],[pts]]*(40/tbl_główna_GRACZE[[#This Row],[min]])</f>
        <v>0</v>
      </c>
      <c r="AJ61" s="30">
        <f>tbl_główna_GRACZE[[#This Row],[reb total]]*(40/tbl_główna_GRACZE[[#This Row],[min]])</f>
        <v>18.461538461538463</v>
      </c>
      <c r="AK61" s="30">
        <f>tbl_główna_GRACZE[[#This Row],[asst]]*(40/tbl_główna_GRACZE[[#This Row],[min]])</f>
        <v>9.2307692307692317</v>
      </c>
      <c r="AL61" s="5">
        <f t="shared" si="52"/>
        <v>0</v>
      </c>
      <c r="AM61" s="5">
        <f>(tbl_główna_GRACZE[[#This Row],[stl]]+tbl_główna_GRACZE[[#This Row],[blk]])*(40/tbl_główna_GRACZE[[#This Row],[min]])</f>
        <v>3.0769230769230771</v>
      </c>
      <c r="AN6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61" s="25">
        <f>tbl_główna_GRACZE[[#This Row],[stl]]+tbl_główna_GRACZE[[#This Row],[blk]]+(tbl_główna_GRACZE[[#This Row],[dreb]]*0.5)</f>
        <v>3.5</v>
      </c>
      <c r="AP61" s="29">
        <f>(tbl_główna_GRACZE[[#This Row],[stl]]+tbl_główna_GRACZE[[#This Row],[blk]]+0.5*tbl_główna_GRACZE[[#This Row],[dreb]])/tbl_główna_GRACZE[[#This Row],[min]]</f>
        <v>0.26923076923076922</v>
      </c>
      <c r="AQ61" s="6">
        <f t="shared" si="53"/>
        <v>4.3</v>
      </c>
      <c r="AR61" s="6">
        <f>tbl_główna_GRACZE[[#This Row],[GmSc]]*(40/tbl_główna_GRACZE[[#This Row],[min]])</f>
        <v>13.230769230769232</v>
      </c>
      <c r="AS61" s="6">
        <f>tbl_główna_GRACZE[[#This Row],[EVAL]]*(40/tbl_główna_GRACZE[[#This Row],[min]])</f>
        <v>27.692307692307693</v>
      </c>
      <c r="AT61" s="11">
        <f>tbl_główna_GRACZE[[#This Row],[fgm]]-tbl_główna_GRACZE[[#This Row],[3pm]]</f>
        <v>0</v>
      </c>
      <c r="AU61" s="11">
        <f>tbl_główna_GRACZE[[#This Row],[fga]]-tbl_główna_GRACZE[[#This Row],[3pa]]</f>
        <v>1</v>
      </c>
      <c r="AV61">
        <f>IF(tbl_główna_GRACZE[[#This Row],[min]]&gt;0,1,0)</f>
        <v>1</v>
      </c>
      <c r="AW61" s="58" t="str">
        <f>tbl_główna_GRACZE[[#This Row],[I. Nazwisko]]</f>
        <v>P. Roguski</v>
      </c>
    </row>
    <row r="62" spans="1:49" x14ac:dyDescent="0.35">
      <c r="A62" t="s">
        <v>50</v>
      </c>
      <c r="B62" t="s">
        <v>19</v>
      </c>
      <c r="C62" t="s">
        <v>57</v>
      </c>
      <c r="D62" t="str">
        <f>IF(C62="H",VLOOKUP($A62,tab_nazwy_zespołów[],2,0)&amp;VLOOKUP($B62,tab_nazwy_zespołów[],2,0),VLOOKUP($B62,tab_nazwy_zespołów[],2,0)&amp;VLOOKUP($A62,tab_nazwy_zespołów[],2,0))</f>
        <v>KONSTA</v>
      </c>
      <c r="E62">
        <v>2</v>
      </c>
      <c r="F62">
        <f>COUNTIF(tbl_zawodnicy_sumy[I. Nazwisko],tbl_główna_GRACZE[[#This Row],[I. Nazwisko]])</f>
        <v>1</v>
      </c>
      <c r="G62" s="58" t="str">
        <f>RIGHT(tbl_główna_GRACZE[[#This Row],[Kolumna1]],LEN(tbl_główna_GRACZE[[#This Row],[Kolumna1]])-FIND(" ",tbl_główna_GRACZE[[#This Row],[Kolumna1]]))</f>
        <v>D. Hentosz</v>
      </c>
      <c r="H62" s="10" t="s">
        <v>84</v>
      </c>
      <c r="I62" s="10">
        <v>8</v>
      </c>
      <c r="J62" s="10">
        <v>21</v>
      </c>
      <c r="K62" s="10">
        <v>4</v>
      </c>
      <c r="L62" s="10">
        <v>15</v>
      </c>
      <c r="M62" s="10">
        <v>5</v>
      </c>
      <c r="N62" s="10">
        <v>10</v>
      </c>
      <c r="O62" s="10">
        <v>1</v>
      </c>
      <c r="P62" s="10">
        <v>8</v>
      </c>
      <c r="Q62" s="10">
        <v>1</v>
      </c>
      <c r="R62" s="10">
        <v>2</v>
      </c>
      <c r="S62" s="10">
        <v>0</v>
      </c>
      <c r="T62" s="10">
        <v>0</v>
      </c>
      <c r="U62" s="10">
        <v>2</v>
      </c>
      <c r="V62" s="10">
        <v>39</v>
      </c>
      <c r="W62" s="10">
        <v>25</v>
      </c>
      <c r="X62" s="57">
        <f>O62+P62</f>
        <v>9</v>
      </c>
      <c r="Y62" s="4">
        <f>I62/J62</f>
        <v>0.38095238095238093</v>
      </c>
      <c r="Z62" s="4">
        <f>IFERROR(K62/L62,0)</f>
        <v>0.26666666666666666</v>
      </c>
      <c r="AA62" s="4">
        <f>IFERROR(M62/N62,0)</f>
        <v>0.5</v>
      </c>
      <c r="AB62" s="4">
        <f>IFERROR(tbl_główna_GRACZE[[#This Row],[2pm]]/tbl_główna_GRACZE[[#This Row],[2pa]],0)</f>
        <v>0.66666666666666663</v>
      </c>
      <c r="AC62" s="4">
        <f>W62/(2*(J62+0.44*N62))</f>
        <v>0.49212598425196852</v>
      </c>
      <c r="AD62" s="4">
        <f>(I62+0.5*K62)/J62</f>
        <v>0.47619047619047616</v>
      </c>
      <c r="AE62" s="11">
        <f>R62+T62+U62+W62+X62-(J62-I62)-(N62-M62)</f>
        <v>20</v>
      </c>
      <c r="AF62" s="4">
        <f>N62/J62</f>
        <v>0.47619047619047616</v>
      </c>
      <c r="AG62" s="4">
        <f>L62/J62</f>
        <v>0.7142857142857143</v>
      </c>
      <c r="AH6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0.35199556541019955</v>
      </c>
      <c r="AI62" s="25">
        <f>tbl_główna_GRACZE[[#This Row],[pts]]*(40/tbl_główna_GRACZE[[#This Row],[min]])</f>
        <v>25.641025641025639</v>
      </c>
      <c r="AJ62" s="30">
        <f>tbl_główna_GRACZE[[#This Row],[reb total]]*(40/tbl_główna_GRACZE[[#This Row],[min]])</f>
        <v>9.2307692307692299</v>
      </c>
      <c r="AK62" s="30">
        <f>tbl_główna_GRACZE[[#This Row],[asst]]*(40/tbl_główna_GRACZE[[#This Row],[min]])</f>
        <v>2.0512820512820511</v>
      </c>
      <c r="AL62" s="5">
        <f>W62/J62</f>
        <v>1.1904761904761905</v>
      </c>
      <c r="AM62" s="5">
        <f>(tbl_główna_GRACZE[[#This Row],[stl]]+tbl_główna_GRACZE[[#This Row],[blk]])*(40/tbl_główna_GRACZE[[#This Row],[min]])</f>
        <v>2.0512820512820511</v>
      </c>
      <c r="AN6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2" s="25">
        <f>tbl_główna_GRACZE[[#This Row],[stl]]+tbl_główna_GRACZE[[#This Row],[blk]]+(tbl_główna_GRACZE[[#This Row],[dreb]]*0.5)</f>
        <v>6</v>
      </c>
      <c r="AP62" s="29">
        <f>(tbl_główna_GRACZE[[#This Row],[stl]]+tbl_główna_GRACZE[[#This Row],[blk]]+0.5*tbl_główna_GRACZE[[#This Row],[dreb]])/tbl_główna_GRACZE[[#This Row],[min]]</f>
        <v>0.15384615384615385</v>
      </c>
      <c r="AQ62" s="6">
        <f>W62+0.4*I62-0.7*J62-0.4*(N62-M62)+0.7*O62+0.3*P62+R62+0.7*U62+0.7*T62</f>
        <v>18</v>
      </c>
      <c r="AR62" s="6">
        <f>tbl_główna_GRACZE[[#This Row],[GmSc]]*(40/tbl_główna_GRACZE[[#This Row],[min]])</f>
        <v>18.46153846153846</v>
      </c>
      <c r="AS62" s="6">
        <f>tbl_główna_GRACZE[[#This Row],[EVAL]]*(40/tbl_główna_GRACZE[[#This Row],[min]])</f>
        <v>20.512820512820511</v>
      </c>
      <c r="AT62" s="11">
        <f>tbl_główna_GRACZE[[#This Row],[fgm]]-tbl_główna_GRACZE[[#This Row],[3pm]]</f>
        <v>4</v>
      </c>
      <c r="AU62" s="11">
        <f>tbl_główna_GRACZE[[#This Row],[fga]]-tbl_główna_GRACZE[[#This Row],[3pa]]</f>
        <v>6</v>
      </c>
      <c r="AV62">
        <f>IF(tbl_główna_GRACZE[[#This Row],[min]]&gt;0,1,0)</f>
        <v>1</v>
      </c>
      <c r="AW62" s="58" t="str">
        <f>tbl_główna_GRACZE[[#This Row],[I. Nazwisko]]</f>
        <v>D. Hentosz</v>
      </c>
    </row>
    <row r="63" spans="1:49" x14ac:dyDescent="0.35">
      <c r="A63" t="s">
        <v>50</v>
      </c>
      <c r="B63" t="s">
        <v>19</v>
      </c>
      <c r="C63" t="s">
        <v>57</v>
      </c>
      <c r="D63" t="str">
        <f>IF(C63="H",VLOOKUP($A63,tab_nazwy_zespołów[],2,0)&amp;VLOOKUP($B63,tab_nazwy_zespołów[],2,0),VLOOKUP($B63,tab_nazwy_zespołów[],2,0)&amp;VLOOKUP($A63,tab_nazwy_zespołów[],2,0))</f>
        <v>KONSTA</v>
      </c>
      <c r="E63">
        <v>2</v>
      </c>
      <c r="F63">
        <f>COUNTIF(tbl_zawodnicy_sumy[I. Nazwisko],tbl_główna_GRACZE[[#This Row],[I. Nazwisko]])</f>
        <v>1</v>
      </c>
      <c r="G63" s="58" t="str">
        <f>RIGHT(tbl_główna_GRACZE[[#This Row],[Kolumna1]],LEN(tbl_główna_GRACZE[[#This Row],[Kolumna1]])-FIND(" ",tbl_główna_GRACZE[[#This Row],[Kolumna1]]))</f>
        <v>L. Prokopczuk</v>
      </c>
      <c r="H63" s="10" t="s">
        <v>327</v>
      </c>
      <c r="I63" s="10">
        <v>2</v>
      </c>
      <c r="J63" s="10">
        <v>7</v>
      </c>
      <c r="K63" s="10">
        <v>2</v>
      </c>
      <c r="L63" s="10">
        <v>4</v>
      </c>
      <c r="M63" s="10">
        <v>0</v>
      </c>
      <c r="N63" s="10">
        <v>1</v>
      </c>
      <c r="O63" s="10">
        <v>3</v>
      </c>
      <c r="P63" s="10">
        <v>7</v>
      </c>
      <c r="Q63" s="10">
        <v>1</v>
      </c>
      <c r="R63" s="10">
        <v>4</v>
      </c>
      <c r="S63" s="10">
        <v>0</v>
      </c>
      <c r="T63" s="10">
        <v>0</v>
      </c>
      <c r="U63" s="10">
        <v>1</v>
      </c>
      <c r="V63" s="10">
        <v>25</v>
      </c>
      <c r="W63" s="10">
        <v>6</v>
      </c>
      <c r="X63" s="57">
        <f t="shared" ref="X63:X69" si="54">O63+P63</f>
        <v>10</v>
      </c>
      <c r="Y63" s="4">
        <f t="shared" ref="Y63:Y69" si="55">I63/J63</f>
        <v>0.2857142857142857</v>
      </c>
      <c r="Z63" s="4">
        <f t="shared" ref="Z63:Z69" si="56">IFERROR(K63/L63,0)</f>
        <v>0.5</v>
      </c>
      <c r="AA63" s="4">
        <f t="shared" ref="AA63:AA69" si="57">IFERROR(M63/N63,0)</f>
        <v>0</v>
      </c>
      <c r="AB63" s="4">
        <f>IFERROR(tbl_główna_GRACZE[[#This Row],[2pm]]/tbl_główna_GRACZE[[#This Row],[2pa]],0)</f>
        <v>0</v>
      </c>
      <c r="AC63" s="4">
        <f t="shared" ref="AC63:AC69" si="58">W63/(2*(J63+0.44*N63))</f>
        <v>0.40322580645161288</v>
      </c>
      <c r="AD63" s="4">
        <f t="shared" ref="AD63:AD69" si="59">(I63+0.5*K63)/J63</f>
        <v>0.42857142857142855</v>
      </c>
      <c r="AE63" s="11">
        <f t="shared" ref="AE63:AE69" si="60">R63+T63+U63+W63+X63-(J63-I63)-(N63-M63)</f>
        <v>15</v>
      </c>
      <c r="AF63" s="4">
        <f t="shared" ref="AF63:AF69" si="61">N63/J63</f>
        <v>0.14285714285714285</v>
      </c>
      <c r="AG63" s="4">
        <f t="shared" ref="AG63:AG69" si="62">L63/J63</f>
        <v>0.5714285714285714</v>
      </c>
      <c r="AH6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0.10310421286031043</v>
      </c>
      <c r="AI63" s="25">
        <f>tbl_główna_GRACZE[[#This Row],[pts]]*(40/tbl_główna_GRACZE[[#This Row],[min]])</f>
        <v>9.6000000000000014</v>
      </c>
      <c r="AJ63" s="30">
        <f>tbl_główna_GRACZE[[#This Row],[reb total]]*(40/tbl_główna_GRACZE[[#This Row],[min]])</f>
        <v>16</v>
      </c>
      <c r="AK63" s="30">
        <f>tbl_główna_GRACZE[[#This Row],[asst]]*(40/tbl_główna_GRACZE[[#This Row],[min]])</f>
        <v>1.6</v>
      </c>
      <c r="AL63" s="5">
        <f t="shared" ref="AL63:AL69" si="63">W63/J63</f>
        <v>0.8571428571428571</v>
      </c>
      <c r="AM63" s="5">
        <f>(tbl_główna_GRACZE[[#This Row],[stl]]+tbl_główna_GRACZE[[#This Row],[blk]])*(40/tbl_główna_GRACZE[[#This Row],[min]])</f>
        <v>6.4</v>
      </c>
      <c r="AN6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0.33333333333333331</v>
      </c>
      <c r="AO63" s="25">
        <f>tbl_główna_GRACZE[[#This Row],[stl]]+tbl_główna_GRACZE[[#This Row],[blk]]+(tbl_główna_GRACZE[[#This Row],[dreb]]*0.5)</f>
        <v>7.5</v>
      </c>
      <c r="AP63" s="29">
        <f>(tbl_główna_GRACZE[[#This Row],[stl]]+tbl_główna_GRACZE[[#This Row],[blk]]+0.5*tbl_główna_GRACZE[[#This Row],[dreb]])/tbl_główna_GRACZE[[#This Row],[min]]</f>
        <v>0.3</v>
      </c>
      <c r="AQ63" s="6">
        <f t="shared" ref="AQ63:AQ69" si="64">W63+0.4*I63-0.7*J63-0.4*(N63-M63)+0.7*O63+0.3*P63+R63+0.7*U63+0.7*T63</f>
        <v>10.399999999999999</v>
      </c>
      <c r="AR63" s="6">
        <f>tbl_główna_GRACZE[[#This Row],[GmSc]]*(40/tbl_główna_GRACZE[[#This Row],[min]])</f>
        <v>16.639999999999997</v>
      </c>
      <c r="AS63" s="6">
        <f>tbl_główna_GRACZE[[#This Row],[EVAL]]*(40/tbl_główna_GRACZE[[#This Row],[min]])</f>
        <v>24</v>
      </c>
      <c r="AT63" s="11">
        <f>tbl_główna_GRACZE[[#This Row],[fgm]]-tbl_główna_GRACZE[[#This Row],[3pm]]</f>
        <v>0</v>
      </c>
      <c r="AU63" s="11">
        <f>tbl_główna_GRACZE[[#This Row],[fga]]-tbl_główna_GRACZE[[#This Row],[3pa]]</f>
        <v>3</v>
      </c>
      <c r="AV63">
        <f>IF(tbl_główna_GRACZE[[#This Row],[min]]&gt;0,1,0)</f>
        <v>1</v>
      </c>
      <c r="AW63" s="58" t="str">
        <f>tbl_główna_GRACZE[[#This Row],[I. Nazwisko]]</f>
        <v>L. Prokopczuk</v>
      </c>
    </row>
    <row r="64" spans="1:49" x14ac:dyDescent="0.35">
      <c r="A64" t="s">
        <v>50</v>
      </c>
      <c r="B64" t="s">
        <v>19</v>
      </c>
      <c r="C64" t="s">
        <v>57</v>
      </c>
      <c r="D64" t="str">
        <f>IF(C64="H",VLOOKUP($A64,tab_nazwy_zespołów[],2,0)&amp;VLOOKUP($B64,tab_nazwy_zespołów[],2,0),VLOOKUP($B64,tab_nazwy_zespołów[],2,0)&amp;VLOOKUP($A64,tab_nazwy_zespołów[],2,0))</f>
        <v>KONSTA</v>
      </c>
      <c r="E64">
        <v>2</v>
      </c>
      <c r="F64">
        <f>COUNTIF(tbl_zawodnicy_sumy[I. Nazwisko],tbl_główna_GRACZE[[#This Row],[I. Nazwisko]])</f>
        <v>1</v>
      </c>
      <c r="G64" s="58" t="str">
        <f>RIGHT(tbl_główna_GRACZE[[#This Row],[Kolumna1]],LEN(tbl_główna_GRACZE[[#This Row],[Kolumna1]])-FIND(" ",tbl_główna_GRACZE[[#This Row],[Kolumna1]]))</f>
        <v>D. Wardak</v>
      </c>
      <c r="H64" s="10" t="s">
        <v>88</v>
      </c>
      <c r="I64" s="10">
        <v>3</v>
      </c>
      <c r="J64" s="10">
        <v>6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2</v>
      </c>
      <c r="Q64" s="10">
        <v>0</v>
      </c>
      <c r="R64" s="10">
        <v>1</v>
      </c>
      <c r="S64" s="10">
        <v>0</v>
      </c>
      <c r="T64" s="10">
        <v>0</v>
      </c>
      <c r="U64" s="10">
        <v>2</v>
      </c>
      <c r="V64" s="10">
        <v>27</v>
      </c>
      <c r="W64" s="10">
        <v>6</v>
      </c>
      <c r="X64" s="57">
        <f t="shared" si="54"/>
        <v>2</v>
      </c>
      <c r="Y64" s="4">
        <f t="shared" si="55"/>
        <v>0.5</v>
      </c>
      <c r="Z64" s="4">
        <f t="shared" si="56"/>
        <v>0</v>
      </c>
      <c r="AA64" s="4">
        <f t="shared" si="57"/>
        <v>0</v>
      </c>
      <c r="AB64" s="4">
        <f>IFERROR(tbl_główna_GRACZE[[#This Row],[2pm]]/tbl_główna_GRACZE[[#This Row],[2pa]],0)</f>
        <v>0.5</v>
      </c>
      <c r="AC64" s="4">
        <f t="shared" si="58"/>
        <v>0.5</v>
      </c>
      <c r="AD64" s="4">
        <f t="shared" si="59"/>
        <v>0.5</v>
      </c>
      <c r="AE64" s="11">
        <f t="shared" si="60"/>
        <v>8</v>
      </c>
      <c r="AF64" s="4">
        <f t="shared" si="61"/>
        <v>0</v>
      </c>
      <c r="AG64" s="4">
        <f t="shared" si="62"/>
        <v>0</v>
      </c>
      <c r="AH6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8.3148558758314867E-2</v>
      </c>
      <c r="AI64" s="25">
        <f>tbl_główna_GRACZE[[#This Row],[pts]]*(40/tbl_główna_GRACZE[[#This Row],[min]])</f>
        <v>8.8888888888888893</v>
      </c>
      <c r="AJ64" s="30">
        <f>tbl_główna_GRACZE[[#This Row],[reb total]]*(40/tbl_główna_GRACZE[[#This Row],[min]])</f>
        <v>2.9629629629629628</v>
      </c>
      <c r="AK64" s="30">
        <f>tbl_główna_GRACZE[[#This Row],[asst]]*(40/tbl_główna_GRACZE[[#This Row],[min]])</f>
        <v>2.9629629629629628</v>
      </c>
      <c r="AL64" s="5">
        <f t="shared" si="63"/>
        <v>1</v>
      </c>
      <c r="AM64" s="5">
        <f>(tbl_główna_GRACZE[[#This Row],[stl]]+tbl_główna_GRACZE[[#This Row],[blk]])*(40/tbl_główna_GRACZE[[#This Row],[min]])</f>
        <v>1.4814814814814814</v>
      </c>
      <c r="AN6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64" s="25">
        <f>tbl_główna_GRACZE[[#This Row],[stl]]+tbl_główna_GRACZE[[#This Row],[blk]]+(tbl_główna_GRACZE[[#This Row],[dreb]]*0.5)</f>
        <v>2</v>
      </c>
      <c r="AP64" s="29">
        <f>(tbl_główna_GRACZE[[#This Row],[stl]]+tbl_główna_GRACZE[[#This Row],[blk]]+0.5*tbl_główna_GRACZE[[#This Row],[dreb]])/tbl_główna_GRACZE[[#This Row],[min]]</f>
        <v>7.407407407407407E-2</v>
      </c>
      <c r="AQ64" s="6">
        <f t="shared" si="64"/>
        <v>6.0000000000000018</v>
      </c>
      <c r="AR64" s="6">
        <f>tbl_główna_GRACZE[[#This Row],[GmSc]]*(40/tbl_główna_GRACZE[[#This Row],[min]])</f>
        <v>8.8888888888888911</v>
      </c>
      <c r="AS64" s="6">
        <f>tbl_główna_GRACZE[[#This Row],[EVAL]]*(40/tbl_główna_GRACZE[[#This Row],[min]])</f>
        <v>11.851851851851851</v>
      </c>
      <c r="AT64" s="11">
        <f>tbl_główna_GRACZE[[#This Row],[fgm]]-tbl_główna_GRACZE[[#This Row],[3pm]]</f>
        <v>3</v>
      </c>
      <c r="AU64" s="11">
        <f>tbl_główna_GRACZE[[#This Row],[fga]]-tbl_główna_GRACZE[[#This Row],[3pa]]</f>
        <v>6</v>
      </c>
      <c r="AV64">
        <f>IF(tbl_główna_GRACZE[[#This Row],[min]]&gt;0,1,0)</f>
        <v>1</v>
      </c>
      <c r="AW64" s="58" t="str">
        <f>tbl_główna_GRACZE[[#This Row],[I. Nazwisko]]</f>
        <v>D. Wardak</v>
      </c>
    </row>
    <row r="65" spans="1:49" x14ac:dyDescent="0.35">
      <c r="A65" t="s">
        <v>50</v>
      </c>
      <c r="B65" t="s">
        <v>19</v>
      </c>
      <c r="C65" t="s">
        <v>57</v>
      </c>
      <c r="D65" t="str">
        <f>IF(C65="H",VLOOKUP($A65,tab_nazwy_zespołów[],2,0)&amp;VLOOKUP($B65,tab_nazwy_zespołów[],2,0),VLOOKUP($B65,tab_nazwy_zespołów[],2,0)&amp;VLOOKUP($A65,tab_nazwy_zespołów[],2,0))</f>
        <v>KONSTA</v>
      </c>
      <c r="E65">
        <v>2</v>
      </c>
      <c r="F65">
        <f>COUNTIF(tbl_zawodnicy_sumy[I. Nazwisko],tbl_główna_GRACZE[[#This Row],[I. Nazwisko]])</f>
        <v>1</v>
      </c>
      <c r="G65" s="58" t="str">
        <f>RIGHT(tbl_główna_GRACZE[[#This Row],[Kolumna1]],LEN(tbl_główna_GRACZE[[#This Row],[Kolumna1]])-FIND(" ",tbl_główna_GRACZE[[#This Row],[Kolumna1]]))</f>
        <v>A. Franko</v>
      </c>
      <c r="H65" s="10" t="s">
        <v>85</v>
      </c>
      <c r="I65" s="10">
        <v>1</v>
      </c>
      <c r="J65" s="10">
        <v>12</v>
      </c>
      <c r="K65" s="10">
        <v>0</v>
      </c>
      <c r="L65" s="10">
        <v>5</v>
      </c>
      <c r="M65" s="10">
        <v>0</v>
      </c>
      <c r="N65" s="10">
        <v>2</v>
      </c>
      <c r="O65" s="10">
        <v>3</v>
      </c>
      <c r="P65" s="10">
        <v>3</v>
      </c>
      <c r="Q65" s="10">
        <v>0</v>
      </c>
      <c r="R65" s="10">
        <v>2</v>
      </c>
      <c r="S65" s="10">
        <v>0</v>
      </c>
      <c r="T65" s="10">
        <v>0</v>
      </c>
      <c r="U65" s="10">
        <v>0</v>
      </c>
      <c r="V65" s="10">
        <v>18</v>
      </c>
      <c r="W65" s="10">
        <v>2</v>
      </c>
      <c r="X65" s="57">
        <f t="shared" si="54"/>
        <v>6</v>
      </c>
      <c r="Y65" s="4">
        <f t="shared" si="55"/>
        <v>8.3333333333333329E-2</v>
      </c>
      <c r="Z65" s="4">
        <f t="shared" si="56"/>
        <v>0</v>
      </c>
      <c r="AA65" s="4">
        <f t="shared" si="57"/>
        <v>0</v>
      </c>
      <c r="AB65" s="4">
        <f>IFERROR(tbl_główna_GRACZE[[#This Row],[2pm]]/tbl_główna_GRACZE[[#This Row],[2pa]],0)</f>
        <v>0.14285714285714285</v>
      </c>
      <c r="AC65" s="4">
        <f t="shared" si="58"/>
        <v>7.7639751552795025E-2</v>
      </c>
      <c r="AD65" s="4">
        <f t="shared" si="59"/>
        <v>8.3333333333333329E-2</v>
      </c>
      <c r="AE65" s="11">
        <f t="shared" si="60"/>
        <v>-3</v>
      </c>
      <c r="AF65" s="4">
        <f t="shared" si="61"/>
        <v>0.16666666666666666</v>
      </c>
      <c r="AG65" s="4">
        <f t="shared" si="62"/>
        <v>0.41666666666666669</v>
      </c>
      <c r="AH6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0.17849223946784926</v>
      </c>
      <c r="AI65" s="25">
        <f>tbl_główna_GRACZE[[#This Row],[pts]]*(40/tbl_główna_GRACZE[[#This Row],[min]])</f>
        <v>4.4444444444444446</v>
      </c>
      <c r="AJ65" s="30">
        <f>tbl_główna_GRACZE[[#This Row],[reb total]]*(40/tbl_główna_GRACZE[[#This Row],[min]])</f>
        <v>13.333333333333334</v>
      </c>
      <c r="AK65" s="30">
        <f>tbl_główna_GRACZE[[#This Row],[asst]]*(40/tbl_główna_GRACZE[[#This Row],[min]])</f>
        <v>0</v>
      </c>
      <c r="AL65" s="5">
        <f t="shared" si="63"/>
        <v>0.16666666666666666</v>
      </c>
      <c r="AM65" s="5">
        <f>(tbl_główna_GRACZE[[#This Row],[stl]]+tbl_główna_GRACZE[[#This Row],[blk]])*(40/tbl_główna_GRACZE[[#This Row],[min]])</f>
        <v>4.4444444444444446</v>
      </c>
      <c r="AN6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5" s="25">
        <f>tbl_główna_GRACZE[[#This Row],[stl]]+tbl_główna_GRACZE[[#This Row],[blk]]+(tbl_główna_GRACZE[[#This Row],[dreb]]*0.5)</f>
        <v>3.5</v>
      </c>
      <c r="AP65" s="29">
        <f>(tbl_główna_GRACZE[[#This Row],[stl]]+tbl_główna_GRACZE[[#This Row],[blk]]+0.5*tbl_główna_GRACZE[[#This Row],[dreb]])/tbl_główna_GRACZE[[#This Row],[min]]</f>
        <v>0.19444444444444445</v>
      </c>
      <c r="AQ65" s="6">
        <f t="shared" si="64"/>
        <v>-1.7999999999999985</v>
      </c>
      <c r="AR65" s="6">
        <f>tbl_główna_GRACZE[[#This Row],[GmSc]]*(40/tbl_główna_GRACZE[[#This Row],[min]])</f>
        <v>-3.9999999999999969</v>
      </c>
      <c r="AS65" s="6">
        <f>tbl_główna_GRACZE[[#This Row],[EVAL]]*(40/tbl_główna_GRACZE[[#This Row],[min]])</f>
        <v>-6.666666666666667</v>
      </c>
      <c r="AT65" s="11">
        <f>tbl_główna_GRACZE[[#This Row],[fgm]]-tbl_główna_GRACZE[[#This Row],[3pm]]</f>
        <v>1</v>
      </c>
      <c r="AU65" s="11">
        <f>tbl_główna_GRACZE[[#This Row],[fga]]-tbl_główna_GRACZE[[#This Row],[3pa]]</f>
        <v>7</v>
      </c>
      <c r="AV65">
        <f>IF(tbl_główna_GRACZE[[#This Row],[min]]&gt;0,1,0)</f>
        <v>1</v>
      </c>
      <c r="AW65" s="58" t="str">
        <f>tbl_główna_GRACZE[[#This Row],[I. Nazwisko]]</f>
        <v>A. Franko</v>
      </c>
    </row>
    <row r="66" spans="1:49" x14ac:dyDescent="0.35">
      <c r="A66" t="s">
        <v>50</v>
      </c>
      <c r="B66" t="s">
        <v>19</v>
      </c>
      <c r="C66" t="s">
        <v>57</v>
      </c>
      <c r="D66" t="str">
        <f>IF(C66="H",VLOOKUP($A66,tab_nazwy_zespołów[],2,0)&amp;VLOOKUP($B66,tab_nazwy_zespołów[],2,0),VLOOKUP($B66,tab_nazwy_zespołów[],2,0)&amp;VLOOKUP($A66,tab_nazwy_zespołów[],2,0))</f>
        <v>KONSTA</v>
      </c>
      <c r="E66">
        <v>2</v>
      </c>
      <c r="F66">
        <f>COUNTIF(tbl_zawodnicy_sumy[I. Nazwisko],tbl_główna_GRACZE[[#This Row],[I. Nazwisko]])</f>
        <v>1</v>
      </c>
      <c r="G66" s="58" t="str">
        <f>RIGHT(tbl_główna_GRACZE[[#This Row],[Kolumna1]],LEN(tbl_główna_GRACZE[[#This Row],[Kolumna1]])-FIND(" ",tbl_główna_GRACZE[[#This Row],[Kolumna1]]))</f>
        <v>P. Makieła</v>
      </c>
      <c r="H66" s="10" t="s">
        <v>90</v>
      </c>
      <c r="I66" s="10">
        <v>1</v>
      </c>
      <c r="J66" s="10">
        <v>3</v>
      </c>
      <c r="K66" s="10">
        <v>0</v>
      </c>
      <c r="L66" s="10">
        <v>0</v>
      </c>
      <c r="M66" s="10">
        <v>0</v>
      </c>
      <c r="N66" s="10">
        <v>0</v>
      </c>
      <c r="O66" s="10">
        <v>2</v>
      </c>
      <c r="P66" s="10">
        <v>1</v>
      </c>
      <c r="Q66" s="10">
        <v>0</v>
      </c>
      <c r="R66" s="10">
        <v>0</v>
      </c>
      <c r="S66" s="10">
        <v>0</v>
      </c>
      <c r="T66" s="10">
        <v>0</v>
      </c>
      <c r="U66" s="10">
        <v>2</v>
      </c>
      <c r="V66" s="10">
        <v>16</v>
      </c>
      <c r="W66" s="10">
        <v>2</v>
      </c>
      <c r="X66" s="57">
        <f t="shared" si="54"/>
        <v>3</v>
      </c>
      <c r="Y66" s="4">
        <f t="shared" si="55"/>
        <v>0.33333333333333331</v>
      </c>
      <c r="Z66" s="4">
        <f t="shared" si="56"/>
        <v>0</v>
      </c>
      <c r="AA66" s="4">
        <f t="shared" si="57"/>
        <v>0</v>
      </c>
      <c r="AB66" s="4">
        <f>IFERROR(tbl_główna_GRACZE[[#This Row],[2pm]]/tbl_główna_GRACZE[[#This Row],[2pa]],0)</f>
        <v>0.33333333333333331</v>
      </c>
      <c r="AC66" s="4">
        <f t="shared" si="58"/>
        <v>0.33333333333333331</v>
      </c>
      <c r="AD66" s="4">
        <f t="shared" si="59"/>
        <v>0.33333333333333331</v>
      </c>
      <c r="AE66" s="11">
        <f t="shared" si="60"/>
        <v>5</v>
      </c>
      <c r="AF66" s="4">
        <f t="shared" si="61"/>
        <v>0</v>
      </c>
      <c r="AG66" s="4">
        <f t="shared" si="62"/>
        <v>0</v>
      </c>
      <c r="AH6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4.1574279379157433E-2</v>
      </c>
      <c r="AI66" s="25">
        <f>tbl_główna_GRACZE[[#This Row],[pts]]*(40/tbl_główna_GRACZE[[#This Row],[min]])</f>
        <v>5</v>
      </c>
      <c r="AJ66" s="30">
        <f>tbl_główna_GRACZE[[#This Row],[reb total]]*(40/tbl_główna_GRACZE[[#This Row],[min]])</f>
        <v>7.5</v>
      </c>
      <c r="AK66" s="30">
        <f>tbl_główna_GRACZE[[#This Row],[asst]]*(40/tbl_główna_GRACZE[[#This Row],[min]])</f>
        <v>5</v>
      </c>
      <c r="AL66" s="5">
        <f t="shared" si="63"/>
        <v>0.66666666666666663</v>
      </c>
      <c r="AM66" s="5">
        <f>(tbl_główna_GRACZE[[#This Row],[stl]]+tbl_główna_GRACZE[[#This Row],[blk]])*(40/tbl_główna_GRACZE[[#This Row],[min]])</f>
        <v>0</v>
      </c>
      <c r="AN6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6" s="25">
        <f>tbl_główna_GRACZE[[#This Row],[stl]]+tbl_główna_GRACZE[[#This Row],[blk]]+(tbl_główna_GRACZE[[#This Row],[dreb]]*0.5)</f>
        <v>0.5</v>
      </c>
      <c r="AP66" s="29">
        <f>(tbl_główna_GRACZE[[#This Row],[stl]]+tbl_główna_GRACZE[[#This Row],[blk]]+0.5*tbl_główna_GRACZE[[#This Row],[dreb]])/tbl_główna_GRACZE[[#This Row],[min]]</f>
        <v>3.125E-2</v>
      </c>
      <c r="AQ66" s="6">
        <f t="shared" si="64"/>
        <v>3.4</v>
      </c>
      <c r="AR66" s="6">
        <f>tbl_główna_GRACZE[[#This Row],[GmSc]]*(40/tbl_główna_GRACZE[[#This Row],[min]])</f>
        <v>8.5</v>
      </c>
      <c r="AS66" s="6">
        <f>tbl_główna_GRACZE[[#This Row],[EVAL]]*(40/tbl_główna_GRACZE[[#This Row],[min]])</f>
        <v>12.5</v>
      </c>
      <c r="AT66" s="11">
        <f>tbl_główna_GRACZE[[#This Row],[fgm]]-tbl_główna_GRACZE[[#This Row],[3pm]]</f>
        <v>1</v>
      </c>
      <c r="AU66" s="11">
        <f>tbl_główna_GRACZE[[#This Row],[fga]]-tbl_główna_GRACZE[[#This Row],[3pa]]</f>
        <v>3</v>
      </c>
      <c r="AV66">
        <f>IF(tbl_główna_GRACZE[[#This Row],[min]]&gt;0,1,0)</f>
        <v>1</v>
      </c>
      <c r="AW66" s="58" t="str">
        <f>tbl_główna_GRACZE[[#This Row],[I. Nazwisko]]</f>
        <v>P. Makieła</v>
      </c>
    </row>
    <row r="67" spans="1:49" x14ac:dyDescent="0.35">
      <c r="A67" t="s">
        <v>50</v>
      </c>
      <c r="B67" t="s">
        <v>19</v>
      </c>
      <c r="C67" t="s">
        <v>57</v>
      </c>
      <c r="D67" t="str">
        <f>IF(C67="H",VLOOKUP($A67,tab_nazwy_zespołów[],2,0)&amp;VLOOKUP($B67,tab_nazwy_zespołów[],2,0),VLOOKUP($B67,tab_nazwy_zespołów[],2,0)&amp;VLOOKUP($A67,tab_nazwy_zespołów[],2,0))</f>
        <v>KONSTA</v>
      </c>
      <c r="E67">
        <v>2</v>
      </c>
      <c r="F67">
        <f>COUNTIF(tbl_zawodnicy_sumy[I. Nazwisko],tbl_główna_GRACZE[[#This Row],[I. Nazwisko]])</f>
        <v>1</v>
      </c>
      <c r="G67" s="58" t="str">
        <f>RIGHT(tbl_główna_GRACZE[[#This Row],[Kolumna1]],LEN(tbl_główna_GRACZE[[#This Row],[Kolumna1]])-FIND(" ",tbl_główna_GRACZE[[#This Row],[Kolumna1]]))</f>
        <v>M. Matusik</v>
      </c>
      <c r="H67" s="10" t="s">
        <v>86</v>
      </c>
      <c r="I67" s="10">
        <v>0</v>
      </c>
      <c r="J67" s="10">
        <v>8</v>
      </c>
      <c r="K67" s="10">
        <v>0</v>
      </c>
      <c r="L67" s="10">
        <v>6</v>
      </c>
      <c r="M67" s="10">
        <v>0</v>
      </c>
      <c r="N67" s="10">
        <v>1</v>
      </c>
      <c r="O67" s="10">
        <v>1</v>
      </c>
      <c r="P67" s="10">
        <v>3</v>
      </c>
      <c r="Q67" s="10">
        <v>1</v>
      </c>
      <c r="R67" s="10">
        <v>2</v>
      </c>
      <c r="S67" s="10">
        <v>0</v>
      </c>
      <c r="T67" s="10">
        <v>0</v>
      </c>
      <c r="U67" s="10">
        <v>7</v>
      </c>
      <c r="V67" s="10">
        <v>30</v>
      </c>
      <c r="W67" s="10">
        <v>1</v>
      </c>
      <c r="X67" s="57">
        <f t="shared" si="54"/>
        <v>4</v>
      </c>
      <c r="Y67" s="4">
        <f t="shared" si="55"/>
        <v>0</v>
      </c>
      <c r="Z67" s="4">
        <f t="shared" si="56"/>
        <v>0</v>
      </c>
      <c r="AA67" s="4">
        <f t="shared" si="57"/>
        <v>0</v>
      </c>
      <c r="AB67" s="4">
        <f>IFERROR(tbl_główna_GRACZE[[#This Row],[2pm]]/tbl_główna_GRACZE[[#This Row],[2pa]],0)</f>
        <v>0</v>
      </c>
      <c r="AC67" s="4">
        <f t="shared" si="58"/>
        <v>5.9241706161137442E-2</v>
      </c>
      <c r="AD67" s="4">
        <f t="shared" si="59"/>
        <v>0</v>
      </c>
      <c r="AE67" s="11">
        <f t="shared" si="60"/>
        <v>5</v>
      </c>
      <c r="AF67" s="4">
        <f t="shared" si="61"/>
        <v>0.125</v>
      </c>
      <c r="AG67" s="4">
        <f t="shared" si="62"/>
        <v>0.75</v>
      </c>
      <c r="AH6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0.11696230598669623</v>
      </c>
      <c r="AI67" s="25">
        <f>tbl_główna_GRACZE[[#This Row],[pts]]*(40/tbl_główna_GRACZE[[#This Row],[min]])</f>
        <v>1.3333333333333333</v>
      </c>
      <c r="AJ67" s="30">
        <f>tbl_główna_GRACZE[[#This Row],[reb total]]*(40/tbl_główna_GRACZE[[#This Row],[min]])</f>
        <v>5.333333333333333</v>
      </c>
      <c r="AK67" s="30">
        <f>tbl_główna_GRACZE[[#This Row],[asst]]*(40/tbl_główna_GRACZE[[#This Row],[min]])</f>
        <v>9.3333333333333321</v>
      </c>
      <c r="AL67" s="5">
        <f t="shared" si="63"/>
        <v>0.125</v>
      </c>
      <c r="AM67" s="5">
        <f>(tbl_główna_GRACZE[[#This Row],[stl]]+tbl_główna_GRACZE[[#This Row],[blk]])*(40/tbl_główna_GRACZE[[#This Row],[min]])</f>
        <v>2.6666666666666665</v>
      </c>
      <c r="AN6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7" s="25">
        <f>tbl_główna_GRACZE[[#This Row],[stl]]+tbl_główna_GRACZE[[#This Row],[blk]]+(tbl_główna_GRACZE[[#This Row],[dreb]]*0.5)</f>
        <v>3.5</v>
      </c>
      <c r="AP67" s="29">
        <f>(tbl_główna_GRACZE[[#This Row],[stl]]+tbl_główna_GRACZE[[#This Row],[blk]]+0.5*tbl_główna_GRACZE[[#This Row],[dreb]])/tbl_główna_GRACZE[[#This Row],[min]]</f>
        <v>0.11666666666666667</v>
      </c>
      <c r="AQ67" s="6">
        <f t="shared" si="64"/>
        <v>3.4999999999999996</v>
      </c>
      <c r="AR67" s="6">
        <f>tbl_główna_GRACZE[[#This Row],[GmSc]]*(40/tbl_główna_GRACZE[[#This Row],[min]])</f>
        <v>4.6666666666666661</v>
      </c>
      <c r="AS67" s="6">
        <f>tbl_główna_GRACZE[[#This Row],[EVAL]]*(40/tbl_główna_GRACZE[[#This Row],[min]])</f>
        <v>6.6666666666666661</v>
      </c>
      <c r="AT67" s="11">
        <f>tbl_główna_GRACZE[[#This Row],[fgm]]-tbl_główna_GRACZE[[#This Row],[3pm]]</f>
        <v>0</v>
      </c>
      <c r="AU67" s="11">
        <f>tbl_główna_GRACZE[[#This Row],[fga]]-tbl_główna_GRACZE[[#This Row],[3pa]]</f>
        <v>2</v>
      </c>
      <c r="AV67">
        <f>IF(tbl_główna_GRACZE[[#This Row],[min]]&gt;0,1,0)</f>
        <v>1</v>
      </c>
      <c r="AW67" s="58" t="str">
        <f>tbl_główna_GRACZE[[#This Row],[I. Nazwisko]]</f>
        <v>M. Matusik</v>
      </c>
    </row>
    <row r="68" spans="1:49" x14ac:dyDescent="0.35">
      <c r="A68" t="s">
        <v>50</v>
      </c>
      <c r="B68" t="s">
        <v>19</v>
      </c>
      <c r="C68" t="s">
        <v>57</v>
      </c>
      <c r="D68" t="str">
        <f>IF(C68="H",VLOOKUP($A68,tab_nazwy_zespołów[],2,0)&amp;VLOOKUP($B68,tab_nazwy_zespołów[],2,0),VLOOKUP($B68,tab_nazwy_zespołów[],2,0)&amp;VLOOKUP($A68,tab_nazwy_zespołów[],2,0))</f>
        <v>KONSTA</v>
      </c>
      <c r="E68">
        <v>2</v>
      </c>
      <c r="F68">
        <f>COUNTIF(tbl_zawodnicy_sumy[I. Nazwisko],tbl_główna_GRACZE[[#This Row],[I. Nazwisko]])</f>
        <v>1</v>
      </c>
      <c r="G68" s="58" t="str">
        <f>RIGHT(tbl_główna_GRACZE[[#This Row],[Kolumna1]],LEN(tbl_główna_GRACZE[[#This Row],[Kolumna1]])-FIND(" ",tbl_główna_GRACZE[[#This Row],[Kolumna1]]))</f>
        <v>D. Więcław</v>
      </c>
      <c r="H68" s="10" t="s">
        <v>87</v>
      </c>
      <c r="I68" s="10">
        <v>0</v>
      </c>
      <c r="J68" s="10">
        <v>6</v>
      </c>
      <c r="K68" s="10">
        <v>0</v>
      </c>
      <c r="L68" s="10">
        <v>0</v>
      </c>
      <c r="M68" s="10">
        <v>0</v>
      </c>
      <c r="N68" s="10">
        <v>0</v>
      </c>
      <c r="O68" s="10">
        <v>1</v>
      </c>
      <c r="P68" s="10">
        <v>4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25</v>
      </c>
      <c r="W68" s="10">
        <v>0</v>
      </c>
      <c r="X68" s="57">
        <f t="shared" si="54"/>
        <v>5</v>
      </c>
      <c r="Y68" s="4">
        <f t="shared" si="55"/>
        <v>0</v>
      </c>
      <c r="Z68" s="4">
        <f t="shared" si="56"/>
        <v>0</v>
      </c>
      <c r="AA68" s="4">
        <f t="shared" si="57"/>
        <v>0</v>
      </c>
      <c r="AB68" s="4">
        <f>IFERROR(tbl_główna_GRACZE[[#This Row],[2pm]]/tbl_główna_GRACZE[[#This Row],[2pa]],0)</f>
        <v>0</v>
      </c>
      <c r="AC68" s="4">
        <f t="shared" si="58"/>
        <v>0</v>
      </c>
      <c r="AD68" s="4">
        <f t="shared" si="59"/>
        <v>0</v>
      </c>
      <c r="AE68" s="11">
        <f t="shared" si="60"/>
        <v>-1</v>
      </c>
      <c r="AF68" s="4">
        <f t="shared" si="61"/>
        <v>0</v>
      </c>
      <c r="AG68" s="4">
        <f t="shared" si="62"/>
        <v>0</v>
      </c>
      <c r="AH6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8.3148558758314867E-2</v>
      </c>
      <c r="AI68" s="25">
        <f>tbl_główna_GRACZE[[#This Row],[pts]]*(40/tbl_główna_GRACZE[[#This Row],[min]])</f>
        <v>0</v>
      </c>
      <c r="AJ68" s="30">
        <f>tbl_główna_GRACZE[[#This Row],[reb total]]*(40/tbl_główna_GRACZE[[#This Row],[min]])</f>
        <v>8</v>
      </c>
      <c r="AK68" s="30">
        <f>tbl_główna_GRACZE[[#This Row],[asst]]*(40/tbl_główna_GRACZE[[#This Row],[min]])</f>
        <v>0</v>
      </c>
      <c r="AL68" s="5">
        <f t="shared" si="63"/>
        <v>0</v>
      </c>
      <c r="AM68" s="5">
        <f>(tbl_główna_GRACZE[[#This Row],[stl]]+tbl_główna_GRACZE[[#This Row],[blk]])*(40/tbl_główna_GRACZE[[#This Row],[min]])</f>
        <v>0</v>
      </c>
      <c r="AN6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8" s="25">
        <f>tbl_główna_GRACZE[[#This Row],[stl]]+tbl_główna_GRACZE[[#This Row],[blk]]+(tbl_główna_GRACZE[[#This Row],[dreb]]*0.5)</f>
        <v>2</v>
      </c>
      <c r="AP68" s="29">
        <f>(tbl_główna_GRACZE[[#This Row],[stl]]+tbl_główna_GRACZE[[#This Row],[blk]]+0.5*tbl_główna_GRACZE[[#This Row],[dreb]])/tbl_główna_GRACZE[[#This Row],[min]]</f>
        <v>0.08</v>
      </c>
      <c r="AQ68" s="6">
        <f t="shared" si="64"/>
        <v>-2.2999999999999989</v>
      </c>
      <c r="AR68" s="6">
        <f>tbl_główna_GRACZE[[#This Row],[GmSc]]*(40/tbl_główna_GRACZE[[#This Row],[min]])</f>
        <v>-3.6799999999999984</v>
      </c>
      <c r="AS68" s="6">
        <f>tbl_główna_GRACZE[[#This Row],[EVAL]]*(40/tbl_główna_GRACZE[[#This Row],[min]])</f>
        <v>-1.6</v>
      </c>
      <c r="AT68" s="11">
        <f>tbl_główna_GRACZE[[#This Row],[fgm]]-tbl_główna_GRACZE[[#This Row],[3pm]]</f>
        <v>0</v>
      </c>
      <c r="AU68" s="11">
        <f>tbl_główna_GRACZE[[#This Row],[fga]]-tbl_główna_GRACZE[[#This Row],[3pa]]</f>
        <v>6</v>
      </c>
      <c r="AV68">
        <f>IF(tbl_główna_GRACZE[[#This Row],[min]]&gt;0,1,0)</f>
        <v>1</v>
      </c>
      <c r="AW68" s="58" t="str">
        <f>tbl_główna_GRACZE[[#This Row],[I. Nazwisko]]</f>
        <v>D. Więcław</v>
      </c>
    </row>
    <row r="69" spans="1:49" x14ac:dyDescent="0.35">
      <c r="A69" t="s">
        <v>50</v>
      </c>
      <c r="B69" t="s">
        <v>19</v>
      </c>
      <c r="C69" t="s">
        <v>57</v>
      </c>
      <c r="D69" t="str">
        <f>IF(C69="H",VLOOKUP($A69,tab_nazwy_zespołów[],2,0)&amp;VLOOKUP($B69,tab_nazwy_zespołów[],2,0),VLOOKUP($B69,tab_nazwy_zespołów[],2,0)&amp;VLOOKUP($A69,tab_nazwy_zespołów[],2,0))</f>
        <v>KONSTA</v>
      </c>
      <c r="E69">
        <v>2</v>
      </c>
      <c r="F69">
        <f>COUNTIF(tbl_zawodnicy_sumy[I. Nazwisko],tbl_główna_GRACZE[[#This Row],[I. Nazwisko]])</f>
        <v>1</v>
      </c>
      <c r="G69" s="58" t="str">
        <f>RIGHT(tbl_główna_GRACZE[[#This Row],[Kolumna1]],LEN(tbl_główna_GRACZE[[#This Row],[Kolumna1]])-FIND(" ",tbl_główna_GRACZE[[#This Row],[Kolumna1]]))</f>
        <v>A. Godlewski</v>
      </c>
      <c r="H69" s="10" t="s">
        <v>89</v>
      </c>
      <c r="I69" s="10">
        <v>0</v>
      </c>
      <c r="J69" s="10">
        <v>3</v>
      </c>
      <c r="K69" s="10">
        <v>0</v>
      </c>
      <c r="L69" s="10">
        <v>0</v>
      </c>
      <c r="M69" s="10">
        <v>0</v>
      </c>
      <c r="N69" s="10">
        <v>0</v>
      </c>
      <c r="O69" s="10">
        <v>1</v>
      </c>
      <c r="P69" s="10">
        <v>1</v>
      </c>
      <c r="Q69" s="10">
        <v>1</v>
      </c>
      <c r="R69" s="10">
        <v>1</v>
      </c>
      <c r="S69" s="10">
        <v>0</v>
      </c>
      <c r="T69" s="10">
        <v>0</v>
      </c>
      <c r="U69" s="10">
        <v>0</v>
      </c>
      <c r="V69" s="10">
        <v>13</v>
      </c>
      <c r="W69" s="10">
        <v>0</v>
      </c>
      <c r="X69" s="57">
        <f t="shared" si="54"/>
        <v>2</v>
      </c>
      <c r="Y69" s="4">
        <f t="shared" si="55"/>
        <v>0</v>
      </c>
      <c r="Z69" s="4">
        <f t="shared" si="56"/>
        <v>0</v>
      </c>
      <c r="AA69" s="4">
        <f t="shared" si="57"/>
        <v>0</v>
      </c>
      <c r="AB69" s="4">
        <f>IFERROR(tbl_główna_GRACZE[[#This Row],[2pm]]/tbl_główna_GRACZE[[#This Row],[2pa]],0)</f>
        <v>0</v>
      </c>
      <c r="AC69" s="4">
        <f t="shared" si="58"/>
        <v>0</v>
      </c>
      <c r="AD69" s="4">
        <f t="shared" si="59"/>
        <v>0</v>
      </c>
      <c r="AE69" s="11">
        <f t="shared" si="60"/>
        <v>0</v>
      </c>
      <c r="AF69" s="4">
        <f t="shared" si="61"/>
        <v>0</v>
      </c>
      <c r="AG69" s="4">
        <f t="shared" si="62"/>
        <v>0</v>
      </c>
      <c r="AH6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4.1574279379157433E-2</v>
      </c>
      <c r="AI69" s="25">
        <f>tbl_główna_GRACZE[[#This Row],[pts]]*(40/tbl_główna_GRACZE[[#This Row],[min]])</f>
        <v>0</v>
      </c>
      <c r="AJ69" s="30">
        <f>tbl_główna_GRACZE[[#This Row],[reb total]]*(40/tbl_główna_GRACZE[[#This Row],[min]])</f>
        <v>6.1538461538461542</v>
      </c>
      <c r="AK69" s="30">
        <f>tbl_główna_GRACZE[[#This Row],[asst]]*(40/tbl_główna_GRACZE[[#This Row],[min]])</f>
        <v>0</v>
      </c>
      <c r="AL69" s="5">
        <f t="shared" si="63"/>
        <v>0</v>
      </c>
      <c r="AM69" s="5">
        <f>(tbl_główna_GRACZE[[#This Row],[stl]]+tbl_główna_GRACZE[[#This Row],[blk]])*(40/tbl_główna_GRACZE[[#This Row],[min]])</f>
        <v>3.0769230769230771</v>
      </c>
      <c r="AN6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69" s="25">
        <f>tbl_główna_GRACZE[[#This Row],[stl]]+tbl_główna_GRACZE[[#This Row],[blk]]+(tbl_główna_GRACZE[[#This Row],[dreb]]*0.5)</f>
        <v>1.5</v>
      </c>
      <c r="AP69" s="29">
        <f>(tbl_główna_GRACZE[[#This Row],[stl]]+tbl_główna_GRACZE[[#This Row],[blk]]+0.5*tbl_główna_GRACZE[[#This Row],[dreb]])/tbl_główna_GRACZE[[#This Row],[min]]</f>
        <v>0.11538461538461539</v>
      </c>
      <c r="AQ69" s="6">
        <f t="shared" si="64"/>
        <v>-9.9999999999999645E-2</v>
      </c>
      <c r="AR69" s="6">
        <f>tbl_główna_GRACZE[[#This Row],[GmSc]]*(40/tbl_główna_GRACZE[[#This Row],[min]])</f>
        <v>-0.3076923076923066</v>
      </c>
      <c r="AS69" s="6">
        <f>tbl_główna_GRACZE[[#This Row],[EVAL]]*(40/tbl_główna_GRACZE[[#This Row],[min]])</f>
        <v>0</v>
      </c>
      <c r="AT69" s="11">
        <f>tbl_główna_GRACZE[[#This Row],[fgm]]-tbl_główna_GRACZE[[#This Row],[3pm]]</f>
        <v>0</v>
      </c>
      <c r="AU69" s="11">
        <f>tbl_główna_GRACZE[[#This Row],[fga]]-tbl_główna_GRACZE[[#This Row],[3pa]]</f>
        <v>3</v>
      </c>
      <c r="AV69">
        <f>IF(tbl_główna_GRACZE[[#This Row],[min]]&gt;0,1,0)</f>
        <v>1</v>
      </c>
      <c r="AW69" s="58" t="str">
        <f>tbl_główna_GRACZE[[#This Row],[I. Nazwisko]]</f>
        <v>A. Godlewski</v>
      </c>
    </row>
    <row r="70" spans="1:49" x14ac:dyDescent="0.35">
      <c r="A70" t="s">
        <v>25</v>
      </c>
      <c r="B70" t="s">
        <v>46</v>
      </c>
      <c r="C70" t="s">
        <v>57</v>
      </c>
      <c r="D70" t="str">
        <f>IF(C70="H",VLOOKUP($A70,tab_nazwy_zespołów[],2,0)&amp;VLOOKUP($B70,tab_nazwy_zespołów[],2,0),VLOOKUP($B70,tab_nazwy_zespołów[],2,0)&amp;VLOOKUP($A70,tab_nazwy_zespołów[],2,0))</f>
        <v>HUTBYP</v>
      </c>
      <c r="E70">
        <v>2</v>
      </c>
      <c r="F70">
        <f>COUNTIF(tbl_zawodnicy_sumy[I. Nazwisko],tbl_główna_GRACZE[[#This Row],[I. Nazwisko]])</f>
        <v>1</v>
      </c>
      <c r="G70" s="58" t="str">
        <f>RIGHT(tbl_główna_GRACZE[[#This Row],[Kolumna1]],LEN(tbl_główna_GRACZE[[#This Row],[Kolumna1]])-FIND(" ",tbl_główna_GRACZE[[#This Row],[Kolumna1]]))</f>
        <v>S. Saushkin</v>
      </c>
      <c r="H70" s="2" t="s">
        <v>330</v>
      </c>
      <c r="I70" s="10">
        <v>12</v>
      </c>
      <c r="J70" s="10">
        <v>20</v>
      </c>
      <c r="K70" s="10">
        <v>0</v>
      </c>
      <c r="L70" s="10">
        <v>2</v>
      </c>
      <c r="M70" s="10">
        <v>0</v>
      </c>
      <c r="N70" s="10">
        <v>2</v>
      </c>
      <c r="O70" s="10">
        <v>1</v>
      </c>
      <c r="P70" s="10">
        <v>6</v>
      </c>
      <c r="Q70" s="10">
        <v>2</v>
      </c>
      <c r="R70" s="10">
        <v>6</v>
      </c>
      <c r="S70" s="10">
        <v>0</v>
      </c>
      <c r="T70" s="10">
        <v>1</v>
      </c>
      <c r="U70" s="10">
        <v>5</v>
      </c>
      <c r="V70" s="10">
        <v>38</v>
      </c>
      <c r="W70" s="10">
        <v>24</v>
      </c>
      <c r="X70" s="57">
        <f t="shared" ref="X70:X76" si="65">O70+P70</f>
        <v>7</v>
      </c>
      <c r="Y70" s="4">
        <f t="shared" ref="Y70:Y76" si="66">I70/J70</f>
        <v>0.6</v>
      </c>
      <c r="Z70" s="4">
        <f t="shared" ref="Z70:Z76" si="67">IFERROR(K70/L70,0)</f>
        <v>0</v>
      </c>
      <c r="AA70" s="4">
        <f t="shared" ref="AA70:AA76" si="68">IFERROR(M70/N70,0)</f>
        <v>0</v>
      </c>
      <c r="AB70" s="4">
        <f>IFERROR(tbl_główna_GRACZE[[#This Row],[2pm]]/tbl_główna_GRACZE[[#This Row],[2pa]],0)</f>
        <v>0.66666666666666663</v>
      </c>
      <c r="AC70" s="4">
        <f t="shared" ref="AC70:AC76" si="69">W70/(2*(J70+0.44*N70))</f>
        <v>0.57471264367816099</v>
      </c>
      <c r="AD70" s="4">
        <f t="shared" ref="AD70:AD76" si="70">(I70+0.5*K70)/J70</f>
        <v>0.6</v>
      </c>
      <c r="AE70" s="11">
        <f t="shared" ref="AE70:AE76" si="71">R70+T70+U70+W70+X70-(J70-I70)-(N70-M70)</f>
        <v>33</v>
      </c>
      <c r="AF70" s="4">
        <f t="shared" ref="AF70:AF76" si="72">N70/J70</f>
        <v>0.1</v>
      </c>
      <c r="AG70" s="4">
        <f t="shared" ref="AG70:AG76" si="73">L70/J70</f>
        <v>0.1</v>
      </c>
      <c r="AH7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0.28871681415929207</v>
      </c>
      <c r="AI70" s="25">
        <f>tbl_główna_GRACZE[[#This Row],[pts]]*(40/tbl_główna_GRACZE[[#This Row],[min]])</f>
        <v>25.263157894736842</v>
      </c>
      <c r="AJ70" s="30">
        <f>tbl_główna_GRACZE[[#This Row],[reb total]]*(40/tbl_główna_GRACZE[[#This Row],[min]])</f>
        <v>7.3684210526315788</v>
      </c>
      <c r="AK70" s="30">
        <f>tbl_główna_GRACZE[[#This Row],[asst]]*(40/tbl_główna_GRACZE[[#This Row],[min]])</f>
        <v>5.2631578947368416</v>
      </c>
      <c r="AL70" s="5">
        <f t="shared" ref="AL70:AL76" si="74">W70/J70</f>
        <v>1.2</v>
      </c>
      <c r="AM70" s="5">
        <f>(tbl_główna_GRACZE[[#This Row],[stl]]+tbl_główna_GRACZE[[#This Row],[blk]])*(40/tbl_główna_GRACZE[[#This Row],[min]])</f>
        <v>7.3684210526315788</v>
      </c>
      <c r="AN7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70" s="25">
        <f>tbl_główna_GRACZE[[#This Row],[stl]]+tbl_główna_GRACZE[[#This Row],[blk]]+(tbl_główna_GRACZE[[#This Row],[dreb]]*0.5)</f>
        <v>10</v>
      </c>
      <c r="AP70" s="29">
        <f>(tbl_główna_GRACZE[[#This Row],[stl]]+tbl_główna_GRACZE[[#This Row],[blk]]+0.5*tbl_główna_GRACZE[[#This Row],[dreb]])/tbl_główna_GRACZE[[#This Row],[min]]</f>
        <v>0.26315789473684209</v>
      </c>
      <c r="AQ70" s="6">
        <f t="shared" ref="AQ70:AQ76" si="75">W70+0.4*I70-0.7*J70-0.4*(N70-M70)+0.7*O70+0.3*P70+R70+0.7*U70+0.7*T70</f>
        <v>26.7</v>
      </c>
      <c r="AR70" s="6">
        <f>tbl_główna_GRACZE[[#This Row],[GmSc]]*(40/tbl_główna_GRACZE[[#This Row],[min]])</f>
        <v>28.105263157894736</v>
      </c>
      <c r="AS70" s="6">
        <f>tbl_główna_GRACZE[[#This Row],[EVAL]]*(40/tbl_główna_GRACZE[[#This Row],[min]])</f>
        <v>34.736842105263158</v>
      </c>
      <c r="AT70" s="11">
        <f>tbl_główna_GRACZE[[#This Row],[fgm]]-tbl_główna_GRACZE[[#This Row],[3pm]]</f>
        <v>12</v>
      </c>
      <c r="AU70" s="11">
        <f>tbl_główna_GRACZE[[#This Row],[fga]]-tbl_główna_GRACZE[[#This Row],[3pa]]</f>
        <v>18</v>
      </c>
      <c r="AV70">
        <f>IF(tbl_główna_GRACZE[[#This Row],[min]]&gt;0,1,0)</f>
        <v>1</v>
      </c>
      <c r="AW70" s="58" t="str">
        <f>tbl_główna_GRACZE[[#This Row],[I. Nazwisko]]</f>
        <v>S. Saushkin</v>
      </c>
    </row>
    <row r="71" spans="1:49" x14ac:dyDescent="0.35">
      <c r="A71" t="s">
        <v>25</v>
      </c>
      <c r="B71" t="s">
        <v>46</v>
      </c>
      <c r="C71" t="s">
        <v>57</v>
      </c>
      <c r="D71" t="str">
        <f>IF(C71="H",VLOOKUP($A71,tab_nazwy_zespołów[],2,0)&amp;VLOOKUP($B71,tab_nazwy_zespołów[],2,0),VLOOKUP($B71,tab_nazwy_zespołów[],2,0)&amp;VLOOKUP($A71,tab_nazwy_zespołów[],2,0))</f>
        <v>HUTBYP</v>
      </c>
      <c r="E71">
        <v>2</v>
      </c>
      <c r="F71">
        <f>COUNTIF(tbl_zawodnicy_sumy[I. Nazwisko],tbl_główna_GRACZE[[#This Row],[I. Nazwisko]])</f>
        <v>1</v>
      </c>
      <c r="G71" s="58" t="str">
        <f>RIGHT(tbl_główna_GRACZE[[#This Row],[Kolumna1]],LEN(tbl_główna_GRACZE[[#This Row],[Kolumna1]])-FIND(" ",tbl_główna_GRACZE[[#This Row],[Kolumna1]]))</f>
        <v>A. Zverev</v>
      </c>
      <c r="H71" s="2" t="s">
        <v>331</v>
      </c>
      <c r="I71" s="10">
        <v>5</v>
      </c>
      <c r="J71" s="10">
        <v>8</v>
      </c>
      <c r="K71" s="10">
        <v>0</v>
      </c>
      <c r="L71" s="10">
        <v>0</v>
      </c>
      <c r="M71" s="10">
        <v>0</v>
      </c>
      <c r="N71" s="10">
        <v>0</v>
      </c>
      <c r="O71" s="10">
        <v>3</v>
      </c>
      <c r="P71" s="10">
        <v>3</v>
      </c>
      <c r="Q71" s="10">
        <v>4</v>
      </c>
      <c r="R71" s="10">
        <v>6</v>
      </c>
      <c r="S71" s="10">
        <v>0</v>
      </c>
      <c r="T71" s="10">
        <v>1</v>
      </c>
      <c r="U71" s="10">
        <v>2</v>
      </c>
      <c r="V71" s="10">
        <v>31</v>
      </c>
      <c r="W71" s="10">
        <v>10</v>
      </c>
      <c r="X71" s="57">
        <f t="shared" si="65"/>
        <v>6</v>
      </c>
      <c r="Y71" s="4">
        <f t="shared" si="66"/>
        <v>0.625</v>
      </c>
      <c r="Z71" s="4">
        <f t="shared" si="67"/>
        <v>0</v>
      </c>
      <c r="AA71" s="4">
        <f t="shared" si="68"/>
        <v>0</v>
      </c>
      <c r="AB71" s="4">
        <f>IFERROR(tbl_główna_GRACZE[[#This Row],[2pm]]/tbl_główna_GRACZE[[#This Row],[2pa]],0)</f>
        <v>0.625</v>
      </c>
      <c r="AC71" s="4">
        <f t="shared" si="69"/>
        <v>0.625</v>
      </c>
      <c r="AD71" s="4">
        <f t="shared" si="70"/>
        <v>0.625</v>
      </c>
      <c r="AE71" s="11">
        <f t="shared" si="71"/>
        <v>22</v>
      </c>
      <c r="AF71" s="4">
        <f t="shared" si="72"/>
        <v>0</v>
      </c>
      <c r="AG71" s="4">
        <f t="shared" si="73"/>
        <v>0</v>
      </c>
      <c r="AH7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0.11061946902654868</v>
      </c>
      <c r="AI71" s="25">
        <f>tbl_główna_GRACZE[[#This Row],[pts]]*(40/tbl_główna_GRACZE[[#This Row],[min]])</f>
        <v>12.903225806451612</v>
      </c>
      <c r="AJ71" s="30">
        <f>tbl_główna_GRACZE[[#This Row],[reb total]]*(40/tbl_główna_GRACZE[[#This Row],[min]])</f>
        <v>7.741935483870968</v>
      </c>
      <c r="AK71" s="30">
        <f>tbl_główna_GRACZE[[#This Row],[asst]]*(40/tbl_główna_GRACZE[[#This Row],[min]])</f>
        <v>2.5806451612903225</v>
      </c>
      <c r="AL71" s="5">
        <f t="shared" si="74"/>
        <v>1.25</v>
      </c>
      <c r="AM71" s="5">
        <f>(tbl_główna_GRACZE[[#This Row],[stl]]+tbl_główna_GRACZE[[#This Row],[blk]])*(40/tbl_główna_GRACZE[[#This Row],[min]])</f>
        <v>9.0322580645161281</v>
      </c>
      <c r="AN7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71" s="25">
        <f>tbl_główna_GRACZE[[#This Row],[stl]]+tbl_główna_GRACZE[[#This Row],[blk]]+(tbl_główna_GRACZE[[#This Row],[dreb]]*0.5)</f>
        <v>8.5</v>
      </c>
      <c r="AP71" s="29">
        <f>(tbl_główna_GRACZE[[#This Row],[stl]]+tbl_główna_GRACZE[[#This Row],[blk]]+0.5*tbl_główna_GRACZE[[#This Row],[dreb]])/tbl_główna_GRACZE[[#This Row],[min]]</f>
        <v>0.27419354838709675</v>
      </c>
      <c r="AQ71" s="6">
        <f t="shared" si="75"/>
        <v>17.5</v>
      </c>
      <c r="AR71" s="6">
        <f>tbl_główna_GRACZE[[#This Row],[GmSc]]*(40/tbl_główna_GRACZE[[#This Row],[min]])</f>
        <v>22.58064516129032</v>
      </c>
      <c r="AS71" s="6">
        <f>tbl_główna_GRACZE[[#This Row],[EVAL]]*(40/tbl_główna_GRACZE[[#This Row],[min]])</f>
        <v>28.387096774193548</v>
      </c>
      <c r="AT71" s="11">
        <f>tbl_główna_GRACZE[[#This Row],[fgm]]-tbl_główna_GRACZE[[#This Row],[3pm]]</f>
        <v>5</v>
      </c>
      <c r="AU71" s="11">
        <f>tbl_główna_GRACZE[[#This Row],[fga]]-tbl_główna_GRACZE[[#This Row],[3pa]]</f>
        <v>8</v>
      </c>
      <c r="AV71">
        <f>IF(tbl_główna_GRACZE[[#This Row],[min]]&gt;0,1,0)</f>
        <v>1</v>
      </c>
      <c r="AW71" s="58" t="str">
        <f>tbl_główna_GRACZE[[#This Row],[I. Nazwisko]]</f>
        <v>A. Zverev</v>
      </c>
    </row>
    <row r="72" spans="1:49" x14ac:dyDescent="0.35">
      <c r="A72" t="s">
        <v>25</v>
      </c>
      <c r="B72" t="s">
        <v>46</v>
      </c>
      <c r="C72" t="s">
        <v>57</v>
      </c>
      <c r="D72" t="str">
        <f>IF(C72="H",VLOOKUP($A72,tab_nazwy_zespołów[],2,0)&amp;VLOOKUP($B72,tab_nazwy_zespołów[],2,0),VLOOKUP($B72,tab_nazwy_zespołów[],2,0)&amp;VLOOKUP($A72,tab_nazwy_zespołów[],2,0))</f>
        <v>HUTBYP</v>
      </c>
      <c r="E72">
        <v>2</v>
      </c>
      <c r="F72">
        <f>COUNTIF(tbl_zawodnicy_sumy[I. Nazwisko],tbl_główna_GRACZE[[#This Row],[I. Nazwisko]])</f>
        <v>1</v>
      </c>
      <c r="G72" s="58" t="str">
        <f>RIGHT(tbl_główna_GRACZE[[#This Row],[Kolumna1]],LEN(tbl_główna_GRACZE[[#This Row],[Kolumna1]])-FIND(" ",tbl_główna_GRACZE[[#This Row],[Kolumna1]]))</f>
        <v>D. Newteruk</v>
      </c>
      <c r="H72" s="2" t="s">
        <v>332</v>
      </c>
      <c r="I72" s="10">
        <v>3</v>
      </c>
      <c r="J72" s="10">
        <v>14</v>
      </c>
      <c r="K72" s="10">
        <v>1</v>
      </c>
      <c r="L72" s="10">
        <v>6</v>
      </c>
      <c r="M72" s="10">
        <v>1</v>
      </c>
      <c r="N72" s="10">
        <v>1</v>
      </c>
      <c r="O72" s="10">
        <v>3</v>
      </c>
      <c r="P72" s="10">
        <v>3</v>
      </c>
      <c r="Q72" s="10">
        <v>0</v>
      </c>
      <c r="R72" s="10">
        <v>0</v>
      </c>
      <c r="S72" s="10">
        <v>0</v>
      </c>
      <c r="T72" s="10">
        <v>0</v>
      </c>
      <c r="U72" s="10">
        <v>2</v>
      </c>
      <c r="V72" s="10">
        <v>33</v>
      </c>
      <c r="W72" s="10">
        <v>8</v>
      </c>
      <c r="X72" s="57">
        <f t="shared" si="65"/>
        <v>6</v>
      </c>
      <c r="Y72" s="4">
        <f t="shared" si="66"/>
        <v>0.21428571428571427</v>
      </c>
      <c r="Z72" s="4">
        <f t="shared" si="67"/>
        <v>0.16666666666666666</v>
      </c>
      <c r="AA72" s="4">
        <f t="shared" si="68"/>
        <v>1</v>
      </c>
      <c r="AB72" s="4">
        <f>IFERROR(tbl_główna_GRACZE[[#This Row],[2pm]]/tbl_główna_GRACZE[[#This Row],[2pa]],0)</f>
        <v>0.25</v>
      </c>
      <c r="AC72" s="4">
        <f t="shared" si="69"/>
        <v>0.2770083102493075</v>
      </c>
      <c r="AD72" s="4">
        <f t="shared" si="70"/>
        <v>0.25</v>
      </c>
      <c r="AE72" s="11">
        <f t="shared" si="71"/>
        <v>5</v>
      </c>
      <c r="AF72" s="4">
        <f t="shared" si="72"/>
        <v>7.1428571428571425E-2</v>
      </c>
      <c r="AG72" s="4">
        <f t="shared" si="73"/>
        <v>0.42857142857142855</v>
      </c>
      <c r="AH7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0.19966814159292037</v>
      </c>
      <c r="AI72" s="25">
        <f>tbl_główna_GRACZE[[#This Row],[pts]]*(40/tbl_główna_GRACZE[[#This Row],[min]])</f>
        <v>9.6969696969696972</v>
      </c>
      <c r="AJ72" s="30">
        <f>tbl_główna_GRACZE[[#This Row],[reb total]]*(40/tbl_główna_GRACZE[[#This Row],[min]])</f>
        <v>7.2727272727272734</v>
      </c>
      <c r="AK72" s="30">
        <f>tbl_główna_GRACZE[[#This Row],[asst]]*(40/tbl_główna_GRACZE[[#This Row],[min]])</f>
        <v>2.4242424242424243</v>
      </c>
      <c r="AL72" s="5">
        <f t="shared" si="74"/>
        <v>0.5714285714285714</v>
      </c>
      <c r="AM72" s="5">
        <f>(tbl_główna_GRACZE[[#This Row],[stl]]+tbl_główna_GRACZE[[#This Row],[blk]])*(40/tbl_główna_GRACZE[[#This Row],[min]])</f>
        <v>0</v>
      </c>
      <c r="AN7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2" s="25">
        <f>tbl_główna_GRACZE[[#This Row],[stl]]+tbl_główna_GRACZE[[#This Row],[blk]]+(tbl_główna_GRACZE[[#This Row],[dreb]]*0.5)</f>
        <v>1.5</v>
      </c>
      <c r="AP72" s="29">
        <f>(tbl_główna_GRACZE[[#This Row],[stl]]+tbl_główna_GRACZE[[#This Row],[blk]]+0.5*tbl_główna_GRACZE[[#This Row],[dreb]])/tbl_główna_GRACZE[[#This Row],[min]]</f>
        <v>4.5454545454545456E-2</v>
      </c>
      <c r="AQ72" s="6">
        <f t="shared" si="75"/>
        <v>3.8</v>
      </c>
      <c r="AR72" s="6">
        <f>tbl_główna_GRACZE[[#This Row],[GmSc]]*(40/tbl_główna_GRACZE[[#This Row],[min]])</f>
        <v>4.6060606060606064</v>
      </c>
      <c r="AS72" s="6">
        <f>tbl_główna_GRACZE[[#This Row],[EVAL]]*(40/tbl_główna_GRACZE[[#This Row],[min]])</f>
        <v>6.0606060606060606</v>
      </c>
      <c r="AT72" s="11">
        <f>tbl_główna_GRACZE[[#This Row],[fgm]]-tbl_główna_GRACZE[[#This Row],[3pm]]</f>
        <v>2</v>
      </c>
      <c r="AU72" s="11">
        <f>tbl_główna_GRACZE[[#This Row],[fga]]-tbl_główna_GRACZE[[#This Row],[3pa]]</f>
        <v>8</v>
      </c>
      <c r="AV72">
        <f>IF(tbl_główna_GRACZE[[#This Row],[min]]&gt;0,1,0)</f>
        <v>1</v>
      </c>
      <c r="AW72" s="58" t="str">
        <f>tbl_główna_GRACZE[[#This Row],[I. Nazwisko]]</f>
        <v>D. Newteruk</v>
      </c>
    </row>
    <row r="73" spans="1:49" x14ac:dyDescent="0.35">
      <c r="A73" t="s">
        <v>25</v>
      </c>
      <c r="B73" t="s">
        <v>46</v>
      </c>
      <c r="C73" t="s">
        <v>57</v>
      </c>
      <c r="D73" t="str">
        <f>IF(C73="H",VLOOKUP($A73,tab_nazwy_zespołów[],2,0)&amp;VLOOKUP($B73,tab_nazwy_zespołów[],2,0),VLOOKUP($B73,tab_nazwy_zespołów[],2,0)&amp;VLOOKUP($A73,tab_nazwy_zespołów[],2,0))</f>
        <v>HUTBYP</v>
      </c>
      <c r="E73">
        <v>2</v>
      </c>
      <c r="F73">
        <f>COUNTIF(tbl_zawodnicy_sumy[I. Nazwisko],tbl_główna_GRACZE[[#This Row],[I. Nazwisko]])</f>
        <v>1</v>
      </c>
      <c r="G73" s="58" t="str">
        <f>RIGHT(tbl_główna_GRACZE[[#This Row],[Kolumna1]],LEN(tbl_główna_GRACZE[[#This Row],[Kolumna1]])-FIND(" ",tbl_główna_GRACZE[[#This Row],[Kolumna1]]))</f>
        <v>B. Kichuk</v>
      </c>
      <c r="H73" s="2" t="s">
        <v>333</v>
      </c>
      <c r="I73" s="10">
        <v>4</v>
      </c>
      <c r="J73" s="10">
        <v>9</v>
      </c>
      <c r="K73" s="10">
        <v>0</v>
      </c>
      <c r="L73" s="10">
        <v>2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2</v>
      </c>
      <c r="S73" s="10">
        <v>0</v>
      </c>
      <c r="T73" s="10">
        <v>0</v>
      </c>
      <c r="U73" s="10">
        <v>2</v>
      </c>
      <c r="V73" s="10">
        <v>27</v>
      </c>
      <c r="W73" s="10">
        <v>8</v>
      </c>
      <c r="X73" s="57">
        <f t="shared" si="65"/>
        <v>0</v>
      </c>
      <c r="Y73" s="4">
        <f t="shared" si="66"/>
        <v>0.44444444444444442</v>
      </c>
      <c r="Z73" s="4">
        <f t="shared" si="67"/>
        <v>0</v>
      </c>
      <c r="AA73" s="4">
        <f t="shared" si="68"/>
        <v>0</v>
      </c>
      <c r="AB73" s="4">
        <f>IFERROR(tbl_główna_GRACZE[[#This Row],[2pm]]/tbl_główna_GRACZE[[#This Row],[2pa]],0)</f>
        <v>0.5714285714285714</v>
      </c>
      <c r="AC73" s="4">
        <f t="shared" si="69"/>
        <v>0.44444444444444442</v>
      </c>
      <c r="AD73" s="4">
        <f t="shared" si="70"/>
        <v>0.44444444444444442</v>
      </c>
      <c r="AE73" s="11">
        <f t="shared" si="71"/>
        <v>7</v>
      </c>
      <c r="AF73" s="4">
        <f t="shared" si="72"/>
        <v>0</v>
      </c>
      <c r="AG73" s="4">
        <f t="shared" si="73"/>
        <v>0.22222222222222221</v>
      </c>
      <c r="AH7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0.12444690265486727</v>
      </c>
      <c r="AI73" s="25">
        <f>tbl_główna_GRACZE[[#This Row],[pts]]*(40/tbl_główna_GRACZE[[#This Row],[min]])</f>
        <v>11.851851851851851</v>
      </c>
      <c r="AJ73" s="30">
        <f>tbl_główna_GRACZE[[#This Row],[reb total]]*(40/tbl_główna_GRACZE[[#This Row],[min]])</f>
        <v>0</v>
      </c>
      <c r="AK73" s="30">
        <f>tbl_główna_GRACZE[[#This Row],[asst]]*(40/tbl_główna_GRACZE[[#This Row],[min]])</f>
        <v>2.9629629629629628</v>
      </c>
      <c r="AL73" s="5">
        <f t="shared" si="74"/>
        <v>0.88888888888888884</v>
      </c>
      <c r="AM73" s="5">
        <f>(tbl_główna_GRACZE[[#This Row],[stl]]+tbl_główna_GRACZE[[#This Row],[blk]])*(40/tbl_główna_GRACZE[[#This Row],[min]])</f>
        <v>2.9629629629629628</v>
      </c>
      <c r="AN7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3" s="25">
        <f>tbl_główna_GRACZE[[#This Row],[stl]]+tbl_główna_GRACZE[[#This Row],[blk]]+(tbl_główna_GRACZE[[#This Row],[dreb]]*0.5)</f>
        <v>2</v>
      </c>
      <c r="AP73" s="29">
        <f>(tbl_główna_GRACZE[[#This Row],[stl]]+tbl_główna_GRACZE[[#This Row],[blk]]+0.5*tbl_główna_GRACZE[[#This Row],[dreb]])/tbl_główna_GRACZE[[#This Row],[min]]</f>
        <v>7.407407407407407E-2</v>
      </c>
      <c r="AQ73" s="6">
        <f t="shared" si="75"/>
        <v>6.6999999999999993</v>
      </c>
      <c r="AR73" s="6">
        <f>tbl_główna_GRACZE[[#This Row],[GmSc]]*(40/tbl_główna_GRACZE[[#This Row],[min]])</f>
        <v>9.9259259259259238</v>
      </c>
      <c r="AS73" s="6">
        <f>tbl_główna_GRACZE[[#This Row],[EVAL]]*(40/tbl_główna_GRACZE[[#This Row],[min]])</f>
        <v>10.37037037037037</v>
      </c>
      <c r="AT73" s="11">
        <f>tbl_główna_GRACZE[[#This Row],[fgm]]-tbl_główna_GRACZE[[#This Row],[3pm]]</f>
        <v>4</v>
      </c>
      <c r="AU73" s="11">
        <f>tbl_główna_GRACZE[[#This Row],[fga]]-tbl_główna_GRACZE[[#This Row],[3pa]]</f>
        <v>7</v>
      </c>
      <c r="AV73">
        <f>IF(tbl_główna_GRACZE[[#This Row],[min]]&gt;0,1,0)</f>
        <v>1</v>
      </c>
      <c r="AW73" s="58" t="str">
        <f>tbl_główna_GRACZE[[#This Row],[I. Nazwisko]]</f>
        <v>B. Kichuk</v>
      </c>
    </row>
    <row r="74" spans="1:49" x14ac:dyDescent="0.35">
      <c r="A74" t="s">
        <v>25</v>
      </c>
      <c r="B74" t="s">
        <v>46</v>
      </c>
      <c r="C74" t="s">
        <v>57</v>
      </c>
      <c r="D74" t="str">
        <f>IF(C74="H",VLOOKUP($A74,tab_nazwy_zespołów[],2,0)&amp;VLOOKUP($B74,tab_nazwy_zespołów[],2,0),VLOOKUP($B74,tab_nazwy_zespołów[],2,0)&amp;VLOOKUP($A74,tab_nazwy_zespołów[],2,0))</f>
        <v>HUTBYP</v>
      </c>
      <c r="E74">
        <v>2</v>
      </c>
      <c r="F74">
        <f>COUNTIF(tbl_zawodnicy_sumy[I. Nazwisko],tbl_główna_GRACZE[[#This Row],[I. Nazwisko]])</f>
        <v>1</v>
      </c>
      <c r="G74" s="58" t="str">
        <f>RIGHT(tbl_główna_GRACZE[[#This Row],[Kolumna1]],LEN(tbl_główna_GRACZE[[#This Row],[Kolumna1]])-FIND(" ",tbl_główna_GRACZE[[#This Row],[Kolumna1]]))</f>
        <v>S. Gonchar</v>
      </c>
      <c r="H74" s="2" t="s">
        <v>334</v>
      </c>
      <c r="I74" s="10">
        <v>3</v>
      </c>
      <c r="J74" s="10">
        <v>12</v>
      </c>
      <c r="K74" s="10">
        <v>0</v>
      </c>
      <c r="L74" s="10">
        <v>1</v>
      </c>
      <c r="M74" s="10">
        <v>0</v>
      </c>
      <c r="N74" s="10">
        <v>0</v>
      </c>
      <c r="O74" s="10">
        <v>5</v>
      </c>
      <c r="P74" s="10">
        <v>2</v>
      </c>
      <c r="Q74" s="10">
        <v>1</v>
      </c>
      <c r="R74" s="10">
        <v>2</v>
      </c>
      <c r="S74" s="10">
        <v>0</v>
      </c>
      <c r="T74" s="10">
        <v>0</v>
      </c>
      <c r="U74" s="10">
        <v>6</v>
      </c>
      <c r="V74" s="10">
        <v>31</v>
      </c>
      <c r="W74" s="10">
        <v>6</v>
      </c>
      <c r="X74" s="57">
        <f t="shared" si="65"/>
        <v>7</v>
      </c>
      <c r="Y74" s="4">
        <f t="shared" si="66"/>
        <v>0.25</v>
      </c>
      <c r="Z74" s="4">
        <f t="shared" si="67"/>
        <v>0</v>
      </c>
      <c r="AA74" s="4">
        <f t="shared" si="68"/>
        <v>0</v>
      </c>
      <c r="AB74" s="4">
        <f>IFERROR(tbl_główna_GRACZE[[#This Row],[2pm]]/tbl_główna_GRACZE[[#This Row],[2pa]],0)</f>
        <v>0.27272727272727271</v>
      </c>
      <c r="AC74" s="4">
        <f t="shared" si="69"/>
        <v>0.25</v>
      </c>
      <c r="AD74" s="4">
        <f t="shared" si="70"/>
        <v>0.25</v>
      </c>
      <c r="AE74" s="11">
        <f t="shared" si="71"/>
        <v>12</v>
      </c>
      <c r="AF74" s="4">
        <f t="shared" si="72"/>
        <v>0</v>
      </c>
      <c r="AG74" s="4">
        <f t="shared" si="73"/>
        <v>8.3333333333333329E-2</v>
      </c>
      <c r="AH7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0.16592920353982302</v>
      </c>
      <c r="AI74" s="25">
        <f>tbl_główna_GRACZE[[#This Row],[pts]]*(40/tbl_główna_GRACZE[[#This Row],[min]])</f>
        <v>7.741935483870968</v>
      </c>
      <c r="AJ74" s="30">
        <f>tbl_główna_GRACZE[[#This Row],[reb total]]*(40/tbl_główna_GRACZE[[#This Row],[min]])</f>
        <v>9.0322580645161281</v>
      </c>
      <c r="AK74" s="30">
        <f>tbl_główna_GRACZE[[#This Row],[asst]]*(40/tbl_główna_GRACZE[[#This Row],[min]])</f>
        <v>7.741935483870968</v>
      </c>
      <c r="AL74" s="5">
        <f t="shared" si="74"/>
        <v>0.5</v>
      </c>
      <c r="AM74" s="5">
        <f>(tbl_główna_GRACZE[[#This Row],[stl]]+tbl_główna_GRACZE[[#This Row],[blk]])*(40/tbl_główna_GRACZE[[#This Row],[min]])</f>
        <v>2.5806451612903225</v>
      </c>
      <c r="AN7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4" s="25">
        <f>tbl_główna_GRACZE[[#This Row],[stl]]+tbl_główna_GRACZE[[#This Row],[blk]]+(tbl_główna_GRACZE[[#This Row],[dreb]]*0.5)</f>
        <v>3</v>
      </c>
      <c r="AP74" s="29">
        <f>(tbl_główna_GRACZE[[#This Row],[stl]]+tbl_główna_GRACZE[[#This Row],[blk]]+0.5*tbl_główna_GRACZE[[#This Row],[dreb]])/tbl_główna_GRACZE[[#This Row],[min]]</f>
        <v>9.6774193548387094E-2</v>
      </c>
      <c r="AQ74" s="6">
        <f t="shared" si="75"/>
        <v>9.1000000000000014</v>
      </c>
      <c r="AR74" s="6">
        <f>tbl_główna_GRACZE[[#This Row],[GmSc]]*(40/tbl_główna_GRACZE[[#This Row],[min]])</f>
        <v>11.74193548387097</v>
      </c>
      <c r="AS74" s="6">
        <f>tbl_główna_GRACZE[[#This Row],[EVAL]]*(40/tbl_główna_GRACZE[[#This Row],[min]])</f>
        <v>15.483870967741936</v>
      </c>
      <c r="AT74" s="11">
        <f>tbl_główna_GRACZE[[#This Row],[fgm]]-tbl_główna_GRACZE[[#This Row],[3pm]]</f>
        <v>3</v>
      </c>
      <c r="AU74" s="11">
        <f>tbl_główna_GRACZE[[#This Row],[fga]]-tbl_główna_GRACZE[[#This Row],[3pa]]</f>
        <v>11</v>
      </c>
      <c r="AV74">
        <f>IF(tbl_główna_GRACZE[[#This Row],[min]]&gt;0,1,0)</f>
        <v>1</v>
      </c>
      <c r="AW74" s="58" t="str">
        <f>tbl_główna_GRACZE[[#This Row],[I. Nazwisko]]</f>
        <v>S. Gonchar</v>
      </c>
    </row>
    <row r="75" spans="1:49" x14ac:dyDescent="0.35">
      <c r="A75" t="s">
        <v>25</v>
      </c>
      <c r="B75" t="s">
        <v>46</v>
      </c>
      <c r="C75" t="s">
        <v>57</v>
      </c>
      <c r="D75" t="str">
        <f>IF(C75="H",VLOOKUP($A75,tab_nazwy_zespołów[],2,0)&amp;VLOOKUP($B75,tab_nazwy_zespołów[],2,0),VLOOKUP($B75,tab_nazwy_zespołów[],2,0)&amp;VLOOKUP($A75,tab_nazwy_zespołów[],2,0))</f>
        <v>HUTBYP</v>
      </c>
      <c r="E75">
        <v>2</v>
      </c>
      <c r="F75">
        <f>COUNTIF(tbl_zawodnicy_sumy[I. Nazwisko],tbl_główna_GRACZE[[#This Row],[I. Nazwisko]])</f>
        <v>1</v>
      </c>
      <c r="G75" s="58" t="str">
        <f>RIGHT(tbl_główna_GRACZE[[#This Row],[Kolumna1]],LEN(tbl_główna_GRACZE[[#This Row],[Kolumna1]])-FIND(" ",tbl_główna_GRACZE[[#This Row],[Kolumna1]]))</f>
        <v>K. Mikolaj</v>
      </c>
      <c r="H75" s="2" t="s">
        <v>335</v>
      </c>
      <c r="I75" s="10">
        <v>3</v>
      </c>
      <c r="J75" s="10">
        <v>7</v>
      </c>
      <c r="K75" s="10">
        <v>0</v>
      </c>
      <c r="L75" s="10">
        <v>0</v>
      </c>
      <c r="M75" s="10">
        <v>0</v>
      </c>
      <c r="N75" s="10">
        <v>0</v>
      </c>
      <c r="O75" s="10">
        <v>2</v>
      </c>
      <c r="P75" s="10">
        <v>4</v>
      </c>
      <c r="Q75" s="10">
        <v>1</v>
      </c>
      <c r="R75" s="10">
        <v>1</v>
      </c>
      <c r="S75" s="10">
        <v>0</v>
      </c>
      <c r="T75" s="10">
        <v>1</v>
      </c>
      <c r="U75" s="10">
        <v>1</v>
      </c>
      <c r="V75" s="10">
        <v>23</v>
      </c>
      <c r="W75" s="10">
        <v>6</v>
      </c>
      <c r="X75" s="57">
        <f t="shared" si="65"/>
        <v>6</v>
      </c>
      <c r="Y75" s="4">
        <f t="shared" si="66"/>
        <v>0.42857142857142855</v>
      </c>
      <c r="Z75" s="4">
        <f t="shared" si="67"/>
        <v>0</v>
      </c>
      <c r="AA75" s="4">
        <f t="shared" si="68"/>
        <v>0</v>
      </c>
      <c r="AB75" s="4">
        <f>IFERROR(tbl_główna_GRACZE[[#This Row],[2pm]]/tbl_główna_GRACZE[[#This Row],[2pa]],0)</f>
        <v>0.42857142857142855</v>
      </c>
      <c r="AC75" s="4">
        <f t="shared" si="69"/>
        <v>0.42857142857142855</v>
      </c>
      <c r="AD75" s="4">
        <f t="shared" si="70"/>
        <v>0.42857142857142855</v>
      </c>
      <c r="AE75" s="11">
        <f t="shared" si="71"/>
        <v>11</v>
      </c>
      <c r="AF75" s="4">
        <f t="shared" si="72"/>
        <v>0</v>
      </c>
      <c r="AG75" s="4">
        <f t="shared" si="73"/>
        <v>0</v>
      </c>
      <c r="AH7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9.67920353982301E-2</v>
      </c>
      <c r="AI75" s="25">
        <f>tbl_główna_GRACZE[[#This Row],[pts]]*(40/tbl_główna_GRACZE[[#This Row],[min]])</f>
        <v>10.434782608695652</v>
      </c>
      <c r="AJ75" s="30">
        <f>tbl_główna_GRACZE[[#This Row],[reb total]]*(40/tbl_główna_GRACZE[[#This Row],[min]])</f>
        <v>10.434782608695652</v>
      </c>
      <c r="AK75" s="30">
        <f>tbl_główna_GRACZE[[#This Row],[asst]]*(40/tbl_główna_GRACZE[[#This Row],[min]])</f>
        <v>1.7391304347826086</v>
      </c>
      <c r="AL75" s="5">
        <f t="shared" si="74"/>
        <v>0.8571428571428571</v>
      </c>
      <c r="AM75" s="5">
        <f>(tbl_główna_GRACZE[[#This Row],[stl]]+tbl_główna_GRACZE[[#This Row],[blk]])*(40/tbl_główna_GRACZE[[#This Row],[min]])</f>
        <v>3.4782608695652173</v>
      </c>
      <c r="AN7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5" s="25">
        <f>tbl_główna_GRACZE[[#This Row],[stl]]+tbl_główna_GRACZE[[#This Row],[blk]]+(tbl_główna_GRACZE[[#This Row],[dreb]]*0.5)</f>
        <v>4</v>
      </c>
      <c r="AP75" s="29">
        <f>(tbl_główna_GRACZE[[#This Row],[stl]]+tbl_główna_GRACZE[[#This Row],[blk]]+0.5*tbl_główna_GRACZE[[#This Row],[dreb]])/tbl_główna_GRACZE[[#This Row],[min]]</f>
        <v>0.17391304347826086</v>
      </c>
      <c r="AQ75" s="6">
        <f t="shared" si="75"/>
        <v>7.3000000000000007</v>
      </c>
      <c r="AR75" s="6">
        <f>tbl_główna_GRACZE[[#This Row],[GmSc]]*(40/tbl_główna_GRACZE[[#This Row],[min]])</f>
        <v>12.695652173913045</v>
      </c>
      <c r="AS75" s="6">
        <f>tbl_główna_GRACZE[[#This Row],[EVAL]]*(40/tbl_główna_GRACZE[[#This Row],[min]])</f>
        <v>19.130434782608695</v>
      </c>
      <c r="AT75" s="11">
        <f>tbl_główna_GRACZE[[#This Row],[fgm]]-tbl_główna_GRACZE[[#This Row],[3pm]]</f>
        <v>3</v>
      </c>
      <c r="AU75" s="11">
        <f>tbl_główna_GRACZE[[#This Row],[fga]]-tbl_główna_GRACZE[[#This Row],[3pa]]</f>
        <v>7</v>
      </c>
      <c r="AV75">
        <f>IF(tbl_główna_GRACZE[[#This Row],[min]]&gt;0,1,0)</f>
        <v>1</v>
      </c>
      <c r="AW75" s="58" t="str">
        <f>tbl_główna_GRACZE[[#This Row],[I. Nazwisko]]</f>
        <v>K. Mikolaj</v>
      </c>
    </row>
    <row r="76" spans="1:49" x14ac:dyDescent="0.35">
      <c r="A76" t="s">
        <v>25</v>
      </c>
      <c r="B76" t="s">
        <v>46</v>
      </c>
      <c r="C76" t="s">
        <v>57</v>
      </c>
      <c r="D76" t="str">
        <f>IF(C76="H",VLOOKUP($A76,tab_nazwy_zespołów[],2,0)&amp;VLOOKUP($B76,tab_nazwy_zespołów[],2,0),VLOOKUP($B76,tab_nazwy_zespołów[],2,0)&amp;VLOOKUP($A76,tab_nazwy_zespołów[],2,0))</f>
        <v>HUTBYP</v>
      </c>
      <c r="E76">
        <v>2</v>
      </c>
      <c r="F76">
        <f>COUNTIF(tbl_zawodnicy_sumy[I. Nazwisko],tbl_główna_GRACZE[[#This Row],[I. Nazwisko]])</f>
        <v>1</v>
      </c>
      <c r="G76" s="58" t="str">
        <f>RIGHT(tbl_główna_GRACZE[[#This Row],[Kolumna1]],LEN(tbl_główna_GRACZE[[#This Row],[Kolumna1]])-FIND(" ",tbl_główna_GRACZE[[#This Row],[Kolumna1]]))</f>
        <v>V. Kurshynov</v>
      </c>
      <c r="H76" s="2" t="s">
        <v>336</v>
      </c>
      <c r="I76" s="10">
        <v>0</v>
      </c>
      <c r="J76" s="10">
        <v>1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2</v>
      </c>
      <c r="U76" s="10">
        <v>0</v>
      </c>
      <c r="V76" s="10">
        <v>14</v>
      </c>
      <c r="W76" s="10">
        <v>0</v>
      </c>
      <c r="X76" s="57">
        <f t="shared" si="65"/>
        <v>0</v>
      </c>
      <c r="Y76" s="4">
        <f t="shared" si="66"/>
        <v>0</v>
      </c>
      <c r="Z76" s="4">
        <f t="shared" si="67"/>
        <v>0</v>
      </c>
      <c r="AA76" s="4">
        <f t="shared" si="68"/>
        <v>0</v>
      </c>
      <c r="AB76" s="4">
        <f>IFERROR(tbl_główna_GRACZE[[#This Row],[2pm]]/tbl_główna_GRACZE[[#This Row],[2pa]],0)</f>
        <v>0</v>
      </c>
      <c r="AC76" s="4">
        <f t="shared" si="69"/>
        <v>0</v>
      </c>
      <c r="AD76" s="4">
        <f t="shared" si="70"/>
        <v>0</v>
      </c>
      <c r="AE76" s="11">
        <f t="shared" si="71"/>
        <v>1</v>
      </c>
      <c r="AF76" s="4">
        <f t="shared" si="72"/>
        <v>0</v>
      </c>
      <c r="AG76" s="4">
        <f t="shared" si="73"/>
        <v>0</v>
      </c>
      <c r="AH7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1.3827433628318585E-2</v>
      </c>
      <c r="AI76" s="25">
        <f>tbl_główna_GRACZE[[#This Row],[pts]]*(40/tbl_główna_GRACZE[[#This Row],[min]])</f>
        <v>0</v>
      </c>
      <c r="AJ76" s="30">
        <f>tbl_główna_GRACZE[[#This Row],[reb total]]*(40/tbl_główna_GRACZE[[#This Row],[min]])</f>
        <v>0</v>
      </c>
      <c r="AK76" s="30">
        <f>tbl_główna_GRACZE[[#This Row],[asst]]*(40/tbl_główna_GRACZE[[#This Row],[min]])</f>
        <v>0</v>
      </c>
      <c r="AL76" s="5">
        <f t="shared" si="74"/>
        <v>0</v>
      </c>
      <c r="AM76" s="5">
        <f>(tbl_główna_GRACZE[[#This Row],[stl]]+tbl_główna_GRACZE[[#This Row],[blk]])*(40/tbl_główna_GRACZE[[#This Row],[min]])</f>
        <v>5.7142857142857144</v>
      </c>
      <c r="AN7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6" s="25">
        <f>tbl_główna_GRACZE[[#This Row],[stl]]+tbl_główna_GRACZE[[#This Row],[blk]]+(tbl_główna_GRACZE[[#This Row],[dreb]]*0.5)</f>
        <v>2</v>
      </c>
      <c r="AP76" s="29">
        <f>(tbl_główna_GRACZE[[#This Row],[stl]]+tbl_główna_GRACZE[[#This Row],[blk]]+0.5*tbl_główna_GRACZE[[#This Row],[dreb]])/tbl_główna_GRACZE[[#This Row],[min]]</f>
        <v>0.14285714285714285</v>
      </c>
      <c r="AQ76" s="6">
        <f t="shared" si="75"/>
        <v>0.7</v>
      </c>
      <c r="AR76" s="6">
        <f>tbl_główna_GRACZE[[#This Row],[GmSc]]*(40/tbl_główna_GRACZE[[#This Row],[min]])</f>
        <v>2</v>
      </c>
      <c r="AS76" s="6">
        <f>tbl_główna_GRACZE[[#This Row],[EVAL]]*(40/tbl_główna_GRACZE[[#This Row],[min]])</f>
        <v>2.8571428571428572</v>
      </c>
      <c r="AT76" s="11">
        <f>tbl_główna_GRACZE[[#This Row],[fgm]]-tbl_główna_GRACZE[[#This Row],[3pm]]</f>
        <v>0</v>
      </c>
      <c r="AU76" s="11">
        <f>tbl_główna_GRACZE[[#This Row],[fga]]-tbl_główna_GRACZE[[#This Row],[3pa]]</f>
        <v>1</v>
      </c>
      <c r="AV76">
        <f>IF(tbl_główna_GRACZE[[#This Row],[min]]&gt;0,1,0)</f>
        <v>1</v>
      </c>
      <c r="AW76" s="58" t="str">
        <f>tbl_główna_GRACZE[[#This Row],[I. Nazwisko]]</f>
        <v>V. Kurshynov</v>
      </c>
    </row>
    <row r="77" spans="1:49" x14ac:dyDescent="0.35">
      <c r="A77" t="s">
        <v>46</v>
      </c>
      <c r="B77" t="s">
        <v>25</v>
      </c>
      <c r="C77" t="s">
        <v>58</v>
      </c>
      <c r="D77" t="str">
        <f>IF(C77="H",VLOOKUP($A77,tab_nazwy_zespołów[],2,0)&amp;VLOOKUP($B77,tab_nazwy_zespołów[],2,0),VLOOKUP($B77,tab_nazwy_zespołów[],2,0)&amp;VLOOKUP($A77,tab_nazwy_zespołów[],2,0))</f>
        <v>HUTBYP</v>
      </c>
      <c r="E77">
        <v>2</v>
      </c>
      <c r="F77">
        <f>COUNTIF(tbl_zawodnicy_sumy[I. Nazwisko],tbl_główna_GRACZE[[#This Row],[I. Nazwisko]])</f>
        <v>1</v>
      </c>
      <c r="G77" s="58" t="str">
        <f>RIGHT(tbl_główna_GRACZE[[#This Row],[Kolumna1]],LEN(tbl_główna_GRACZE[[#This Row],[Kolumna1]])-FIND(" ",tbl_główna_GRACZE[[#This Row],[Kolumna1]]))</f>
        <v>Ł. Sulejewski</v>
      </c>
      <c r="H77" s="2" t="s">
        <v>69</v>
      </c>
      <c r="I77" s="10">
        <v>4</v>
      </c>
      <c r="J77" s="10">
        <v>20</v>
      </c>
      <c r="K77" s="10">
        <v>1</v>
      </c>
      <c r="L77" s="10">
        <v>8</v>
      </c>
      <c r="M77" s="10">
        <v>1</v>
      </c>
      <c r="N77" s="10">
        <v>2</v>
      </c>
      <c r="O77" s="10">
        <v>0</v>
      </c>
      <c r="P77" s="10">
        <v>0</v>
      </c>
      <c r="Q77" s="10">
        <v>1</v>
      </c>
      <c r="R77" s="10">
        <v>2</v>
      </c>
      <c r="S77" s="10">
        <v>0</v>
      </c>
      <c r="T77" s="10">
        <v>0</v>
      </c>
      <c r="U77" s="10">
        <v>0</v>
      </c>
      <c r="V77" s="10">
        <v>25</v>
      </c>
      <c r="W77" s="10">
        <v>10</v>
      </c>
      <c r="X77" s="57">
        <f t="shared" ref="X77:X84" si="76">O77+P77</f>
        <v>0</v>
      </c>
      <c r="Y77" s="4">
        <f t="shared" ref="Y77:Y84" si="77">I77/J77</f>
        <v>0.2</v>
      </c>
      <c r="Z77" s="4">
        <f t="shared" ref="Z77:Z84" si="78">IFERROR(K77/L77,0)</f>
        <v>0.125</v>
      </c>
      <c r="AA77" s="4">
        <f t="shared" ref="AA77:AA84" si="79">IFERROR(M77/N77,0)</f>
        <v>0.5</v>
      </c>
      <c r="AB77" s="4">
        <f>IFERROR(tbl_główna_GRACZE[[#This Row],[2pm]]/tbl_główna_GRACZE[[#This Row],[2pa]],0)</f>
        <v>0.25</v>
      </c>
      <c r="AC77" s="4">
        <f t="shared" ref="AC77:AC84" si="80">W77/(2*(J77+0.44*N77))</f>
        <v>0.23946360153256707</v>
      </c>
      <c r="AD77" s="4">
        <f t="shared" ref="AD77:AD84" si="81">(I77+0.5*K77)/J77</f>
        <v>0.22500000000000001</v>
      </c>
      <c r="AE77" s="11">
        <f t="shared" ref="AE77:AE84" si="82">R77+T77+U77+W77+X77-(J77-I77)-(N77-M77)</f>
        <v>-5</v>
      </c>
      <c r="AF77" s="4">
        <f t="shared" ref="AF77:AF84" si="83">N77/J77</f>
        <v>0.1</v>
      </c>
      <c r="AG77" s="4">
        <f t="shared" ref="AG77:AG84" si="84">L77/J77</f>
        <v>0.4</v>
      </c>
      <c r="AH7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0.31868131868131866</v>
      </c>
      <c r="AI77" s="25">
        <f>tbl_główna_GRACZE[[#This Row],[pts]]*(40/tbl_główna_GRACZE[[#This Row],[min]])</f>
        <v>16</v>
      </c>
      <c r="AJ77" s="30">
        <f>tbl_główna_GRACZE[[#This Row],[reb total]]*(40/tbl_główna_GRACZE[[#This Row],[min]])</f>
        <v>0</v>
      </c>
      <c r="AK77" s="30">
        <f>tbl_główna_GRACZE[[#This Row],[asst]]*(40/tbl_główna_GRACZE[[#This Row],[min]])</f>
        <v>0</v>
      </c>
      <c r="AL77" s="5">
        <f t="shared" ref="AL77:AL84" si="85">W77/J77</f>
        <v>0.5</v>
      </c>
      <c r="AM77" s="5">
        <f>(tbl_główna_GRACZE[[#This Row],[stl]]+tbl_główna_GRACZE[[#This Row],[blk]])*(40/tbl_główna_GRACZE[[#This Row],[min]])</f>
        <v>3.2</v>
      </c>
      <c r="AN7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77" s="25">
        <f>tbl_główna_GRACZE[[#This Row],[stl]]+tbl_główna_GRACZE[[#This Row],[blk]]+(tbl_główna_GRACZE[[#This Row],[dreb]]*0.5)</f>
        <v>2</v>
      </c>
      <c r="AP77" s="29">
        <f>(tbl_główna_GRACZE[[#This Row],[stl]]+tbl_główna_GRACZE[[#This Row],[blk]]+0.5*tbl_główna_GRACZE[[#This Row],[dreb]])/tbl_główna_GRACZE[[#This Row],[min]]</f>
        <v>0.08</v>
      </c>
      <c r="AQ77" s="6">
        <f t="shared" ref="AQ77:AQ84" si="86">W77+0.4*I77-0.7*J77-0.4*(N77-M77)+0.7*O77+0.3*P77+R77+0.7*U77+0.7*T77</f>
        <v>-0.80000000000000027</v>
      </c>
      <c r="AR77" s="6">
        <f>tbl_główna_GRACZE[[#This Row],[GmSc]]*(40/tbl_główna_GRACZE[[#This Row],[min]])</f>
        <v>-1.2800000000000005</v>
      </c>
      <c r="AS77" s="6">
        <f>tbl_główna_GRACZE[[#This Row],[EVAL]]*(40/tbl_główna_GRACZE[[#This Row],[min]])</f>
        <v>-8</v>
      </c>
      <c r="AT77" s="11">
        <f>tbl_główna_GRACZE[[#This Row],[fgm]]-tbl_główna_GRACZE[[#This Row],[3pm]]</f>
        <v>3</v>
      </c>
      <c r="AU77" s="11">
        <f>tbl_główna_GRACZE[[#This Row],[fga]]-tbl_główna_GRACZE[[#This Row],[3pa]]</f>
        <v>12</v>
      </c>
      <c r="AV77">
        <f>IF(tbl_główna_GRACZE[[#This Row],[min]]&gt;0,1,0)</f>
        <v>1</v>
      </c>
      <c r="AW77" s="58" t="str">
        <f>tbl_główna_GRACZE[[#This Row],[I. Nazwisko]]</f>
        <v>Ł. Sulejewski</v>
      </c>
    </row>
    <row r="78" spans="1:49" x14ac:dyDescent="0.35">
      <c r="A78" t="s">
        <v>46</v>
      </c>
      <c r="B78" t="s">
        <v>25</v>
      </c>
      <c r="C78" t="s">
        <v>58</v>
      </c>
      <c r="D78" t="str">
        <f>IF(C78="H",VLOOKUP($A78,tab_nazwy_zespołów[],2,0)&amp;VLOOKUP($B78,tab_nazwy_zespołów[],2,0),VLOOKUP($B78,tab_nazwy_zespołów[],2,0)&amp;VLOOKUP($A78,tab_nazwy_zespołów[],2,0))</f>
        <v>HUTBYP</v>
      </c>
      <c r="E78">
        <v>2</v>
      </c>
      <c r="F78">
        <f>COUNTIF(tbl_zawodnicy_sumy[I. Nazwisko],tbl_główna_GRACZE[[#This Row],[I. Nazwisko]])</f>
        <v>1</v>
      </c>
      <c r="G78" s="58" t="str">
        <f>RIGHT(tbl_główna_GRACZE[[#This Row],[Kolumna1]],LEN(tbl_główna_GRACZE[[#This Row],[Kolumna1]])-FIND(" ",tbl_główna_GRACZE[[#This Row],[Kolumna1]]))</f>
        <v>P. Wołczyński</v>
      </c>
      <c r="H78" s="2" t="s">
        <v>70</v>
      </c>
      <c r="I78" s="10">
        <v>5</v>
      </c>
      <c r="J78" s="10">
        <v>7</v>
      </c>
      <c r="K78" s="10">
        <v>0</v>
      </c>
      <c r="L78" s="10">
        <v>0</v>
      </c>
      <c r="M78" s="10">
        <v>0</v>
      </c>
      <c r="N78" s="10">
        <v>0</v>
      </c>
      <c r="O78" s="10">
        <v>2</v>
      </c>
      <c r="P78" s="10">
        <v>2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21</v>
      </c>
      <c r="W78" s="10">
        <v>10</v>
      </c>
      <c r="X78" s="57">
        <f t="shared" si="76"/>
        <v>4</v>
      </c>
      <c r="Y78" s="4">
        <f t="shared" si="77"/>
        <v>0.7142857142857143</v>
      </c>
      <c r="Z78" s="4">
        <f t="shared" si="78"/>
        <v>0</v>
      </c>
      <c r="AA78" s="4">
        <f t="shared" si="79"/>
        <v>0</v>
      </c>
      <c r="AB78" s="4">
        <f>IFERROR(tbl_główna_GRACZE[[#This Row],[2pm]]/tbl_główna_GRACZE[[#This Row],[2pa]],0)</f>
        <v>0.7142857142857143</v>
      </c>
      <c r="AC78" s="4">
        <f t="shared" si="80"/>
        <v>0.7142857142857143</v>
      </c>
      <c r="AD78" s="4">
        <f t="shared" si="81"/>
        <v>0.7142857142857143</v>
      </c>
      <c r="AE78" s="11">
        <f t="shared" si="82"/>
        <v>12</v>
      </c>
      <c r="AF78" s="4">
        <f t="shared" si="83"/>
        <v>0</v>
      </c>
      <c r="AG78" s="4">
        <f t="shared" si="84"/>
        <v>0</v>
      </c>
      <c r="AH7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0.10683760683760685</v>
      </c>
      <c r="AI78" s="25">
        <f>tbl_główna_GRACZE[[#This Row],[pts]]*(40/tbl_główna_GRACZE[[#This Row],[min]])</f>
        <v>19.047619047619047</v>
      </c>
      <c r="AJ78" s="30">
        <f>tbl_główna_GRACZE[[#This Row],[reb total]]*(40/tbl_główna_GRACZE[[#This Row],[min]])</f>
        <v>7.6190476190476186</v>
      </c>
      <c r="AK78" s="30">
        <f>tbl_główna_GRACZE[[#This Row],[asst]]*(40/tbl_główna_GRACZE[[#This Row],[min]])</f>
        <v>0</v>
      </c>
      <c r="AL78" s="5">
        <f t="shared" si="85"/>
        <v>1.4285714285714286</v>
      </c>
      <c r="AM78" s="5">
        <f>(tbl_główna_GRACZE[[#This Row],[stl]]+tbl_główna_GRACZE[[#This Row],[blk]])*(40/tbl_główna_GRACZE[[#This Row],[min]])</f>
        <v>0</v>
      </c>
      <c r="AN7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8" s="25">
        <f>tbl_główna_GRACZE[[#This Row],[stl]]+tbl_główna_GRACZE[[#This Row],[blk]]+(tbl_główna_GRACZE[[#This Row],[dreb]]*0.5)</f>
        <v>1</v>
      </c>
      <c r="AP78" s="29">
        <f>(tbl_główna_GRACZE[[#This Row],[stl]]+tbl_główna_GRACZE[[#This Row],[blk]]+0.5*tbl_główna_GRACZE[[#This Row],[dreb]])/tbl_główna_GRACZE[[#This Row],[min]]</f>
        <v>4.7619047619047616E-2</v>
      </c>
      <c r="AQ78" s="6">
        <f t="shared" si="86"/>
        <v>9.1</v>
      </c>
      <c r="AR78" s="6">
        <f>tbl_główna_GRACZE[[#This Row],[GmSc]]*(40/tbl_główna_GRACZE[[#This Row],[min]])</f>
        <v>17.333333333333332</v>
      </c>
      <c r="AS78" s="6">
        <f>tbl_główna_GRACZE[[#This Row],[EVAL]]*(40/tbl_główna_GRACZE[[#This Row],[min]])</f>
        <v>22.857142857142854</v>
      </c>
      <c r="AT78" s="11">
        <f>tbl_główna_GRACZE[[#This Row],[fgm]]-tbl_główna_GRACZE[[#This Row],[3pm]]</f>
        <v>5</v>
      </c>
      <c r="AU78" s="11">
        <f>tbl_główna_GRACZE[[#This Row],[fga]]-tbl_główna_GRACZE[[#This Row],[3pa]]</f>
        <v>7</v>
      </c>
      <c r="AV78">
        <f>IF(tbl_główna_GRACZE[[#This Row],[min]]&gt;0,1,0)</f>
        <v>1</v>
      </c>
      <c r="AW78" s="58" t="str">
        <f>tbl_główna_GRACZE[[#This Row],[I. Nazwisko]]</f>
        <v>P. Wołczyński</v>
      </c>
    </row>
    <row r="79" spans="1:49" x14ac:dyDescent="0.35">
      <c r="A79" t="s">
        <v>46</v>
      </c>
      <c r="B79" t="s">
        <v>25</v>
      </c>
      <c r="C79" t="s">
        <v>58</v>
      </c>
      <c r="D79" t="str">
        <f>IF(C79="H",VLOOKUP($A79,tab_nazwy_zespołów[],2,0)&amp;VLOOKUP($B79,tab_nazwy_zespołów[],2,0),VLOOKUP($B79,tab_nazwy_zespołów[],2,0)&amp;VLOOKUP($A79,tab_nazwy_zespołów[],2,0))</f>
        <v>HUTBYP</v>
      </c>
      <c r="E79">
        <v>2</v>
      </c>
      <c r="F79">
        <f>COUNTIF(tbl_zawodnicy_sumy[I. Nazwisko],tbl_główna_GRACZE[[#This Row],[I. Nazwisko]])</f>
        <v>1</v>
      </c>
      <c r="G79" s="58" t="str">
        <f>RIGHT(tbl_główna_GRACZE[[#This Row],[Kolumna1]],LEN(tbl_główna_GRACZE[[#This Row],[Kolumna1]])-FIND(" ",tbl_główna_GRACZE[[#This Row],[Kolumna1]]))</f>
        <v>J. Kurek</v>
      </c>
      <c r="H79" s="2" t="s">
        <v>71</v>
      </c>
      <c r="I79" s="10">
        <v>3</v>
      </c>
      <c r="J79" s="10">
        <v>6</v>
      </c>
      <c r="K79" s="10">
        <v>2</v>
      </c>
      <c r="L79" s="10">
        <v>3</v>
      </c>
      <c r="M79" s="10">
        <v>1</v>
      </c>
      <c r="N79" s="10">
        <v>2</v>
      </c>
      <c r="O79" s="10">
        <v>2</v>
      </c>
      <c r="P79" s="10">
        <v>5</v>
      </c>
      <c r="Q79" s="10">
        <v>0</v>
      </c>
      <c r="R79" s="10">
        <v>0</v>
      </c>
      <c r="S79" s="10">
        <v>0</v>
      </c>
      <c r="T79" s="10">
        <v>0</v>
      </c>
      <c r="U79" s="10">
        <v>6</v>
      </c>
      <c r="V79" s="10">
        <v>30</v>
      </c>
      <c r="W79" s="10">
        <v>9</v>
      </c>
      <c r="X79" s="57">
        <f t="shared" si="76"/>
        <v>7</v>
      </c>
      <c r="Y79" s="4">
        <f t="shared" si="77"/>
        <v>0.5</v>
      </c>
      <c r="Z79" s="4">
        <f t="shared" si="78"/>
        <v>0.66666666666666663</v>
      </c>
      <c r="AA79" s="4">
        <f t="shared" si="79"/>
        <v>0.5</v>
      </c>
      <c r="AB79" s="4">
        <f>IFERROR(tbl_główna_GRACZE[[#This Row],[2pm]]/tbl_główna_GRACZE[[#This Row],[2pa]],0)</f>
        <v>0.33333333333333331</v>
      </c>
      <c r="AC79" s="4">
        <f t="shared" si="80"/>
        <v>0.65406976744186052</v>
      </c>
      <c r="AD79" s="4">
        <f t="shared" si="81"/>
        <v>0.66666666666666663</v>
      </c>
      <c r="AE79" s="11">
        <f t="shared" si="82"/>
        <v>18</v>
      </c>
      <c r="AF79" s="4">
        <f t="shared" si="83"/>
        <v>0.33333333333333331</v>
      </c>
      <c r="AG79" s="4">
        <f t="shared" si="84"/>
        <v>0.5</v>
      </c>
      <c r="AH7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0.10500610500610501</v>
      </c>
      <c r="AI79" s="25">
        <f>tbl_główna_GRACZE[[#This Row],[pts]]*(40/tbl_główna_GRACZE[[#This Row],[min]])</f>
        <v>12</v>
      </c>
      <c r="AJ79" s="30">
        <f>tbl_główna_GRACZE[[#This Row],[reb total]]*(40/tbl_główna_GRACZE[[#This Row],[min]])</f>
        <v>9.3333333333333321</v>
      </c>
      <c r="AK79" s="30">
        <f>tbl_główna_GRACZE[[#This Row],[asst]]*(40/tbl_główna_GRACZE[[#This Row],[min]])</f>
        <v>8</v>
      </c>
      <c r="AL79" s="5">
        <f t="shared" si="85"/>
        <v>1.5</v>
      </c>
      <c r="AM79" s="5">
        <f>(tbl_główna_GRACZE[[#This Row],[stl]]+tbl_główna_GRACZE[[#This Row],[blk]])*(40/tbl_główna_GRACZE[[#This Row],[min]])</f>
        <v>0</v>
      </c>
      <c r="AN7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9" s="25">
        <f>tbl_główna_GRACZE[[#This Row],[stl]]+tbl_główna_GRACZE[[#This Row],[blk]]+(tbl_główna_GRACZE[[#This Row],[dreb]]*0.5)</f>
        <v>2.5</v>
      </c>
      <c r="AP79" s="29">
        <f>(tbl_główna_GRACZE[[#This Row],[stl]]+tbl_główna_GRACZE[[#This Row],[blk]]+0.5*tbl_główna_GRACZE[[#This Row],[dreb]])/tbl_główna_GRACZE[[#This Row],[min]]</f>
        <v>8.3333333333333329E-2</v>
      </c>
      <c r="AQ79" s="6">
        <f t="shared" si="86"/>
        <v>12.7</v>
      </c>
      <c r="AR79" s="6">
        <f>tbl_główna_GRACZE[[#This Row],[GmSc]]*(40/tbl_główna_GRACZE[[#This Row],[min]])</f>
        <v>16.93333333333333</v>
      </c>
      <c r="AS79" s="6">
        <f>tbl_główna_GRACZE[[#This Row],[EVAL]]*(40/tbl_główna_GRACZE[[#This Row],[min]])</f>
        <v>24</v>
      </c>
      <c r="AT79" s="11">
        <f>tbl_główna_GRACZE[[#This Row],[fgm]]-tbl_główna_GRACZE[[#This Row],[3pm]]</f>
        <v>1</v>
      </c>
      <c r="AU79" s="11">
        <f>tbl_główna_GRACZE[[#This Row],[fga]]-tbl_główna_GRACZE[[#This Row],[3pa]]</f>
        <v>3</v>
      </c>
      <c r="AV79">
        <f>IF(tbl_główna_GRACZE[[#This Row],[min]]&gt;0,1,0)</f>
        <v>1</v>
      </c>
      <c r="AW79" s="58" t="str">
        <f>tbl_główna_GRACZE[[#This Row],[I. Nazwisko]]</f>
        <v>J. Kurek</v>
      </c>
    </row>
    <row r="80" spans="1:49" x14ac:dyDescent="0.35">
      <c r="A80" t="s">
        <v>46</v>
      </c>
      <c r="B80" t="s">
        <v>25</v>
      </c>
      <c r="C80" t="s">
        <v>58</v>
      </c>
      <c r="D80" t="str">
        <f>IF(C80="H",VLOOKUP($A80,tab_nazwy_zespołów[],2,0)&amp;VLOOKUP($B80,tab_nazwy_zespołów[],2,0),VLOOKUP($B80,tab_nazwy_zespołów[],2,0)&amp;VLOOKUP($A80,tab_nazwy_zespołów[],2,0))</f>
        <v>HUTBYP</v>
      </c>
      <c r="E80">
        <v>2</v>
      </c>
      <c r="F80">
        <f>COUNTIF(tbl_zawodnicy_sumy[I. Nazwisko],tbl_główna_GRACZE[[#This Row],[I. Nazwisko]])</f>
        <v>1</v>
      </c>
      <c r="G80" s="58" t="str">
        <f>RIGHT(tbl_główna_GRACZE[[#This Row],[Kolumna1]],LEN(tbl_główna_GRACZE[[#This Row],[Kolumna1]])-FIND(" ",tbl_główna_GRACZE[[#This Row],[Kolumna1]]))</f>
        <v>P. Kozlowski</v>
      </c>
      <c r="H80" s="2" t="s">
        <v>341</v>
      </c>
      <c r="I80" s="10">
        <v>3</v>
      </c>
      <c r="J80" s="10">
        <v>7</v>
      </c>
      <c r="K80" s="10">
        <v>0</v>
      </c>
      <c r="L80" s="10">
        <v>0</v>
      </c>
      <c r="M80" s="10">
        <v>0</v>
      </c>
      <c r="N80" s="10">
        <v>0</v>
      </c>
      <c r="O80" s="10">
        <v>2</v>
      </c>
      <c r="P80" s="10">
        <v>4</v>
      </c>
      <c r="Q80" s="10">
        <v>0</v>
      </c>
      <c r="R80" s="10">
        <v>4</v>
      </c>
      <c r="S80" s="10">
        <v>0</v>
      </c>
      <c r="T80" s="10">
        <v>0</v>
      </c>
      <c r="U80" s="10">
        <v>2</v>
      </c>
      <c r="V80" s="10">
        <v>30</v>
      </c>
      <c r="W80" s="10">
        <v>6</v>
      </c>
      <c r="X80" s="57">
        <f t="shared" si="76"/>
        <v>6</v>
      </c>
      <c r="Y80" s="4">
        <f t="shared" si="77"/>
        <v>0.42857142857142855</v>
      </c>
      <c r="Z80" s="4">
        <f t="shared" si="78"/>
        <v>0</v>
      </c>
      <c r="AA80" s="4">
        <f t="shared" si="79"/>
        <v>0</v>
      </c>
      <c r="AB80" s="4">
        <f>IFERROR(tbl_główna_GRACZE[[#This Row],[2pm]]/tbl_główna_GRACZE[[#This Row],[2pa]],0)</f>
        <v>0.42857142857142855</v>
      </c>
      <c r="AC80" s="4">
        <f t="shared" si="80"/>
        <v>0.42857142857142855</v>
      </c>
      <c r="AD80" s="4">
        <f t="shared" si="81"/>
        <v>0.42857142857142855</v>
      </c>
      <c r="AE80" s="11">
        <f t="shared" si="82"/>
        <v>14</v>
      </c>
      <c r="AF80" s="4">
        <f t="shared" si="83"/>
        <v>0</v>
      </c>
      <c r="AG80" s="4">
        <f t="shared" si="84"/>
        <v>0</v>
      </c>
      <c r="AH8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0.10683760683760685</v>
      </c>
      <c r="AI80" s="25">
        <f>tbl_główna_GRACZE[[#This Row],[pts]]*(40/tbl_główna_GRACZE[[#This Row],[min]])</f>
        <v>8</v>
      </c>
      <c r="AJ80" s="30">
        <f>tbl_główna_GRACZE[[#This Row],[reb total]]*(40/tbl_główna_GRACZE[[#This Row],[min]])</f>
        <v>8</v>
      </c>
      <c r="AK80" s="30">
        <f>tbl_główna_GRACZE[[#This Row],[asst]]*(40/tbl_główna_GRACZE[[#This Row],[min]])</f>
        <v>2.6666666666666665</v>
      </c>
      <c r="AL80" s="5">
        <f t="shared" si="85"/>
        <v>0.8571428571428571</v>
      </c>
      <c r="AM80" s="5">
        <f>(tbl_główna_GRACZE[[#This Row],[stl]]+tbl_główna_GRACZE[[#This Row],[blk]])*(40/tbl_główna_GRACZE[[#This Row],[min]])</f>
        <v>5.333333333333333</v>
      </c>
      <c r="AN8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0.2857142857142857</v>
      </c>
      <c r="AO80" s="25">
        <f>tbl_główna_GRACZE[[#This Row],[stl]]+tbl_główna_GRACZE[[#This Row],[blk]]+(tbl_główna_GRACZE[[#This Row],[dreb]]*0.5)</f>
        <v>6</v>
      </c>
      <c r="AP80" s="29">
        <f>(tbl_główna_GRACZE[[#This Row],[stl]]+tbl_główna_GRACZE[[#This Row],[blk]]+0.5*tbl_główna_GRACZE[[#This Row],[dreb]])/tbl_główna_GRACZE[[#This Row],[min]]</f>
        <v>0.2</v>
      </c>
      <c r="AQ80" s="6">
        <f t="shared" si="86"/>
        <v>10.3</v>
      </c>
      <c r="AR80" s="6">
        <f>tbl_główna_GRACZE[[#This Row],[GmSc]]*(40/tbl_główna_GRACZE[[#This Row],[min]])</f>
        <v>13.733333333333334</v>
      </c>
      <c r="AS80" s="6">
        <f>tbl_główna_GRACZE[[#This Row],[EVAL]]*(40/tbl_główna_GRACZE[[#This Row],[min]])</f>
        <v>18.666666666666664</v>
      </c>
      <c r="AT80" s="11">
        <f>tbl_główna_GRACZE[[#This Row],[fgm]]-tbl_główna_GRACZE[[#This Row],[3pm]]</f>
        <v>3</v>
      </c>
      <c r="AU80" s="11">
        <f>tbl_główna_GRACZE[[#This Row],[fga]]-tbl_główna_GRACZE[[#This Row],[3pa]]</f>
        <v>7</v>
      </c>
      <c r="AV80">
        <f>IF(tbl_główna_GRACZE[[#This Row],[min]]&gt;0,1,0)</f>
        <v>1</v>
      </c>
      <c r="AW80" s="58" t="str">
        <f>tbl_główna_GRACZE[[#This Row],[I. Nazwisko]]</f>
        <v>P. Kozlowski</v>
      </c>
    </row>
    <row r="81" spans="1:49" x14ac:dyDescent="0.35">
      <c r="A81" t="s">
        <v>46</v>
      </c>
      <c r="B81" t="s">
        <v>25</v>
      </c>
      <c r="C81" t="s">
        <v>58</v>
      </c>
      <c r="D81" t="str">
        <f>IF(C81="H",VLOOKUP($A81,tab_nazwy_zespołów[],2,0)&amp;VLOOKUP($B81,tab_nazwy_zespołów[],2,0),VLOOKUP($B81,tab_nazwy_zespołów[],2,0)&amp;VLOOKUP($A81,tab_nazwy_zespołów[],2,0))</f>
        <v>HUTBYP</v>
      </c>
      <c r="E81">
        <v>2</v>
      </c>
      <c r="F81">
        <f>COUNTIF(tbl_zawodnicy_sumy[I. Nazwisko],tbl_główna_GRACZE[[#This Row],[I. Nazwisko]])</f>
        <v>1</v>
      </c>
      <c r="G81" s="58" t="str">
        <f>RIGHT(tbl_główna_GRACZE[[#This Row],[Kolumna1]],LEN(tbl_główna_GRACZE[[#This Row],[Kolumna1]])-FIND(" ",tbl_główna_GRACZE[[#This Row],[Kolumna1]]))</f>
        <v>J. Warda</v>
      </c>
      <c r="H81" s="2" t="s">
        <v>74</v>
      </c>
      <c r="I81" s="10">
        <v>2</v>
      </c>
      <c r="J81" s="10">
        <v>6</v>
      </c>
      <c r="K81" s="10">
        <v>2</v>
      </c>
      <c r="L81" s="10">
        <v>4</v>
      </c>
      <c r="M81" s="10">
        <v>0</v>
      </c>
      <c r="N81" s="10">
        <v>0</v>
      </c>
      <c r="O81" s="10">
        <v>1</v>
      </c>
      <c r="P81" s="10">
        <v>1</v>
      </c>
      <c r="Q81" s="10">
        <v>0</v>
      </c>
      <c r="R81" s="10">
        <v>2</v>
      </c>
      <c r="S81" s="10">
        <v>0</v>
      </c>
      <c r="T81" s="10">
        <v>1</v>
      </c>
      <c r="U81" s="10">
        <v>1</v>
      </c>
      <c r="V81" s="10">
        <v>21</v>
      </c>
      <c r="W81" s="10">
        <v>6</v>
      </c>
      <c r="X81" s="57">
        <f t="shared" si="76"/>
        <v>2</v>
      </c>
      <c r="Y81" s="4">
        <f t="shared" si="77"/>
        <v>0.33333333333333331</v>
      </c>
      <c r="Z81" s="4">
        <f t="shared" si="78"/>
        <v>0.5</v>
      </c>
      <c r="AA81" s="4">
        <f t="shared" si="79"/>
        <v>0</v>
      </c>
      <c r="AB81" s="4">
        <f>IFERROR(tbl_główna_GRACZE[[#This Row],[2pm]]/tbl_główna_GRACZE[[#This Row],[2pa]],0)</f>
        <v>0</v>
      </c>
      <c r="AC81" s="4">
        <f t="shared" si="80"/>
        <v>0.5</v>
      </c>
      <c r="AD81" s="4">
        <f t="shared" si="81"/>
        <v>0.5</v>
      </c>
      <c r="AE81" s="11">
        <f t="shared" si="82"/>
        <v>8</v>
      </c>
      <c r="AF81" s="4">
        <f t="shared" si="83"/>
        <v>0</v>
      </c>
      <c r="AG81" s="4">
        <f t="shared" si="84"/>
        <v>0.66666666666666663</v>
      </c>
      <c r="AH8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9.1575091575091583E-2</v>
      </c>
      <c r="AI81" s="25">
        <f>tbl_główna_GRACZE[[#This Row],[pts]]*(40/tbl_główna_GRACZE[[#This Row],[min]])</f>
        <v>11.428571428571427</v>
      </c>
      <c r="AJ81" s="30">
        <f>tbl_główna_GRACZE[[#This Row],[reb total]]*(40/tbl_główna_GRACZE[[#This Row],[min]])</f>
        <v>3.8095238095238093</v>
      </c>
      <c r="AK81" s="30">
        <f>tbl_główna_GRACZE[[#This Row],[asst]]*(40/tbl_główna_GRACZE[[#This Row],[min]])</f>
        <v>1.9047619047619047</v>
      </c>
      <c r="AL81" s="5">
        <f t="shared" si="85"/>
        <v>1</v>
      </c>
      <c r="AM81" s="5">
        <f>(tbl_główna_GRACZE[[#This Row],[stl]]+tbl_główna_GRACZE[[#This Row],[blk]])*(40/tbl_główna_GRACZE[[#This Row],[min]])</f>
        <v>5.7142857142857135</v>
      </c>
      <c r="AN8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0.21428571428571427</v>
      </c>
      <c r="AO81" s="25">
        <f>tbl_główna_GRACZE[[#This Row],[stl]]+tbl_główna_GRACZE[[#This Row],[blk]]+(tbl_główna_GRACZE[[#This Row],[dreb]]*0.5)</f>
        <v>3.5</v>
      </c>
      <c r="AP81" s="29">
        <f>(tbl_główna_GRACZE[[#This Row],[stl]]+tbl_główna_GRACZE[[#This Row],[blk]]+0.5*tbl_główna_GRACZE[[#This Row],[dreb]])/tbl_główna_GRACZE[[#This Row],[min]]</f>
        <v>0.16666666666666666</v>
      </c>
      <c r="AQ81" s="6">
        <f t="shared" si="86"/>
        <v>7.0000000000000009</v>
      </c>
      <c r="AR81" s="6">
        <f>tbl_główna_GRACZE[[#This Row],[GmSc]]*(40/tbl_główna_GRACZE[[#This Row],[min]])</f>
        <v>13.333333333333334</v>
      </c>
      <c r="AS81" s="6">
        <f>tbl_główna_GRACZE[[#This Row],[EVAL]]*(40/tbl_główna_GRACZE[[#This Row],[min]])</f>
        <v>15.238095238095237</v>
      </c>
      <c r="AT81" s="11">
        <f>tbl_główna_GRACZE[[#This Row],[fgm]]-tbl_główna_GRACZE[[#This Row],[3pm]]</f>
        <v>0</v>
      </c>
      <c r="AU81" s="11">
        <f>tbl_główna_GRACZE[[#This Row],[fga]]-tbl_główna_GRACZE[[#This Row],[3pa]]</f>
        <v>2</v>
      </c>
      <c r="AV81">
        <f>IF(tbl_główna_GRACZE[[#This Row],[min]]&gt;0,1,0)</f>
        <v>1</v>
      </c>
      <c r="AW81" s="58" t="str">
        <f>tbl_główna_GRACZE[[#This Row],[I. Nazwisko]]</f>
        <v>J. Warda</v>
      </c>
    </row>
    <row r="82" spans="1:49" x14ac:dyDescent="0.35">
      <c r="A82" t="s">
        <v>46</v>
      </c>
      <c r="B82" t="s">
        <v>25</v>
      </c>
      <c r="C82" t="s">
        <v>58</v>
      </c>
      <c r="D82" t="str">
        <f>IF(C82="H",VLOOKUP($A82,tab_nazwy_zespołów[],2,0)&amp;VLOOKUP($B82,tab_nazwy_zespołów[],2,0),VLOOKUP($B82,tab_nazwy_zespołów[],2,0)&amp;VLOOKUP($A82,tab_nazwy_zespołów[],2,0))</f>
        <v>HUTBYP</v>
      </c>
      <c r="E82">
        <v>2</v>
      </c>
      <c r="F82">
        <f>COUNTIF(tbl_zawodnicy_sumy[I. Nazwisko],tbl_główna_GRACZE[[#This Row],[I. Nazwisko]])</f>
        <v>1</v>
      </c>
      <c r="G82" s="58" t="str">
        <f>RIGHT(tbl_główna_GRACZE[[#This Row],[Kolumna1]],LEN(tbl_główna_GRACZE[[#This Row],[Kolumna1]])-FIND(" ",tbl_główna_GRACZE[[#This Row],[Kolumna1]]))</f>
        <v>Ł. Flaga</v>
      </c>
      <c r="H82" s="2" t="s">
        <v>75</v>
      </c>
      <c r="I82" s="10">
        <v>2</v>
      </c>
      <c r="J82" s="10">
        <v>3</v>
      </c>
      <c r="K82" s="10">
        <v>1</v>
      </c>
      <c r="L82" s="10">
        <v>1</v>
      </c>
      <c r="M82" s="10">
        <v>0</v>
      </c>
      <c r="N82" s="10">
        <v>4</v>
      </c>
      <c r="O82" s="10">
        <v>4</v>
      </c>
      <c r="P82" s="10">
        <v>4</v>
      </c>
      <c r="Q82" s="10">
        <v>1</v>
      </c>
      <c r="R82" s="10">
        <v>1</v>
      </c>
      <c r="S82" s="10">
        <v>0</v>
      </c>
      <c r="T82" s="10">
        <v>0</v>
      </c>
      <c r="U82" s="10">
        <v>2</v>
      </c>
      <c r="V82" s="10">
        <v>27</v>
      </c>
      <c r="W82" s="10">
        <v>5</v>
      </c>
      <c r="X82" s="57">
        <f t="shared" si="76"/>
        <v>8</v>
      </c>
      <c r="Y82" s="4">
        <f t="shared" si="77"/>
        <v>0.66666666666666663</v>
      </c>
      <c r="Z82" s="4">
        <f t="shared" si="78"/>
        <v>1</v>
      </c>
      <c r="AA82" s="4">
        <f t="shared" si="79"/>
        <v>0</v>
      </c>
      <c r="AB82" s="4">
        <f>IFERROR(tbl_główna_GRACZE[[#This Row],[2pm]]/tbl_główna_GRACZE[[#This Row],[2pa]],0)</f>
        <v>0.5</v>
      </c>
      <c r="AC82" s="4">
        <f t="shared" si="80"/>
        <v>0.52521008403361347</v>
      </c>
      <c r="AD82" s="4">
        <f t="shared" si="81"/>
        <v>0.83333333333333337</v>
      </c>
      <c r="AE82" s="11">
        <f t="shared" si="82"/>
        <v>11</v>
      </c>
      <c r="AF82" s="4">
        <f t="shared" si="83"/>
        <v>1.3333333333333333</v>
      </c>
      <c r="AG82" s="4">
        <f t="shared" si="84"/>
        <v>0.33333333333333331</v>
      </c>
      <c r="AH8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7.2649572649572655E-2</v>
      </c>
      <c r="AI82" s="25">
        <f>tbl_główna_GRACZE[[#This Row],[pts]]*(40/tbl_główna_GRACZE[[#This Row],[min]])</f>
        <v>7.4074074074074066</v>
      </c>
      <c r="AJ82" s="30">
        <f>tbl_główna_GRACZE[[#This Row],[reb total]]*(40/tbl_główna_GRACZE[[#This Row],[min]])</f>
        <v>11.851851851851851</v>
      </c>
      <c r="AK82" s="30">
        <f>tbl_główna_GRACZE[[#This Row],[asst]]*(40/tbl_główna_GRACZE[[#This Row],[min]])</f>
        <v>2.9629629629629628</v>
      </c>
      <c r="AL82" s="5">
        <f t="shared" si="85"/>
        <v>1.6666666666666667</v>
      </c>
      <c r="AM82" s="5">
        <f>(tbl_główna_GRACZE[[#This Row],[stl]]+tbl_główna_GRACZE[[#This Row],[blk]])*(40/tbl_główna_GRACZE[[#This Row],[min]])</f>
        <v>1.4814814814814814</v>
      </c>
      <c r="AN8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7.1428571428571425E-2</v>
      </c>
      <c r="AO82" s="25">
        <f>tbl_główna_GRACZE[[#This Row],[stl]]+tbl_główna_GRACZE[[#This Row],[blk]]+(tbl_główna_GRACZE[[#This Row],[dreb]]*0.5)</f>
        <v>3</v>
      </c>
      <c r="AP82" s="29">
        <f>(tbl_główna_GRACZE[[#This Row],[stl]]+tbl_główna_GRACZE[[#This Row],[blk]]+0.5*tbl_główna_GRACZE[[#This Row],[dreb]])/tbl_główna_GRACZE[[#This Row],[min]]</f>
        <v>0.1111111111111111</v>
      </c>
      <c r="AQ82" s="6">
        <f t="shared" si="86"/>
        <v>8.5</v>
      </c>
      <c r="AR82" s="6">
        <f>tbl_główna_GRACZE[[#This Row],[GmSc]]*(40/tbl_główna_GRACZE[[#This Row],[min]])</f>
        <v>12.592592592592592</v>
      </c>
      <c r="AS82" s="6">
        <f>tbl_główna_GRACZE[[#This Row],[EVAL]]*(40/tbl_główna_GRACZE[[#This Row],[min]])</f>
        <v>16.296296296296294</v>
      </c>
      <c r="AT82" s="11">
        <f>tbl_główna_GRACZE[[#This Row],[fgm]]-tbl_główna_GRACZE[[#This Row],[3pm]]</f>
        <v>1</v>
      </c>
      <c r="AU82" s="11">
        <f>tbl_główna_GRACZE[[#This Row],[fga]]-tbl_główna_GRACZE[[#This Row],[3pa]]</f>
        <v>2</v>
      </c>
      <c r="AV82">
        <f>IF(tbl_główna_GRACZE[[#This Row],[min]]&gt;0,1,0)</f>
        <v>1</v>
      </c>
      <c r="AW82" s="58" t="str">
        <f>tbl_główna_GRACZE[[#This Row],[I. Nazwisko]]</f>
        <v>Ł. Flaga</v>
      </c>
    </row>
    <row r="83" spans="1:49" x14ac:dyDescent="0.35">
      <c r="A83" t="s">
        <v>46</v>
      </c>
      <c r="B83" t="s">
        <v>25</v>
      </c>
      <c r="C83" t="s">
        <v>58</v>
      </c>
      <c r="D83" t="str">
        <f>IF(C83="H",VLOOKUP($A83,tab_nazwy_zespołów[],2,0)&amp;VLOOKUP($B83,tab_nazwy_zespołów[],2,0),VLOOKUP($B83,tab_nazwy_zespołów[],2,0)&amp;VLOOKUP($A83,tab_nazwy_zespołów[],2,0))</f>
        <v>HUTBYP</v>
      </c>
      <c r="E83">
        <v>2</v>
      </c>
      <c r="F83">
        <f>COUNTIF(tbl_zawodnicy_sumy[I. Nazwisko],tbl_główna_GRACZE[[#This Row],[I. Nazwisko]])</f>
        <v>1</v>
      </c>
      <c r="G83" s="58" t="str">
        <f>RIGHT(tbl_główna_GRACZE[[#This Row],[Kolumna1]],LEN(tbl_główna_GRACZE[[#This Row],[Kolumna1]])-FIND(" ",tbl_główna_GRACZE[[#This Row],[Kolumna1]]))</f>
        <v>A. Stańczuk</v>
      </c>
      <c r="H83" s="2" t="s">
        <v>72</v>
      </c>
      <c r="I83" s="10">
        <v>1</v>
      </c>
      <c r="J83" s="10">
        <v>8</v>
      </c>
      <c r="K83" s="10">
        <v>1</v>
      </c>
      <c r="L83" s="10">
        <v>5</v>
      </c>
      <c r="M83" s="10">
        <v>0</v>
      </c>
      <c r="N83" s="10">
        <v>0</v>
      </c>
      <c r="O83" s="10">
        <v>0</v>
      </c>
      <c r="P83" s="10">
        <v>4</v>
      </c>
      <c r="Q83" s="10">
        <v>0</v>
      </c>
      <c r="R83" s="10">
        <v>2</v>
      </c>
      <c r="S83" s="10">
        <v>0</v>
      </c>
      <c r="T83" s="10">
        <v>0</v>
      </c>
      <c r="U83" s="10">
        <v>3</v>
      </c>
      <c r="V83" s="10">
        <v>19</v>
      </c>
      <c r="W83" s="10">
        <v>3</v>
      </c>
      <c r="X83" s="57">
        <f t="shared" si="76"/>
        <v>4</v>
      </c>
      <c r="Y83" s="4">
        <f t="shared" si="77"/>
        <v>0.125</v>
      </c>
      <c r="Z83" s="4">
        <f t="shared" si="78"/>
        <v>0.2</v>
      </c>
      <c r="AA83" s="4">
        <f t="shared" si="79"/>
        <v>0</v>
      </c>
      <c r="AB83" s="4">
        <f>IFERROR(tbl_główna_GRACZE[[#This Row],[2pm]]/tbl_główna_GRACZE[[#This Row],[2pa]],0)</f>
        <v>0</v>
      </c>
      <c r="AC83" s="4">
        <f t="shared" si="80"/>
        <v>0.1875</v>
      </c>
      <c r="AD83" s="4">
        <f t="shared" si="81"/>
        <v>0.1875</v>
      </c>
      <c r="AE83" s="11">
        <f t="shared" si="82"/>
        <v>5</v>
      </c>
      <c r="AF83" s="4">
        <f t="shared" si="83"/>
        <v>0</v>
      </c>
      <c r="AG83" s="4">
        <f t="shared" si="84"/>
        <v>0.625</v>
      </c>
      <c r="AH8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0.12210012210012211</v>
      </c>
      <c r="AI83" s="25">
        <f>tbl_główna_GRACZE[[#This Row],[pts]]*(40/tbl_główna_GRACZE[[#This Row],[min]])</f>
        <v>6.3157894736842106</v>
      </c>
      <c r="AJ83" s="30">
        <f>tbl_główna_GRACZE[[#This Row],[reb total]]*(40/tbl_główna_GRACZE[[#This Row],[min]])</f>
        <v>8.4210526315789469</v>
      </c>
      <c r="AK83" s="30">
        <f>tbl_główna_GRACZE[[#This Row],[asst]]*(40/tbl_główna_GRACZE[[#This Row],[min]])</f>
        <v>6.3157894736842106</v>
      </c>
      <c r="AL83" s="5">
        <f t="shared" si="85"/>
        <v>0.375</v>
      </c>
      <c r="AM83" s="5">
        <f>(tbl_główna_GRACZE[[#This Row],[stl]]+tbl_główna_GRACZE[[#This Row],[blk]])*(40/tbl_główna_GRACZE[[#This Row],[min]])</f>
        <v>4.2105263157894735</v>
      </c>
      <c r="AN8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83" s="25">
        <f>tbl_główna_GRACZE[[#This Row],[stl]]+tbl_główna_GRACZE[[#This Row],[blk]]+(tbl_główna_GRACZE[[#This Row],[dreb]]*0.5)</f>
        <v>4</v>
      </c>
      <c r="AP83" s="29">
        <f>(tbl_główna_GRACZE[[#This Row],[stl]]+tbl_główna_GRACZE[[#This Row],[blk]]+0.5*tbl_główna_GRACZE[[#This Row],[dreb]])/tbl_główna_GRACZE[[#This Row],[min]]</f>
        <v>0.21052631578947367</v>
      </c>
      <c r="AQ83" s="6">
        <f t="shared" si="86"/>
        <v>3.0999999999999996</v>
      </c>
      <c r="AR83" s="6">
        <f>tbl_główna_GRACZE[[#This Row],[GmSc]]*(40/tbl_główna_GRACZE[[#This Row],[min]])</f>
        <v>6.5263157894736832</v>
      </c>
      <c r="AS83" s="6">
        <f>tbl_główna_GRACZE[[#This Row],[EVAL]]*(40/tbl_główna_GRACZE[[#This Row],[min]])</f>
        <v>10.526315789473683</v>
      </c>
      <c r="AT83" s="11">
        <f>tbl_główna_GRACZE[[#This Row],[fgm]]-tbl_główna_GRACZE[[#This Row],[3pm]]</f>
        <v>0</v>
      </c>
      <c r="AU83" s="11">
        <f>tbl_główna_GRACZE[[#This Row],[fga]]-tbl_główna_GRACZE[[#This Row],[3pa]]</f>
        <v>3</v>
      </c>
      <c r="AV83">
        <f>IF(tbl_główna_GRACZE[[#This Row],[min]]&gt;0,1,0)</f>
        <v>1</v>
      </c>
      <c r="AW83" s="58" t="str">
        <f>tbl_główna_GRACZE[[#This Row],[I. Nazwisko]]</f>
        <v>A. Stańczuk</v>
      </c>
    </row>
    <row r="84" spans="1:49" x14ac:dyDescent="0.35">
      <c r="A84" t="s">
        <v>46</v>
      </c>
      <c r="B84" t="s">
        <v>25</v>
      </c>
      <c r="C84" t="s">
        <v>58</v>
      </c>
      <c r="D84" t="str">
        <f>IF(C84="H",VLOOKUP($A84,tab_nazwy_zespołów[],2,0)&amp;VLOOKUP($B84,tab_nazwy_zespołów[],2,0),VLOOKUP($B84,tab_nazwy_zespołów[],2,0)&amp;VLOOKUP($A84,tab_nazwy_zespołów[],2,0))</f>
        <v>HUTBYP</v>
      </c>
      <c r="E84">
        <v>2</v>
      </c>
      <c r="F84">
        <f>COUNTIF(tbl_zawodnicy_sumy[I. Nazwisko],tbl_główna_GRACZE[[#This Row],[I. Nazwisko]])</f>
        <v>1</v>
      </c>
      <c r="G84" s="58" t="str">
        <f>RIGHT(tbl_główna_GRACZE[[#This Row],[Kolumna1]],LEN(tbl_główna_GRACZE[[#This Row],[Kolumna1]])-FIND(" ",tbl_główna_GRACZE[[#This Row],[Kolumna1]]))</f>
        <v>R. Mućka</v>
      </c>
      <c r="H84" s="2" t="s">
        <v>73</v>
      </c>
      <c r="I84" s="10">
        <v>1</v>
      </c>
      <c r="J84" s="10">
        <v>5</v>
      </c>
      <c r="K84" s="10">
        <v>1</v>
      </c>
      <c r="L84" s="10">
        <v>1</v>
      </c>
      <c r="M84" s="10">
        <v>0</v>
      </c>
      <c r="N84" s="10">
        <v>0</v>
      </c>
      <c r="O84" s="10">
        <v>0</v>
      </c>
      <c r="P84" s="10">
        <v>1</v>
      </c>
      <c r="Q84" s="10">
        <v>0</v>
      </c>
      <c r="R84" s="10">
        <v>2</v>
      </c>
      <c r="S84" s="10">
        <v>0</v>
      </c>
      <c r="T84" s="10">
        <v>0</v>
      </c>
      <c r="U84" s="10">
        <v>1</v>
      </c>
      <c r="V84" s="10">
        <v>23</v>
      </c>
      <c r="W84" s="10">
        <v>3</v>
      </c>
      <c r="X84" s="57">
        <f t="shared" si="76"/>
        <v>1</v>
      </c>
      <c r="Y84" s="4">
        <f t="shared" si="77"/>
        <v>0.2</v>
      </c>
      <c r="Z84" s="4">
        <f t="shared" si="78"/>
        <v>1</v>
      </c>
      <c r="AA84" s="4">
        <f t="shared" si="79"/>
        <v>0</v>
      </c>
      <c r="AB84" s="4">
        <f>IFERROR(tbl_główna_GRACZE[[#This Row],[2pm]]/tbl_główna_GRACZE[[#This Row],[2pa]],0)</f>
        <v>0</v>
      </c>
      <c r="AC84" s="4">
        <f t="shared" si="80"/>
        <v>0.3</v>
      </c>
      <c r="AD84" s="4">
        <f t="shared" si="81"/>
        <v>0.3</v>
      </c>
      <c r="AE84" s="11">
        <f t="shared" si="82"/>
        <v>3</v>
      </c>
      <c r="AF84" s="4">
        <f t="shared" si="83"/>
        <v>0</v>
      </c>
      <c r="AG84" s="4">
        <f t="shared" si="84"/>
        <v>0.2</v>
      </c>
      <c r="AH8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7.6312576312576319E-2</v>
      </c>
      <c r="AI84" s="25">
        <f>tbl_główna_GRACZE[[#This Row],[pts]]*(40/tbl_główna_GRACZE[[#This Row],[min]])</f>
        <v>5.2173913043478262</v>
      </c>
      <c r="AJ84" s="30">
        <f>tbl_główna_GRACZE[[#This Row],[reb total]]*(40/tbl_główna_GRACZE[[#This Row],[min]])</f>
        <v>1.7391304347826086</v>
      </c>
      <c r="AK84" s="30">
        <f>tbl_główna_GRACZE[[#This Row],[asst]]*(40/tbl_główna_GRACZE[[#This Row],[min]])</f>
        <v>1.7391304347826086</v>
      </c>
      <c r="AL84" s="5">
        <f t="shared" si="85"/>
        <v>0.6</v>
      </c>
      <c r="AM84" s="5">
        <f>(tbl_główna_GRACZE[[#This Row],[stl]]+tbl_główna_GRACZE[[#This Row],[blk]])*(40/tbl_główna_GRACZE[[#This Row],[min]])</f>
        <v>3.4782608695652173</v>
      </c>
      <c r="AN8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84" s="25">
        <f>tbl_główna_GRACZE[[#This Row],[stl]]+tbl_główna_GRACZE[[#This Row],[blk]]+(tbl_główna_GRACZE[[#This Row],[dreb]]*0.5)</f>
        <v>2.5</v>
      </c>
      <c r="AP84" s="29">
        <f>(tbl_główna_GRACZE[[#This Row],[stl]]+tbl_główna_GRACZE[[#This Row],[blk]]+0.5*tbl_główna_GRACZE[[#This Row],[dreb]])/tbl_główna_GRACZE[[#This Row],[min]]</f>
        <v>0.10869565217391304</v>
      </c>
      <c r="AQ84" s="6">
        <f t="shared" si="86"/>
        <v>2.8999999999999995</v>
      </c>
      <c r="AR84" s="6">
        <f>tbl_główna_GRACZE[[#This Row],[GmSc]]*(40/tbl_główna_GRACZE[[#This Row],[min]])</f>
        <v>5.0434782608695645</v>
      </c>
      <c r="AS84" s="6">
        <f>tbl_główna_GRACZE[[#This Row],[EVAL]]*(40/tbl_główna_GRACZE[[#This Row],[min]])</f>
        <v>5.2173913043478262</v>
      </c>
      <c r="AT84" s="11">
        <f>tbl_główna_GRACZE[[#This Row],[fgm]]-tbl_główna_GRACZE[[#This Row],[3pm]]</f>
        <v>0</v>
      </c>
      <c r="AU84" s="11">
        <f>tbl_główna_GRACZE[[#This Row],[fga]]-tbl_główna_GRACZE[[#This Row],[3pa]]</f>
        <v>4</v>
      </c>
      <c r="AV84">
        <f>IF(tbl_główna_GRACZE[[#This Row],[min]]&gt;0,1,0)</f>
        <v>1</v>
      </c>
      <c r="AW84" s="58" t="str">
        <f>tbl_główna_GRACZE[[#This Row],[I. Nazwisko]]</f>
        <v>R. Mućka</v>
      </c>
    </row>
    <row r="85" spans="1:49" x14ac:dyDescent="0.35">
      <c r="A85" t="s">
        <v>52</v>
      </c>
      <c r="B85" t="s">
        <v>48</v>
      </c>
      <c r="C85" t="s">
        <v>58</v>
      </c>
      <c r="D85" t="str">
        <f>IF(C85="H",VLOOKUP($A85,tab_nazwy_zespołów[],2,0)&amp;VLOOKUP($B85,tab_nazwy_zespołów[],2,0),VLOOKUP($B85,tab_nazwy_zespołów[],2,0)&amp;VLOOKUP($A85,tab_nazwy_zespołów[],2,0))</f>
        <v>ŁODWIL</v>
      </c>
      <c r="E85">
        <v>2</v>
      </c>
      <c r="F85">
        <f>COUNTIF(tbl_zawodnicy_sumy[I. Nazwisko],tbl_główna_GRACZE[[#This Row],[I. Nazwisko]])</f>
        <v>1</v>
      </c>
      <c r="G85" s="58" t="str">
        <f>RIGHT(tbl_główna_GRACZE[[#This Row],[Kolumna1]],LEN(tbl_główna_GRACZE[[#This Row],[Kolumna1]])-FIND(" ",tbl_główna_GRACZE[[#This Row],[Kolumna1]]))</f>
        <v>D. Sobański</v>
      </c>
      <c r="H85" s="2" t="s">
        <v>93</v>
      </c>
      <c r="I85" s="10">
        <v>4</v>
      </c>
      <c r="J85" s="10">
        <v>13</v>
      </c>
      <c r="K85" s="10">
        <v>2</v>
      </c>
      <c r="L85" s="10">
        <v>6</v>
      </c>
      <c r="M85" s="10">
        <v>1</v>
      </c>
      <c r="N85" s="10">
        <v>2</v>
      </c>
      <c r="O85" s="10">
        <v>1</v>
      </c>
      <c r="P85" s="10">
        <v>2</v>
      </c>
      <c r="Q85" s="10">
        <v>1</v>
      </c>
      <c r="R85" s="10">
        <v>0</v>
      </c>
      <c r="S85" s="10">
        <v>0</v>
      </c>
      <c r="T85" s="10">
        <v>0</v>
      </c>
      <c r="U85" s="10">
        <v>0</v>
      </c>
      <c r="V85" s="10">
        <v>34</v>
      </c>
      <c r="W85" s="10">
        <v>11</v>
      </c>
      <c r="X85" s="57">
        <f t="shared" ref="X85:X94" si="87">O85+P85</f>
        <v>3</v>
      </c>
      <c r="Y85" s="4">
        <f t="shared" ref="Y85:Y94" si="88">I85/J85</f>
        <v>0.30769230769230771</v>
      </c>
      <c r="Z85" s="4">
        <f t="shared" ref="Z85:Z94" si="89">IFERROR(K85/L85,0)</f>
        <v>0.33333333333333331</v>
      </c>
      <c r="AA85" s="4">
        <f t="shared" ref="AA85:AA94" si="90">IFERROR(M85/N85,0)</f>
        <v>0.5</v>
      </c>
      <c r="AB85" s="4">
        <f>IFERROR(tbl_główna_GRACZE[[#This Row],[2pm]]/tbl_główna_GRACZE[[#This Row],[2pa]],0)</f>
        <v>0.2857142857142857</v>
      </c>
      <c r="AC85" s="4">
        <f t="shared" ref="AC85:AC94" si="91">W85/(2*(J85+0.44*N85))</f>
        <v>0.39625360230547546</v>
      </c>
      <c r="AD85" s="4">
        <f t="shared" ref="AD85:AD94" si="92">(I85+0.5*K85)/J85</f>
        <v>0.38461538461538464</v>
      </c>
      <c r="AE85" s="11">
        <f t="shared" ref="AE85:AE94" si="93">R85+T85+U85+W85+X85-(J85-I85)-(N85-M85)</f>
        <v>4</v>
      </c>
      <c r="AF85" s="4">
        <f t="shared" ref="AF85:AF94" si="94">N85/J85</f>
        <v>0.15384615384615385</v>
      </c>
      <c r="AG85" s="4">
        <f t="shared" ref="AG85:AG94" si="95">L85/J85</f>
        <v>0.46153846153846156</v>
      </c>
      <c r="AH8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0.24453840732910503</v>
      </c>
      <c r="AI85" s="25">
        <f>tbl_główna_GRACZE[[#This Row],[pts]]*(40/tbl_główna_GRACZE[[#This Row],[min]])</f>
        <v>12.941176470588236</v>
      </c>
      <c r="AJ85" s="30">
        <f>tbl_główna_GRACZE[[#This Row],[reb total]]*(40/tbl_główna_GRACZE[[#This Row],[min]])</f>
        <v>3.5294117647058822</v>
      </c>
      <c r="AK85" s="30">
        <f>tbl_główna_GRACZE[[#This Row],[asst]]*(40/tbl_główna_GRACZE[[#This Row],[min]])</f>
        <v>0</v>
      </c>
      <c r="AL85" s="5">
        <f t="shared" ref="AL85:AL94" si="96">W85/J85</f>
        <v>0.84615384615384615</v>
      </c>
      <c r="AM85" s="5">
        <f>(tbl_główna_GRACZE[[#This Row],[stl]]+tbl_główna_GRACZE[[#This Row],[blk]])*(40/tbl_główna_GRACZE[[#This Row],[min]])</f>
        <v>0</v>
      </c>
      <c r="AN8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85" s="25">
        <f>tbl_główna_GRACZE[[#This Row],[stl]]+tbl_główna_GRACZE[[#This Row],[blk]]+(tbl_główna_GRACZE[[#This Row],[dreb]]*0.5)</f>
        <v>1</v>
      </c>
      <c r="AP85" s="29">
        <f>(tbl_główna_GRACZE[[#This Row],[stl]]+tbl_główna_GRACZE[[#This Row],[blk]]+0.5*tbl_główna_GRACZE[[#This Row],[dreb]])/tbl_główna_GRACZE[[#This Row],[min]]</f>
        <v>2.9411764705882353E-2</v>
      </c>
      <c r="AQ85" s="6">
        <f t="shared" ref="AQ85:AQ94" si="97">W85+0.4*I85-0.7*J85-0.4*(N85-M85)+0.7*O85+0.3*P85+R85+0.7*U85+0.7*T85</f>
        <v>4.3999999999999995</v>
      </c>
      <c r="AR85" s="6">
        <f>tbl_główna_GRACZE[[#This Row],[GmSc]]*(40/tbl_główna_GRACZE[[#This Row],[min]])</f>
        <v>5.1764705882352935</v>
      </c>
      <c r="AS85" s="6">
        <f>tbl_główna_GRACZE[[#This Row],[EVAL]]*(40/tbl_główna_GRACZE[[#This Row],[min]])</f>
        <v>4.7058823529411766</v>
      </c>
      <c r="AT85" s="11">
        <f>tbl_główna_GRACZE[[#This Row],[fgm]]-tbl_główna_GRACZE[[#This Row],[3pm]]</f>
        <v>2</v>
      </c>
      <c r="AU85" s="11">
        <f>tbl_główna_GRACZE[[#This Row],[fga]]-tbl_główna_GRACZE[[#This Row],[3pa]]</f>
        <v>7</v>
      </c>
      <c r="AV85">
        <f>IF(tbl_główna_GRACZE[[#This Row],[min]]&gt;0,1,0)</f>
        <v>1</v>
      </c>
      <c r="AW85" s="58" t="str">
        <f>tbl_główna_GRACZE[[#This Row],[I. Nazwisko]]</f>
        <v>D. Sobański</v>
      </c>
    </row>
    <row r="86" spans="1:49" x14ac:dyDescent="0.35">
      <c r="A86" t="s">
        <v>52</v>
      </c>
      <c r="B86" t="s">
        <v>48</v>
      </c>
      <c r="C86" t="s">
        <v>58</v>
      </c>
      <c r="D86" t="str">
        <f>IF(C86="H",VLOOKUP($A86,tab_nazwy_zespołów[],2,0)&amp;VLOOKUP($B86,tab_nazwy_zespołów[],2,0),VLOOKUP($B86,tab_nazwy_zespołów[],2,0)&amp;VLOOKUP($A86,tab_nazwy_zespołów[],2,0))</f>
        <v>ŁODWIL</v>
      </c>
      <c r="E86">
        <v>2</v>
      </c>
      <c r="F86">
        <f>COUNTIF(tbl_zawodnicy_sumy[I. Nazwisko],tbl_główna_GRACZE[[#This Row],[I. Nazwisko]])</f>
        <v>1</v>
      </c>
      <c r="G86" s="58" t="str">
        <f>RIGHT(tbl_główna_GRACZE[[#This Row],[Kolumna1]],LEN(tbl_główna_GRACZE[[#This Row],[Kolumna1]])-FIND(" ",tbl_główna_GRACZE[[#This Row],[Kolumna1]]))</f>
        <v>C. Mavity</v>
      </c>
      <c r="H86" s="2" t="s">
        <v>343</v>
      </c>
      <c r="I86" s="10">
        <v>3</v>
      </c>
      <c r="J86" s="10">
        <v>10</v>
      </c>
      <c r="K86" s="10">
        <v>0</v>
      </c>
      <c r="L86" s="10">
        <v>3</v>
      </c>
      <c r="M86" s="10">
        <v>0</v>
      </c>
      <c r="N86" s="10">
        <v>0</v>
      </c>
      <c r="O86" s="10">
        <v>1</v>
      </c>
      <c r="P86" s="10">
        <v>6</v>
      </c>
      <c r="Q86" s="10">
        <v>1</v>
      </c>
      <c r="R86" s="10">
        <v>5</v>
      </c>
      <c r="S86" s="10">
        <v>0</v>
      </c>
      <c r="T86" s="10">
        <v>2</v>
      </c>
      <c r="U86" s="10">
        <v>0</v>
      </c>
      <c r="V86" s="10">
        <v>40</v>
      </c>
      <c r="W86" s="10">
        <v>6</v>
      </c>
      <c r="X86" s="57">
        <f t="shared" si="87"/>
        <v>7</v>
      </c>
      <c r="Y86" s="4">
        <f t="shared" si="88"/>
        <v>0.3</v>
      </c>
      <c r="Z86" s="4">
        <f t="shared" si="89"/>
        <v>0</v>
      </c>
      <c r="AA86" s="4">
        <f t="shared" si="90"/>
        <v>0</v>
      </c>
      <c r="AB86" s="4">
        <f>IFERROR(tbl_główna_GRACZE[[#This Row],[2pm]]/tbl_główna_GRACZE[[#This Row],[2pa]],0)</f>
        <v>0.42857142857142855</v>
      </c>
      <c r="AC86" s="4">
        <f t="shared" si="91"/>
        <v>0.3</v>
      </c>
      <c r="AD86" s="4">
        <f t="shared" si="92"/>
        <v>0.3</v>
      </c>
      <c r="AE86" s="11">
        <f t="shared" si="93"/>
        <v>13</v>
      </c>
      <c r="AF86" s="4">
        <f t="shared" si="94"/>
        <v>0</v>
      </c>
      <c r="AG86" s="4">
        <f t="shared" si="95"/>
        <v>0.3</v>
      </c>
      <c r="AH8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0.17618040873854829</v>
      </c>
      <c r="AI86" s="25">
        <f>tbl_główna_GRACZE[[#This Row],[pts]]*(40/tbl_główna_GRACZE[[#This Row],[min]])</f>
        <v>6</v>
      </c>
      <c r="AJ86" s="30">
        <f>tbl_główna_GRACZE[[#This Row],[reb total]]*(40/tbl_główna_GRACZE[[#This Row],[min]])</f>
        <v>7</v>
      </c>
      <c r="AK86" s="30">
        <f>tbl_główna_GRACZE[[#This Row],[asst]]*(40/tbl_główna_GRACZE[[#This Row],[min]])</f>
        <v>0</v>
      </c>
      <c r="AL86" s="5">
        <f t="shared" si="96"/>
        <v>0.6</v>
      </c>
      <c r="AM86" s="5">
        <f>(tbl_główna_GRACZE[[#This Row],[stl]]+tbl_główna_GRACZE[[#This Row],[blk]])*(40/tbl_główna_GRACZE[[#This Row],[min]])</f>
        <v>7</v>
      </c>
      <c r="AN8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0.3888888888888889</v>
      </c>
      <c r="AO86" s="25">
        <f>tbl_główna_GRACZE[[#This Row],[stl]]+tbl_główna_GRACZE[[#This Row],[blk]]+(tbl_główna_GRACZE[[#This Row],[dreb]]*0.5)</f>
        <v>10</v>
      </c>
      <c r="AP86" s="29">
        <f>(tbl_główna_GRACZE[[#This Row],[stl]]+tbl_główna_GRACZE[[#This Row],[blk]]+0.5*tbl_główna_GRACZE[[#This Row],[dreb]])/tbl_główna_GRACZE[[#This Row],[min]]</f>
        <v>0.25</v>
      </c>
      <c r="AQ86" s="6">
        <f t="shared" si="97"/>
        <v>9.1</v>
      </c>
      <c r="AR86" s="6">
        <f>tbl_główna_GRACZE[[#This Row],[GmSc]]*(40/tbl_główna_GRACZE[[#This Row],[min]])</f>
        <v>9.1</v>
      </c>
      <c r="AS86" s="6">
        <f>tbl_główna_GRACZE[[#This Row],[EVAL]]*(40/tbl_główna_GRACZE[[#This Row],[min]])</f>
        <v>13</v>
      </c>
      <c r="AT86" s="11">
        <f>tbl_główna_GRACZE[[#This Row],[fgm]]-tbl_główna_GRACZE[[#This Row],[3pm]]</f>
        <v>3</v>
      </c>
      <c r="AU86" s="11">
        <f>tbl_główna_GRACZE[[#This Row],[fga]]-tbl_główna_GRACZE[[#This Row],[3pa]]</f>
        <v>7</v>
      </c>
      <c r="AV86">
        <f>IF(tbl_główna_GRACZE[[#This Row],[min]]&gt;0,1,0)</f>
        <v>1</v>
      </c>
      <c r="AW86" s="58" t="str">
        <f>tbl_główna_GRACZE[[#This Row],[I. Nazwisko]]</f>
        <v>C. Mavity</v>
      </c>
    </row>
    <row r="87" spans="1:49" x14ac:dyDescent="0.35">
      <c r="A87" t="s">
        <v>52</v>
      </c>
      <c r="B87" t="s">
        <v>48</v>
      </c>
      <c r="C87" t="s">
        <v>58</v>
      </c>
      <c r="D87" t="str">
        <f>IF(C87="H",VLOOKUP($A87,tab_nazwy_zespołów[],2,0)&amp;VLOOKUP($B87,tab_nazwy_zespołów[],2,0),VLOOKUP($B87,tab_nazwy_zespołów[],2,0)&amp;VLOOKUP($A87,tab_nazwy_zespołów[],2,0))</f>
        <v>ŁODWIL</v>
      </c>
      <c r="E87">
        <v>2</v>
      </c>
      <c r="F87">
        <f>COUNTIF(tbl_zawodnicy_sumy[I. Nazwisko],tbl_główna_GRACZE[[#This Row],[I. Nazwisko]])</f>
        <v>1</v>
      </c>
      <c r="G87" s="58" t="str">
        <f>RIGHT(tbl_główna_GRACZE[[#This Row],[Kolumna1]],LEN(tbl_główna_GRACZE[[#This Row],[Kolumna1]])-FIND(" ",tbl_główna_GRACZE[[#This Row],[Kolumna1]]))</f>
        <v>W. Sienkowski</v>
      </c>
      <c r="H87" s="2" t="s">
        <v>94</v>
      </c>
      <c r="I87" s="10">
        <v>3</v>
      </c>
      <c r="J87" s="10">
        <v>8</v>
      </c>
      <c r="K87" s="10">
        <v>0</v>
      </c>
      <c r="L87" s="10">
        <v>1</v>
      </c>
      <c r="M87" s="10">
        <v>0</v>
      </c>
      <c r="N87" s="10">
        <v>0</v>
      </c>
      <c r="O87" s="10">
        <v>2</v>
      </c>
      <c r="P87" s="10">
        <v>3</v>
      </c>
      <c r="Q87" s="10">
        <v>5</v>
      </c>
      <c r="R87" s="10">
        <v>1</v>
      </c>
      <c r="S87" s="10">
        <v>0</v>
      </c>
      <c r="T87" s="10">
        <v>0</v>
      </c>
      <c r="U87" s="10">
        <v>2</v>
      </c>
      <c r="V87" s="10">
        <v>31</v>
      </c>
      <c r="W87" s="10">
        <v>6</v>
      </c>
      <c r="X87" s="57">
        <f t="shared" si="87"/>
        <v>5</v>
      </c>
      <c r="Y87" s="4">
        <f t="shared" si="88"/>
        <v>0.375</v>
      </c>
      <c r="Z87" s="4">
        <f t="shared" si="89"/>
        <v>0</v>
      </c>
      <c r="AA87" s="4">
        <f t="shared" si="90"/>
        <v>0</v>
      </c>
      <c r="AB87" s="4">
        <f>IFERROR(tbl_główna_GRACZE[[#This Row],[2pm]]/tbl_główna_GRACZE[[#This Row],[2pa]],0)</f>
        <v>0.42857142857142855</v>
      </c>
      <c r="AC87" s="4">
        <f t="shared" si="91"/>
        <v>0.375</v>
      </c>
      <c r="AD87" s="4">
        <f t="shared" si="92"/>
        <v>0.375</v>
      </c>
      <c r="AE87" s="11">
        <f t="shared" si="93"/>
        <v>9</v>
      </c>
      <c r="AF87" s="4">
        <f t="shared" si="94"/>
        <v>0</v>
      </c>
      <c r="AG87" s="4">
        <f t="shared" si="95"/>
        <v>0.125</v>
      </c>
      <c r="AH8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0.14094432699083861</v>
      </c>
      <c r="AI87" s="25">
        <f>tbl_główna_GRACZE[[#This Row],[pts]]*(40/tbl_główna_GRACZE[[#This Row],[min]])</f>
        <v>7.741935483870968</v>
      </c>
      <c r="AJ87" s="30">
        <f>tbl_główna_GRACZE[[#This Row],[reb total]]*(40/tbl_główna_GRACZE[[#This Row],[min]])</f>
        <v>6.4516129032258061</v>
      </c>
      <c r="AK87" s="30">
        <f>tbl_główna_GRACZE[[#This Row],[asst]]*(40/tbl_główna_GRACZE[[#This Row],[min]])</f>
        <v>2.5806451612903225</v>
      </c>
      <c r="AL87" s="5">
        <f t="shared" si="96"/>
        <v>0.75</v>
      </c>
      <c r="AM87" s="5">
        <f>(tbl_główna_GRACZE[[#This Row],[stl]]+tbl_główna_GRACZE[[#This Row],[blk]])*(40/tbl_główna_GRACZE[[#This Row],[min]])</f>
        <v>1.2903225806451613</v>
      </c>
      <c r="AN8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87" s="25">
        <f>tbl_główna_GRACZE[[#This Row],[stl]]+tbl_główna_GRACZE[[#This Row],[blk]]+(tbl_główna_GRACZE[[#This Row],[dreb]]*0.5)</f>
        <v>2.5</v>
      </c>
      <c r="AP87" s="29">
        <f>(tbl_główna_GRACZE[[#This Row],[stl]]+tbl_główna_GRACZE[[#This Row],[blk]]+0.5*tbl_główna_GRACZE[[#This Row],[dreb]])/tbl_główna_GRACZE[[#This Row],[min]]</f>
        <v>8.0645161290322578E-2</v>
      </c>
      <c r="AQ87" s="6">
        <f t="shared" si="97"/>
        <v>6.3000000000000007</v>
      </c>
      <c r="AR87" s="6">
        <f>tbl_główna_GRACZE[[#This Row],[GmSc]]*(40/tbl_główna_GRACZE[[#This Row],[min]])</f>
        <v>8.129032258064516</v>
      </c>
      <c r="AS87" s="6">
        <f>tbl_główna_GRACZE[[#This Row],[EVAL]]*(40/tbl_główna_GRACZE[[#This Row],[min]])</f>
        <v>11.612903225806452</v>
      </c>
      <c r="AT87" s="11">
        <f>tbl_główna_GRACZE[[#This Row],[fgm]]-tbl_główna_GRACZE[[#This Row],[3pm]]</f>
        <v>3</v>
      </c>
      <c r="AU87" s="11">
        <f>tbl_główna_GRACZE[[#This Row],[fga]]-tbl_główna_GRACZE[[#This Row],[3pa]]</f>
        <v>7</v>
      </c>
      <c r="AV87">
        <f>IF(tbl_główna_GRACZE[[#This Row],[min]]&gt;0,1,0)</f>
        <v>1</v>
      </c>
      <c r="AW87" s="58" t="str">
        <f>tbl_główna_GRACZE[[#This Row],[I. Nazwisko]]</f>
        <v>W. Sienkowski</v>
      </c>
    </row>
    <row r="88" spans="1:49" x14ac:dyDescent="0.35">
      <c r="A88" t="s">
        <v>52</v>
      </c>
      <c r="B88" t="s">
        <v>48</v>
      </c>
      <c r="C88" t="s">
        <v>58</v>
      </c>
      <c r="D88" t="str">
        <f>IF(C88="H",VLOOKUP($A88,tab_nazwy_zespołów[],2,0)&amp;VLOOKUP($B88,tab_nazwy_zespołów[],2,0),VLOOKUP($B88,tab_nazwy_zespołów[],2,0)&amp;VLOOKUP($A88,tab_nazwy_zespołów[],2,0))</f>
        <v>ŁODWIL</v>
      </c>
      <c r="E88">
        <v>2</v>
      </c>
      <c r="F88">
        <f>COUNTIF(tbl_zawodnicy_sumy[I. Nazwisko],tbl_główna_GRACZE[[#This Row],[I. Nazwisko]])</f>
        <v>1</v>
      </c>
      <c r="G88" s="58" t="str">
        <f>RIGHT(tbl_główna_GRACZE[[#This Row],[Kolumna1]],LEN(tbl_główna_GRACZE[[#This Row],[Kolumna1]])-FIND(" ",tbl_główna_GRACZE[[#This Row],[Kolumna1]]))</f>
        <v>M. Nagrodzki</v>
      </c>
      <c r="H88" s="2" t="s">
        <v>96</v>
      </c>
      <c r="I88" s="10">
        <v>1</v>
      </c>
      <c r="J88" s="10">
        <v>6</v>
      </c>
      <c r="K88" s="10">
        <v>0</v>
      </c>
      <c r="L88" s="10">
        <v>1</v>
      </c>
      <c r="M88" s="10">
        <v>0</v>
      </c>
      <c r="N88" s="10">
        <v>0</v>
      </c>
      <c r="O88" s="10">
        <v>3</v>
      </c>
      <c r="P88" s="10">
        <v>1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16</v>
      </c>
      <c r="W88" s="10">
        <v>2</v>
      </c>
      <c r="X88" s="57">
        <f t="shared" si="87"/>
        <v>4</v>
      </c>
      <c r="Y88" s="4">
        <f t="shared" si="88"/>
        <v>0.16666666666666666</v>
      </c>
      <c r="Z88" s="4">
        <f t="shared" si="89"/>
        <v>0</v>
      </c>
      <c r="AA88" s="4">
        <f t="shared" si="90"/>
        <v>0</v>
      </c>
      <c r="AB88" s="4">
        <f>IFERROR(tbl_główna_GRACZE[[#This Row],[2pm]]/tbl_główna_GRACZE[[#This Row],[2pa]],0)</f>
        <v>0.2</v>
      </c>
      <c r="AC88" s="4">
        <f t="shared" si="91"/>
        <v>0.16666666666666666</v>
      </c>
      <c r="AD88" s="4">
        <f t="shared" si="92"/>
        <v>0.16666666666666666</v>
      </c>
      <c r="AE88" s="11">
        <f t="shared" si="93"/>
        <v>1</v>
      </c>
      <c r="AF88" s="4">
        <f t="shared" si="94"/>
        <v>0</v>
      </c>
      <c r="AG88" s="4">
        <f t="shared" si="95"/>
        <v>0.16666666666666666</v>
      </c>
      <c r="AH8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0.10570824524312897</v>
      </c>
      <c r="AI88" s="25">
        <f>tbl_główna_GRACZE[[#This Row],[pts]]*(40/tbl_główna_GRACZE[[#This Row],[min]])</f>
        <v>5</v>
      </c>
      <c r="AJ88" s="30">
        <f>tbl_główna_GRACZE[[#This Row],[reb total]]*(40/tbl_główna_GRACZE[[#This Row],[min]])</f>
        <v>10</v>
      </c>
      <c r="AK88" s="30">
        <f>tbl_główna_GRACZE[[#This Row],[asst]]*(40/tbl_główna_GRACZE[[#This Row],[min]])</f>
        <v>0</v>
      </c>
      <c r="AL88" s="5">
        <f t="shared" si="96"/>
        <v>0.33333333333333331</v>
      </c>
      <c r="AM88" s="5">
        <f>(tbl_główna_GRACZE[[#This Row],[stl]]+tbl_główna_GRACZE[[#This Row],[blk]])*(40/tbl_główna_GRACZE[[#This Row],[min]])</f>
        <v>0</v>
      </c>
      <c r="AN8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88" s="25">
        <f>tbl_główna_GRACZE[[#This Row],[stl]]+tbl_główna_GRACZE[[#This Row],[blk]]+(tbl_główna_GRACZE[[#This Row],[dreb]]*0.5)</f>
        <v>0.5</v>
      </c>
      <c r="AP88" s="29">
        <f>(tbl_główna_GRACZE[[#This Row],[stl]]+tbl_główna_GRACZE[[#This Row],[blk]]+0.5*tbl_główna_GRACZE[[#This Row],[dreb]])/tbl_główna_GRACZE[[#This Row],[min]]</f>
        <v>3.125E-2</v>
      </c>
      <c r="AQ88" s="6">
        <f t="shared" si="97"/>
        <v>0.60000000000000031</v>
      </c>
      <c r="AR88" s="6">
        <f>tbl_główna_GRACZE[[#This Row],[GmSc]]*(40/tbl_główna_GRACZE[[#This Row],[min]])</f>
        <v>1.5000000000000009</v>
      </c>
      <c r="AS88" s="6">
        <f>tbl_główna_GRACZE[[#This Row],[EVAL]]*(40/tbl_główna_GRACZE[[#This Row],[min]])</f>
        <v>2.5</v>
      </c>
      <c r="AT88" s="11">
        <f>tbl_główna_GRACZE[[#This Row],[fgm]]-tbl_główna_GRACZE[[#This Row],[3pm]]</f>
        <v>1</v>
      </c>
      <c r="AU88" s="11">
        <f>tbl_główna_GRACZE[[#This Row],[fga]]-tbl_główna_GRACZE[[#This Row],[3pa]]</f>
        <v>5</v>
      </c>
      <c r="AV88">
        <f>IF(tbl_główna_GRACZE[[#This Row],[min]]&gt;0,1,0)</f>
        <v>1</v>
      </c>
      <c r="AW88" s="58" t="str">
        <f>tbl_główna_GRACZE[[#This Row],[I. Nazwisko]]</f>
        <v>M. Nagrodzki</v>
      </c>
    </row>
    <row r="89" spans="1:49" x14ac:dyDescent="0.35">
      <c r="A89" t="s">
        <v>52</v>
      </c>
      <c r="B89" t="s">
        <v>48</v>
      </c>
      <c r="C89" t="s">
        <v>58</v>
      </c>
      <c r="D89" t="str">
        <f>IF(C89="H",VLOOKUP($A89,tab_nazwy_zespołów[],2,0)&amp;VLOOKUP($B89,tab_nazwy_zespołów[],2,0),VLOOKUP($B89,tab_nazwy_zespołów[],2,0)&amp;VLOOKUP($A89,tab_nazwy_zespołów[],2,0))</f>
        <v>ŁODWIL</v>
      </c>
      <c r="E89">
        <v>2</v>
      </c>
      <c r="F89">
        <f>COUNTIF(tbl_zawodnicy_sumy[I. Nazwisko],tbl_główna_GRACZE[[#This Row],[I. Nazwisko]])</f>
        <v>1</v>
      </c>
      <c r="G89" s="58" t="str">
        <f>RIGHT(tbl_główna_GRACZE[[#This Row],[Kolumna1]],LEN(tbl_główna_GRACZE[[#This Row],[Kolumna1]])-FIND(" ",tbl_główna_GRACZE[[#This Row],[Kolumna1]]))</f>
        <v>Ł. Bułanowski</v>
      </c>
      <c r="H89" s="2" t="s">
        <v>91</v>
      </c>
      <c r="I89" s="10">
        <v>1</v>
      </c>
      <c r="J89" s="10">
        <v>5</v>
      </c>
      <c r="K89" s="10">
        <v>0</v>
      </c>
      <c r="L89" s="10">
        <v>0</v>
      </c>
      <c r="M89" s="10">
        <v>0</v>
      </c>
      <c r="N89" s="10">
        <v>0</v>
      </c>
      <c r="O89" s="10">
        <v>2</v>
      </c>
      <c r="P89" s="10">
        <v>6</v>
      </c>
      <c r="Q89" s="10">
        <v>5</v>
      </c>
      <c r="R89" s="10">
        <v>4</v>
      </c>
      <c r="S89" s="10">
        <v>0</v>
      </c>
      <c r="T89" s="10">
        <v>3</v>
      </c>
      <c r="U89" s="10">
        <v>1</v>
      </c>
      <c r="V89" s="10">
        <v>17</v>
      </c>
      <c r="W89" s="10">
        <v>2</v>
      </c>
      <c r="X89" s="57">
        <f t="shared" si="87"/>
        <v>8</v>
      </c>
      <c r="Y89" s="4">
        <f t="shared" si="88"/>
        <v>0.2</v>
      </c>
      <c r="Z89" s="4">
        <f t="shared" si="89"/>
        <v>0</v>
      </c>
      <c r="AA89" s="4">
        <f t="shared" si="90"/>
        <v>0</v>
      </c>
      <c r="AB89" s="4">
        <f>IFERROR(tbl_główna_GRACZE[[#This Row],[2pm]]/tbl_główna_GRACZE[[#This Row],[2pa]],0)</f>
        <v>0.2</v>
      </c>
      <c r="AC89" s="4">
        <f t="shared" si="91"/>
        <v>0.2</v>
      </c>
      <c r="AD89" s="4">
        <f t="shared" si="92"/>
        <v>0.2</v>
      </c>
      <c r="AE89" s="11">
        <f t="shared" si="93"/>
        <v>14</v>
      </c>
      <c r="AF89" s="4">
        <f t="shared" si="94"/>
        <v>0</v>
      </c>
      <c r="AG89" s="4">
        <f t="shared" si="95"/>
        <v>0</v>
      </c>
      <c r="AH8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8.8090204369274144E-2</v>
      </c>
      <c r="AI89" s="25">
        <f>tbl_główna_GRACZE[[#This Row],[pts]]*(40/tbl_główna_GRACZE[[#This Row],[min]])</f>
        <v>4.7058823529411766</v>
      </c>
      <c r="AJ89" s="30">
        <f>tbl_główna_GRACZE[[#This Row],[reb total]]*(40/tbl_główna_GRACZE[[#This Row],[min]])</f>
        <v>18.823529411764707</v>
      </c>
      <c r="AK89" s="30">
        <f>tbl_główna_GRACZE[[#This Row],[asst]]*(40/tbl_główna_GRACZE[[#This Row],[min]])</f>
        <v>2.3529411764705883</v>
      </c>
      <c r="AL89" s="5">
        <f t="shared" si="96"/>
        <v>0.4</v>
      </c>
      <c r="AM89" s="5">
        <f>(tbl_główna_GRACZE[[#This Row],[stl]]+tbl_główna_GRACZE[[#This Row],[blk]])*(40/tbl_główna_GRACZE[[#This Row],[min]])</f>
        <v>16.47058823529412</v>
      </c>
      <c r="AN8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0.3888888888888889</v>
      </c>
      <c r="AO89" s="25">
        <f>tbl_główna_GRACZE[[#This Row],[stl]]+tbl_główna_GRACZE[[#This Row],[blk]]+(tbl_główna_GRACZE[[#This Row],[dreb]]*0.5)</f>
        <v>10</v>
      </c>
      <c r="AP89" s="29">
        <f>(tbl_główna_GRACZE[[#This Row],[stl]]+tbl_główna_GRACZE[[#This Row],[blk]]+0.5*tbl_główna_GRACZE[[#This Row],[dreb]])/tbl_główna_GRACZE[[#This Row],[min]]</f>
        <v>0.58823529411764708</v>
      </c>
      <c r="AQ89" s="6">
        <f t="shared" si="97"/>
        <v>8.8999999999999986</v>
      </c>
      <c r="AR89" s="6">
        <f>tbl_główna_GRACZE[[#This Row],[GmSc]]*(40/tbl_główna_GRACZE[[#This Row],[min]])</f>
        <v>20.941176470588232</v>
      </c>
      <c r="AS89" s="6">
        <f>tbl_główna_GRACZE[[#This Row],[EVAL]]*(40/tbl_główna_GRACZE[[#This Row],[min]])</f>
        <v>32.941176470588239</v>
      </c>
      <c r="AT89" s="11">
        <f>tbl_główna_GRACZE[[#This Row],[fgm]]-tbl_główna_GRACZE[[#This Row],[3pm]]</f>
        <v>1</v>
      </c>
      <c r="AU89" s="11">
        <f>tbl_główna_GRACZE[[#This Row],[fga]]-tbl_główna_GRACZE[[#This Row],[3pa]]</f>
        <v>5</v>
      </c>
      <c r="AV89">
        <f>IF(tbl_główna_GRACZE[[#This Row],[min]]&gt;0,1,0)</f>
        <v>1</v>
      </c>
      <c r="AW89" s="58" t="str">
        <f>tbl_główna_GRACZE[[#This Row],[I. Nazwisko]]</f>
        <v>Ł. Bułanowski</v>
      </c>
    </row>
    <row r="90" spans="1:49" x14ac:dyDescent="0.35">
      <c r="A90" t="s">
        <v>52</v>
      </c>
      <c r="B90" t="s">
        <v>48</v>
      </c>
      <c r="C90" t="s">
        <v>58</v>
      </c>
      <c r="D90" t="str">
        <f>IF(C90="H",VLOOKUP($A90,tab_nazwy_zespołów[],2,0)&amp;VLOOKUP($B90,tab_nazwy_zespołów[],2,0),VLOOKUP($B90,tab_nazwy_zespołów[],2,0)&amp;VLOOKUP($A90,tab_nazwy_zespołów[],2,0))</f>
        <v>ŁODWIL</v>
      </c>
      <c r="E90">
        <v>2</v>
      </c>
      <c r="F90">
        <f>COUNTIF(tbl_zawodnicy_sumy[I. Nazwisko],tbl_główna_GRACZE[[#This Row],[I. Nazwisko]])</f>
        <v>1</v>
      </c>
      <c r="G90" s="58" t="str">
        <f>RIGHT(tbl_główna_GRACZE[[#This Row],[Kolumna1]],LEN(tbl_główna_GRACZE[[#This Row],[Kolumna1]])-FIND(" ",tbl_główna_GRACZE[[#This Row],[Kolumna1]]))</f>
        <v>M. Karczmarczyk</v>
      </c>
      <c r="H90" s="2" t="s">
        <v>344</v>
      </c>
      <c r="I90" s="10">
        <v>0</v>
      </c>
      <c r="J90" s="10">
        <v>4</v>
      </c>
      <c r="K90" s="10">
        <v>0</v>
      </c>
      <c r="L90" s="10">
        <v>0</v>
      </c>
      <c r="M90" s="10">
        <v>0</v>
      </c>
      <c r="N90" s="10">
        <v>0</v>
      </c>
      <c r="O90" s="10">
        <v>2</v>
      </c>
      <c r="P90" s="10">
        <v>3</v>
      </c>
      <c r="Q90" s="10">
        <v>3</v>
      </c>
      <c r="R90" s="10">
        <v>3</v>
      </c>
      <c r="S90" s="10">
        <v>0</v>
      </c>
      <c r="T90" s="10">
        <v>0</v>
      </c>
      <c r="U90" s="10">
        <v>0</v>
      </c>
      <c r="V90" s="10">
        <v>15</v>
      </c>
      <c r="W90" s="10">
        <v>0</v>
      </c>
      <c r="X90" s="57">
        <f t="shared" si="87"/>
        <v>5</v>
      </c>
      <c r="Y90" s="4">
        <f t="shared" si="88"/>
        <v>0</v>
      </c>
      <c r="Z90" s="4">
        <f t="shared" si="89"/>
        <v>0</v>
      </c>
      <c r="AA90" s="4">
        <f t="shared" si="90"/>
        <v>0</v>
      </c>
      <c r="AB90" s="4">
        <f>IFERROR(tbl_główna_GRACZE[[#This Row],[2pm]]/tbl_główna_GRACZE[[#This Row],[2pa]],0)</f>
        <v>0</v>
      </c>
      <c r="AC90" s="4">
        <f t="shared" si="91"/>
        <v>0</v>
      </c>
      <c r="AD90" s="4">
        <f t="shared" si="92"/>
        <v>0</v>
      </c>
      <c r="AE90" s="11">
        <f t="shared" si="93"/>
        <v>4</v>
      </c>
      <c r="AF90" s="4">
        <f t="shared" si="94"/>
        <v>0</v>
      </c>
      <c r="AG90" s="4">
        <f t="shared" si="95"/>
        <v>0</v>
      </c>
      <c r="AH9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7.0472163495419307E-2</v>
      </c>
      <c r="AI90" s="25">
        <f>tbl_główna_GRACZE[[#This Row],[pts]]*(40/tbl_główna_GRACZE[[#This Row],[min]])</f>
        <v>0</v>
      </c>
      <c r="AJ90" s="30">
        <f>tbl_główna_GRACZE[[#This Row],[reb total]]*(40/tbl_główna_GRACZE[[#This Row],[min]])</f>
        <v>13.333333333333332</v>
      </c>
      <c r="AK90" s="30">
        <f>tbl_główna_GRACZE[[#This Row],[asst]]*(40/tbl_główna_GRACZE[[#This Row],[min]])</f>
        <v>0</v>
      </c>
      <c r="AL90" s="5">
        <f t="shared" si="96"/>
        <v>0</v>
      </c>
      <c r="AM90" s="5">
        <f>(tbl_główna_GRACZE[[#This Row],[stl]]+tbl_główna_GRACZE[[#This Row],[blk]])*(40/tbl_główna_GRACZE[[#This Row],[min]])</f>
        <v>8</v>
      </c>
      <c r="AN9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0" s="25">
        <f>tbl_główna_GRACZE[[#This Row],[stl]]+tbl_główna_GRACZE[[#This Row],[blk]]+(tbl_główna_GRACZE[[#This Row],[dreb]]*0.5)</f>
        <v>4.5</v>
      </c>
      <c r="AP90" s="29">
        <f>(tbl_główna_GRACZE[[#This Row],[stl]]+tbl_główna_GRACZE[[#This Row],[blk]]+0.5*tbl_główna_GRACZE[[#This Row],[dreb]])/tbl_główna_GRACZE[[#This Row],[min]]</f>
        <v>0.3</v>
      </c>
      <c r="AQ90" s="6">
        <f t="shared" si="97"/>
        <v>2.5</v>
      </c>
      <c r="AR90" s="6">
        <f>tbl_główna_GRACZE[[#This Row],[GmSc]]*(40/tbl_główna_GRACZE[[#This Row],[min]])</f>
        <v>6.6666666666666661</v>
      </c>
      <c r="AS90" s="6">
        <f>tbl_główna_GRACZE[[#This Row],[EVAL]]*(40/tbl_główna_GRACZE[[#This Row],[min]])</f>
        <v>10.666666666666666</v>
      </c>
      <c r="AT90" s="11">
        <f>tbl_główna_GRACZE[[#This Row],[fgm]]-tbl_główna_GRACZE[[#This Row],[3pm]]</f>
        <v>0</v>
      </c>
      <c r="AU90" s="11">
        <f>tbl_główna_GRACZE[[#This Row],[fga]]-tbl_główna_GRACZE[[#This Row],[3pa]]</f>
        <v>4</v>
      </c>
      <c r="AV90">
        <f>IF(tbl_główna_GRACZE[[#This Row],[min]]&gt;0,1,0)</f>
        <v>1</v>
      </c>
      <c r="AW90" s="58" t="str">
        <f>tbl_główna_GRACZE[[#This Row],[I. Nazwisko]]</f>
        <v>M. Karczmarczyk</v>
      </c>
    </row>
    <row r="91" spans="1:49" x14ac:dyDescent="0.35">
      <c r="A91" t="s">
        <v>52</v>
      </c>
      <c r="B91" t="s">
        <v>48</v>
      </c>
      <c r="C91" t="s">
        <v>58</v>
      </c>
      <c r="D91" t="str">
        <f>IF(C91="H",VLOOKUP($A91,tab_nazwy_zespołów[],2,0)&amp;VLOOKUP($B91,tab_nazwy_zespołów[],2,0),VLOOKUP($B91,tab_nazwy_zespołów[],2,0)&amp;VLOOKUP($A91,tab_nazwy_zespołów[],2,0))</f>
        <v>ŁODWIL</v>
      </c>
      <c r="E91">
        <v>2</v>
      </c>
      <c r="F91">
        <f>COUNTIF(tbl_zawodnicy_sumy[I. Nazwisko],tbl_główna_GRACZE[[#This Row],[I. Nazwisko]])</f>
        <v>1</v>
      </c>
      <c r="G91" s="58" t="str">
        <f>RIGHT(tbl_główna_GRACZE[[#This Row],[Kolumna1]],LEN(tbl_główna_GRACZE[[#This Row],[Kolumna1]])-FIND(" ",tbl_główna_GRACZE[[#This Row],[Kolumna1]]))</f>
        <v>K. Kondeja</v>
      </c>
      <c r="H91" s="2" t="s">
        <v>98</v>
      </c>
      <c r="I91" s="10">
        <v>0</v>
      </c>
      <c r="J91" s="10">
        <v>4</v>
      </c>
      <c r="K91" s="10">
        <v>0</v>
      </c>
      <c r="L91" s="10">
        <v>4</v>
      </c>
      <c r="M91" s="10">
        <v>0</v>
      </c>
      <c r="N91" s="10">
        <v>2</v>
      </c>
      <c r="O91" s="10">
        <v>0</v>
      </c>
      <c r="P91" s="10">
        <v>2</v>
      </c>
      <c r="Q91" s="10">
        <v>1</v>
      </c>
      <c r="R91" s="10">
        <v>0</v>
      </c>
      <c r="S91" s="10">
        <v>0</v>
      </c>
      <c r="T91" s="10">
        <v>0</v>
      </c>
      <c r="U91" s="10">
        <v>2</v>
      </c>
      <c r="V91" s="10">
        <v>13</v>
      </c>
      <c r="W91" s="10">
        <v>0</v>
      </c>
      <c r="X91" s="57">
        <f t="shared" si="87"/>
        <v>2</v>
      </c>
      <c r="Y91" s="4">
        <f t="shared" si="88"/>
        <v>0</v>
      </c>
      <c r="Z91" s="4">
        <f t="shared" si="89"/>
        <v>0</v>
      </c>
      <c r="AA91" s="4">
        <f t="shared" si="90"/>
        <v>0</v>
      </c>
      <c r="AB91" s="4">
        <f>IFERROR(tbl_główna_GRACZE[[#This Row],[2pm]]/tbl_główna_GRACZE[[#This Row],[2pa]],0)</f>
        <v>0</v>
      </c>
      <c r="AC91" s="4">
        <f t="shared" si="91"/>
        <v>0</v>
      </c>
      <c r="AD91" s="4">
        <f t="shared" si="92"/>
        <v>0</v>
      </c>
      <c r="AE91" s="11">
        <f t="shared" si="93"/>
        <v>-2</v>
      </c>
      <c r="AF91" s="4">
        <f t="shared" si="94"/>
        <v>0.5</v>
      </c>
      <c r="AG91" s="4">
        <f t="shared" si="95"/>
        <v>1</v>
      </c>
      <c r="AH9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8.5976039464411555E-2</v>
      </c>
      <c r="AI91" s="25">
        <f>tbl_główna_GRACZE[[#This Row],[pts]]*(40/tbl_główna_GRACZE[[#This Row],[min]])</f>
        <v>0</v>
      </c>
      <c r="AJ91" s="30">
        <f>tbl_główna_GRACZE[[#This Row],[reb total]]*(40/tbl_główna_GRACZE[[#This Row],[min]])</f>
        <v>6.1538461538461542</v>
      </c>
      <c r="AK91" s="30">
        <f>tbl_główna_GRACZE[[#This Row],[asst]]*(40/tbl_główna_GRACZE[[#This Row],[min]])</f>
        <v>6.1538461538461542</v>
      </c>
      <c r="AL91" s="5">
        <f t="shared" si="96"/>
        <v>0</v>
      </c>
      <c r="AM91" s="5">
        <f>(tbl_główna_GRACZE[[#This Row],[stl]]+tbl_główna_GRACZE[[#This Row],[blk]])*(40/tbl_główna_GRACZE[[#This Row],[min]])</f>
        <v>0</v>
      </c>
      <c r="AN9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1" s="25">
        <f>tbl_główna_GRACZE[[#This Row],[stl]]+tbl_główna_GRACZE[[#This Row],[blk]]+(tbl_główna_GRACZE[[#This Row],[dreb]]*0.5)</f>
        <v>1</v>
      </c>
      <c r="AP91" s="29">
        <f>(tbl_główna_GRACZE[[#This Row],[stl]]+tbl_główna_GRACZE[[#This Row],[blk]]+0.5*tbl_główna_GRACZE[[#This Row],[dreb]])/tbl_główna_GRACZE[[#This Row],[min]]</f>
        <v>7.6923076923076927E-2</v>
      </c>
      <c r="AQ91" s="6">
        <f t="shared" si="97"/>
        <v>-1.5999999999999996</v>
      </c>
      <c r="AR91" s="6">
        <f>tbl_główna_GRACZE[[#This Row],[GmSc]]*(40/tbl_główna_GRACZE[[#This Row],[min]])</f>
        <v>-4.9230769230769225</v>
      </c>
      <c r="AS91" s="6">
        <f>tbl_główna_GRACZE[[#This Row],[EVAL]]*(40/tbl_główna_GRACZE[[#This Row],[min]])</f>
        <v>-6.1538461538461542</v>
      </c>
      <c r="AT91" s="11">
        <f>tbl_główna_GRACZE[[#This Row],[fgm]]-tbl_główna_GRACZE[[#This Row],[3pm]]</f>
        <v>0</v>
      </c>
      <c r="AU91" s="11">
        <f>tbl_główna_GRACZE[[#This Row],[fga]]-tbl_główna_GRACZE[[#This Row],[3pa]]</f>
        <v>0</v>
      </c>
      <c r="AV91">
        <f>IF(tbl_główna_GRACZE[[#This Row],[min]]&gt;0,1,0)</f>
        <v>1</v>
      </c>
      <c r="AW91" s="58" t="str">
        <f>tbl_główna_GRACZE[[#This Row],[I. Nazwisko]]</f>
        <v>K. Kondeja</v>
      </c>
    </row>
    <row r="92" spans="1:49" x14ac:dyDescent="0.35">
      <c r="A92" t="s">
        <v>52</v>
      </c>
      <c r="B92" t="s">
        <v>48</v>
      </c>
      <c r="C92" t="s">
        <v>58</v>
      </c>
      <c r="D92" t="str">
        <f>IF(C92="H",VLOOKUP($A92,tab_nazwy_zespołów[],2,0)&amp;VLOOKUP($B92,tab_nazwy_zespołów[],2,0),VLOOKUP($B92,tab_nazwy_zespołów[],2,0)&amp;VLOOKUP($A92,tab_nazwy_zespołów[],2,0))</f>
        <v>ŁODWIL</v>
      </c>
      <c r="E92">
        <v>2</v>
      </c>
      <c r="F92">
        <f>COUNTIF(tbl_zawodnicy_sumy[I. Nazwisko],tbl_główna_GRACZE[[#This Row],[I. Nazwisko]])</f>
        <v>1</v>
      </c>
      <c r="G92" s="58" t="str">
        <f>RIGHT(tbl_główna_GRACZE[[#This Row],[Kolumna1]],LEN(tbl_główna_GRACZE[[#This Row],[Kolumna1]])-FIND(" ",tbl_główna_GRACZE[[#This Row],[Kolumna1]]))</f>
        <v>B. Sanner</v>
      </c>
      <c r="H92" s="2" t="s">
        <v>345</v>
      </c>
      <c r="I92" s="10">
        <v>0</v>
      </c>
      <c r="J92" s="10">
        <v>1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2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10</v>
      </c>
      <c r="W92" s="10">
        <v>0</v>
      </c>
      <c r="X92" s="57">
        <f t="shared" si="87"/>
        <v>2</v>
      </c>
      <c r="Y92" s="4">
        <f t="shared" si="88"/>
        <v>0</v>
      </c>
      <c r="Z92" s="4">
        <f t="shared" si="89"/>
        <v>0</v>
      </c>
      <c r="AA92" s="4">
        <f t="shared" si="90"/>
        <v>0</v>
      </c>
      <c r="AB92" s="4">
        <f>IFERROR(tbl_główna_GRACZE[[#This Row],[2pm]]/tbl_główna_GRACZE[[#This Row],[2pa]],0)</f>
        <v>0</v>
      </c>
      <c r="AC92" s="4">
        <f t="shared" si="91"/>
        <v>0</v>
      </c>
      <c r="AD92" s="4">
        <f t="shared" si="92"/>
        <v>0</v>
      </c>
      <c r="AE92" s="11">
        <f t="shared" si="93"/>
        <v>1</v>
      </c>
      <c r="AF92" s="4">
        <f t="shared" si="94"/>
        <v>0</v>
      </c>
      <c r="AG92" s="4">
        <f t="shared" si="95"/>
        <v>0</v>
      </c>
      <c r="AH9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1.7618040873854827E-2</v>
      </c>
      <c r="AI92" s="25">
        <f>tbl_główna_GRACZE[[#This Row],[pts]]*(40/tbl_główna_GRACZE[[#This Row],[min]])</f>
        <v>0</v>
      </c>
      <c r="AJ92" s="30">
        <f>tbl_główna_GRACZE[[#This Row],[reb total]]*(40/tbl_główna_GRACZE[[#This Row],[min]])</f>
        <v>8</v>
      </c>
      <c r="AK92" s="30">
        <f>tbl_główna_GRACZE[[#This Row],[asst]]*(40/tbl_główna_GRACZE[[#This Row],[min]])</f>
        <v>0</v>
      </c>
      <c r="AL92" s="5">
        <f t="shared" si="96"/>
        <v>0</v>
      </c>
      <c r="AM92" s="5">
        <f>(tbl_główna_GRACZE[[#This Row],[stl]]+tbl_główna_GRACZE[[#This Row],[blk]])*(40/tbl_główna_GRACZE[[#This Row],[min]])</f>
        <v>0</v>
      </c>
      <c r="AN9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2" s="25">
        <f>tbl_główna_GRACZE[[#This Row],[stl]]+tbl_główna_GRACZE[[#This Row],[blk]]+(tbl_główna_GRACZE[[#This Row],[dreb]]*0.5)</f>
        <v>1</v>
      </c>
      <c r="AP92" s="29">
        <f>(tbl_główna_GRACZE[[#This Row],[stl]]+tbl_główna_GRACZE[[#This Row],[blk]]+0.5*tbl_główna_GRACZE[[#This Row],[dreb]])/tbl_główna_GRACZE[[#This Row],[min]]</f>
        <v>0.1</v>
      </c>
      <c r="AQ92" s="6">
        <f t="shared" si="97"/>
        <v>-9.9999999999999978E-2</v>
      </c>
      <c r="AR92" s="6">
        <f>tbl_główna_GRACZE[[#This Row],[GmSc]]*(40/tbl_główna_GRACZE[[#This Row],[min]])</f>
        <v>-0.39999999999999991</v>
      </c>
      <c r="AS92" s="6">
        <f>tbl_główna_GRACZE[[#This Row],[EVAL]]*(40/tbl_główna_GRACZE[[#This Row],[min]])</f>
        <v>4</v>
      </c>
      <c r="AT92" s="11">
        <f>tbl_główna_GRACZE[[#This Row],[fgm]]-tbl_główna_GRACZE[[#This Row],[3pm]]</f>
        <v>0</v>
      </c>
      <c r="AU92" s="11">
        <f>tbl_główna_GRACZE[[#This Row],[fga]]-tbl_główna_GRACZE[[#This Row],[3pa]]</f>
        <v>1</v>
      </c>
      <c r="AV92">
        <f>IF(tbl_główna_GRACZE[[#This Row],[min]]&gt;0,1,0)</f>
        <v>1</v>
      </c>
      <c r="AW92" s="58" t="str">
        <f>tbl_główna_GRACZE[[#This Row],[I. Nazwisko]]</f>
        <v>B. Sanner</v>
      </c>
    </row>
    <row r="93" spans="1:49" x14ac:dyDescent="0.35">
      <c r="A93" t="s">
        <v>52</v>
      </c>
      <c r="B93" t="s">
        <v>48</v>
      </c>
      <c r="C93" t="s">
        <v>58</v>
      </c>
      <c r="D93" t="str">
        <f>IF(C93="H",VLOOKUP($A93,tab_nazwy_zespołów[],2,0)&amp;VLOOKUP($B93,tab_nazwy_zespołów[],2,0),VLOOKUP($B93,tab_nazwy_zespołów[],2,0)&amp;VLOOKUP($A93,tab_nazwy_zespołów[],2,0))</f>
        <v>ŁODWIL</v>
      </c>
      <c r="E93">
        <v>2</v>
      </c>
      <c r="F93">
        <f>COUNTIF(tbl_zawodnicy_sumy[I. Nazwisko],tbl_główna_GRACZE[[#This Row],[I. Nazwisko]])</f>
        <v>1</v>
      </c>
      <c r="G93" s="58" t="str">
        <f>RIGHT(tbl_główna_GRACZE[[#This Row],[Kolumna1]],LEN(tbl_główna_GRACZE[[#This Row],[Kolumna1]])-FIND(" ",tbl_główna_GRACZE[[#This Row],[Kolumna1]]))</f>
        <v>A. Sikora</v>
      </c>
      <c r="H93" s="2" t="s">
        <v>346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11</v>
      </c>
      <c r="W93" s="10">
        <v>0</v>
      </c>
      <c r="X93" s="57">
        <f t="shared" si="87"/>
        <v>0</v>
      </c>
      <c r="Y93" s="4" t="e">
        <f t="shared" si="88"/>
        <v>#DIV/0!</v>
      </c>
      <c r="Z93" s="4">
        <f t="shared" si="89"/>
        <v>0</v>
      </c>
      <c r="AA93" s="4">
        <f t="shared" si="90"/>
        <v>0</v>
      </c>
      <c r="AB93" s="4">
        <f>IFERROR(tbl_główna_GRACZE[[#This Row],[2pm]]/tbl_główna_GRACZE[[#This Row],[2pa]],0)</f>
        <v>0</v>
      </c>
      <c r="AC93" s="4" t="e">
        <f t="shared" si="91"/>
        <v>#DIV/0!</v>
      </c>
      <c r="AD93" s="4" t="e">
        <f t="shared" si="92"/>
        <v>#DIV/0!</v>
      </c>
      <c r="AE93" s="11">
        <f t="shared" si="93"/>
        <v>0</v>
      </c>
      <c r="AF93" s="4" t="e">
        <f t="shared" si="94"/>
        <v>#DIV/0!</v>
      </c>
      <c r="AG93" s="4" t="e">
        <f t="shared" si="95"/>
        <v>#DIV/0!</v>
      </c>
      <c r="AH9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</v>
      </c>
      <c r="AI93" s="25">
        <f>tbl_główna_GRACZE[[#This Row],[pts]]*(40/tbl_główna_GRACZE[[#This Row],[min]])</f>
        <v>0</v>
      </c>
      <c r="AJ93" s="30">
        <f>tbl_główna_GRACZE[[#This Row],[reb total]]*(40/tbl_główna_GRACZE[[#This Row],[min]])</f>
        <v>0</v>
      </c>
      <c r="AK93" s="30">
        <f>tbl_główna_GRACZE[[#This Row],[asst]]*(40/tbl_główna_GRACZE[[#This Row],[min]])</f>
        <v>0</v>
      </c>
      <c r="AL93" s="5" t="e">
        <f t="shared" si="96"/>
        <v>#DIV/0!</v>
      </c>
      <c r="AM93" s="5">
        <f>(tbl_główna_GRACZE[[#This Row],[stl]]+tbl_główna_GRACZE[[#This Row],[blk]])*(40/tbl_główna_GRACZE[[#This Row],[min]])</f>
        <v>0</v>
      </c>
      <c r="AN9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3" s="25">
        <f>tbl_główna_GRACZE[[#This Row],[stl]]+tbl_główna_GRACZE[[#This Row],[blk]]+(tbl_główna_GRACZE[[#This Row],[dreb]]*0.5)</f>
        <v>0</v>
      </c>
      <c r="AP93" s="29">
        <f>(tbl_główna_GRACZE[[#This Row],[stl]]+tbl_główna_GRACZE[[#This Row],[blk]]+0.5*tbl_główna_GRACZE[[#This Row],[dreb]])/tbl_główna_GRACZE[[#This Row],[min]]</f>
        <v>0</v>
      </c>
      <c r="AQ93" s="6">
        <f t="shared" si="97"/>
        <v>0</v>
      </c>
      <c r="AR93" s="6">
        <f>tbl_główna_GRACZE[[#This Row],[GmSc]]*(40/tbl_główna_GRACZE[[#This Row],[min]])</f>
        <v>0</v>
      </c>
      <c r="AS93" s="6">
        <f>tbl_główna_GRACZE[[#This Row],[EVAL]]*(40/tbl_główna_GRACZE[[#This Row],[min]])</f>
        <v>0</v>
      </c>
      <c r="AT93" s="11">
        <f>tbl_główna_GRACZE[[#This Row],[fgm]]-tbl_główna_GRACZE[[#This Row],[3pm]]</f>
        <v>0</v>
      </c>
      <c r="AU93" s="11">
        <f>tbl_główna_GRACZE[[#This Row],[fga]]-tbl_główna_GRACZE[[#This Row],[3pa]]</f>
        <v>0</v>
      </c>
      <c r="AV93">
        <f>IF(tbl_główna_GRACZE[[#This Row],[min]]&gt;0,1,0)</f>
        <v>1</v>
      </c>
      <c r="AW93" s="58" t="str">
        <f>tbl_główna_GRACZE[[#This Row],[I. Nazwisko]]</f>
        <v>A. Sikora</v>
      </c>
    </row>
    <row r="94" spans="1:49" x14ac:dyDescent="0.35">
      <c r="A94" t="s">
        <v>52</v>
      </c>
      <c r="B94" t="s">
        <v>48</v>
      </c>
      <c r="C94" t="s">
        <v>58</v>
      </c>
      <c r="D94" t="str">
        <f>IF(C94="H",VLOOKUP($A94,tab_nazwy_zespołów[],2,0)&amp;VLOOKUP($B94,tab_nazwy_zespołów[],2,0),VLOOKUP($B94,tab_nazwy_zespołów[],2,0)&amp;VLOOKUP($A94,tab_nazwy_zespołów[],2,0))</f>
        <v>ŁODWIL</v>
      </c>
      <c r="E94">
        <v>2</v>
      </c>
      <c r="F94">
        <f>COUNTIF(tbl_zawodnicy_sumy[I. Nazwisko],tbl_główna_GRACZE[[#This Row],[I. Nazwisko]])</f>
        <v>1</v>
      </c>
      <c r="G94" s="58" t="str">
        <f>RIGHT(tbl_główna_GRACZE[[#This Row],[Kolumna1]],LEN(tbl_główna_GRACZE[[#This Row],[Kolumna1]])-FIND(" ",tbl_główna_GRACZE[[#This Row],[Kolumna1]]))</f>
        <v>P. Michalski</v>
      </c>
      <c r="H94" s="2" t="s">
        <v>347</v>
      </c>
      <c r="I94" s="10">
        <v>0</v>
      </c>
      <c r="J94" s="10">
        <v>4</v>
      </c>
      <c r="K94" s="10">
        <v>0</v>
      </c>
      <c r="L94" s="10">
        <v>4</v>
      </c>
      <c r="M94" s="10">
        <v>0</v>
      </c>
      <c r="N94" s="10">
        <v>0</v>
      </c>
      <c r="O94" s="10">
        <v>0</v>
      </c>
      <c r="P94" s="10">
        <v>0</v>
      </c>
      <c r="Q94" s="10">
        <v>1</v>
      </c>
      <c r="R94" s="10">
        <v>0</v>
      </c>
      <c r="S94" s="10">
        <v>0</v>
      </c>
      <c r="T94" s="10">
        <v>0</v>
      </c>
      <c r="U94" s="10">
        <v>1</v>
      </c>
      <c r="V94" s="10">
        <v>8</v>
      </c>
      <c r="W94" s="10">
        <v>0</v>
      </c>
      <c r="X94" s="57">
        <f t="shared" si="87"/>
        <v>0</v>
      </c>
      <c r="Y94" s="4">
        <f t="shared" si="88"/>
        <v>0</v>
      </c>
      <c r="Z94" s="4">
        <f t="shared" si="89"/>
        <v>0</v>
      </c>
      <c r="AA94" s="4">
        <f t="shared" si="90"/>
        <v>0</v>
      </c>
      <c r="AB94" s="4">
        <f>IFERROR(tbl_główna_GRACZE[[#This Row],[2pm]]/tbl_główna_GRACZE[[#This Row],[2pa]],0)</f>
        <v>0</v>
      </c>
      <c r="AC94" s="4">
        <f t="shared" si="91"/>
        <v>0</v>
      </c>
      <c r="AD94" s="4">
        <f t="shared" si="92"/>
        <v>0</v>
      </c>
      <c r="AE94" s="11">
        <f t="shared" si="93"/>
        <v>-3</v>
      </c>
      <c r="AF94" s="4">
        <f t="shared" si="94"/>
        <v>0</v>
      </c>
      <c r="AG94" s="4">
        <f t="shared" si="95"/>
        <v>1</v>
      </c>
      <c r="AH9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7.0472163495419307E-2</v>
      </c>
      <c r="AI94" s="25">
        <f>tbl_główna_GRACZE[[#This Row],[pts]]*(40/tbl_główna_GRACZE[[#This Row],[min]])</f>
        <v>0</v>
      </c>
      <c r="AJ94" s="30">
        <f>tbl_główna_GRACZE[[#This Row],[reb total]]*(40/tbl_główna_GRACZE[[#This Row],[min]])</f>
        <v>0</v>
      </c>
      <c r="AK94" s="30">
        <f>tbl_główna_GRACZE[[#This Row],[asst]]*(40/tbl_główna_GRACZE[[#This Row],[min]])</f>
        <v>5</v>
      </c>
      <c r="AL94" s="5">
        <f t="shared" si="96"/>
        <v>0</v>
      </c>
      <c r="AM94" s="5">
        <f>(tbl_główna_GRACZE[[#This Row],[stl]]+tbl_główna_GRACZE[[#This Row],[blk]])*(40/tbl_główna_GRACZE[[#This Row],[min]])</f>
        <v>0</v>
      </c>
      <c r="AN9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4" s="25">
        <f>tbl_główna_GRACZE[[#This Row],[stl]]+tbl_główna_GRACZE[[#This Row],[blk]]+(tbl_główna_GRACZE[[#This Row],[dreb]]*0.5)</f>
        <v>0</v>
      </c>
      <c r="AP94" s="29">
        <f>(tbl_główna_GRACZE[[#This Row],[stl]]+tbl_główna_GRACZE[[#This Row],[blk]]+0.5*tbl_główna_GRACZE[[#This Row],[dreb]])/tbl_główna_GRACZE[[#This Row],[min]]</f>
        <v>0</v>
      </c>
      <c r="AQ94" s="6">
        <f t="shared" si="97"/>
        <v>-2.0999999999999996</v>
      </c>
      <c r="AR94" s="6">
        <f>tbl_główna_GRACZE[[#This Row],[GmSc]]*(40/tbl_główna_GRACZE[[#This Row],[min]])</f>
        <v>-10.499999999999998</v>
      </c>
      <c r="AS94" s="6">
        <f>tbl_główna_GRACZE[[#This Row],[EVAL]]*(40/tbl_główna_GRACZE[[#This Row],[min]])</f>
        <v>-15</v>
      </c>
      <c r="AT94" s="11">
        <f>tbl_główna_GRACZE[[#This Row],[fgm]]-tbl_główna_GRACZE[[#This Row],[3pm]]</f>
        <v>0</v>
      </c>
      <c r="AU94" s="11">
        <f>tbl_główna_GRACZE[[#This Row],[fga]]-tbl_główna_GRACZE[[#This Row],[3pa]]</f>
        <v>0</v>
      </c>
      <c r="AV94">
        <f>IF(tbl_główna_GRACZE[[#This Row],[min]]&gt;0,1,0)</f>
        <v>1</v>
      </c>
      <c r="AW94" s="58" t="str">
        <f>tbl_główna_GRACZE[[#This Row],[I. Nazwisko]]</f>
        <v>P. Michalski</v>
      </c>
    </row>
    <row r="95" spans="1:49" x14ac:dyDescent="0.35">
      <c r="A95" t="s">
        <v>48</v>
      </c>
      <c r="B95" t="s">
        <v>52</v>
      </c>
      <c r="C95" t="s">
        <v>57</v>
      </c>
      <c r="D95" t="str">
        <f>IF(C95="H",VLOOKUP($A95,tab_nazwy_zespołów[],2,0)&amp;VLOOKUP($B95,tab_nazwy_zespołów[],2,0),VLOOKUP($B95,tab_nazwy_zespołów[],2,0)&amp;VLOOKUP($A95,tab_nazwy_zespołów[],2,0))</f>
        <v>ŁODWIL</v>
      </c>
      <c r="E95">
        <v>2</v>
      </c>
      <c r="F95">
        <f>COUNTIF(tbl_zawodnicy_sumy[I. Nazwisko],tbl_główna_GRACZE[[#This Row],[I. Nazwisko]])</f>
        <v>1</v>
      </c>
      <c r="G95" s="58" t="str">
        <f>RIGHT(tbl_główna_GRACZE[[#This Row],[Kolumna1]],LEN(tbl_główna_GRACZE[[#This Row],[Kolumna1]])-FIND(" ",tbl_główna_GRACZE[[#This Row],[Kolumna1]]))</f>
        <v>S. Gąsiorowski</v>
      </c>
      <c r="H95" s="2" t="s">
        <v>77</v>
      </c>
      <c r="I95" s="10">
        <v>7</v>
      </c>
      <c r="J95" s="10">
        <v>14</v>
      </c>
      <c r="K95" s="10">
        <v>0</v>
      </c>
      <c r="L95" s="10">
        <v>0</v>
      </c>
      <c r="M95" s="10">
        <v>6</v>
      </c>
      <c r="N95" s="10">
        <v>9</v>
      </c>
      <c r="O95" s="10">
        <v>1</v>
      </c>
      <c r="P95" s="10">
        <v>3</v>
      </c>
      <c r="Q95" s="10">
        <v>1</v>
      </c>
      <c r="R95" s="10">
        <v>2</v>
      </c>
      <c r="S95" s="10">
        <v>0</v>
      </c>
      <c r="T95" s="10">
        <v>1</v>
      </c>
      <c r="U95" s="10">
        <v>1</v>
      </c>
      <c r="V95" s="10">
        <v>34</v>
      </c>
      <c r="W95" s="10">
        <v>20</v>
      </c>
      <c r="X95" s="57">
        <f t="shared" ref="X95:X103" si="98">O95+P95</f>
        <v>4</v>
      </c>
      <c r="Y95" s="4">
        <f t="shared" ref="Y95:Y103" si="99">I95/J95</f>
        <v>0.5</v>
      </c>
      <c r="Z95" s="4">
        <f t="shared" ref="Z95:Z103" si="100">IFERROR(K95/L95,0)</f>
        <v>0</v>
      </c>
      <c r="AA95" s="4">
        <f t="shared" ref="AA95:AA103" si="101">IFERROR(M95/N95,0)</f>
        <v>0.66666666666666663</v>
      </c>
      <c r="AB95" s="4">
        <f>IFERROR(tbl_główna_GRACZE[[#This Row],[2pm]]/tbl_główna_GRACZE[[#This Row],[2pa]],0)</f>
        <v>0.5</v>
      </c>
      <c r="AC95" s="4">
        <f t="shared" ref="AC95:AC103" si="102">W95/(2*(J95+0.44*N95))</f>
        <v>0.55679287305122493</v>
      </c>
      <c r="AD95" s="4">
        <f t="shared" ref="AD95:AD103" si="103">(I95+0.5*K95)/J95</f>
        <v>0.5</v>
      </c>
      <c r="AE95" s="11">
        <f t="shared" ref="AE95:AE103" si="104">R95+T95+U95+W95+X95-(J95-I95)-(N95-M95)</f>
        <v>18</v>
      </c>
      <c r="AF95" s="4">
        <f t="shared" ref="AF95:AF103" si="105">N95/J95</f>
        <v>0.6428571428571429</v>
      </c>
      <c r="AG95" s="4">
        <f t="shared" ref="AG95:AG103" si="106">L95/J95</f>
        <v>0</v>
      </c>
      <c r="AH9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0.28345959595959597</v>
      </c>
      <c r="AI95" s="25">
        <f>tbl_główna_GRACZE[[#This Row],[pts]]*(40/tbl_główna_GRACZE[[#This Row],[min]])</f>
        <v>23.529411764705884</v>
      </c>
      <c r="AJ95" s="30">
        <f>tbl_główna_GRACZE[[#This Row],[reb total]]*(40/tbl_główna_GRACZE[[#This Row],[min]])</f>
        <v>4.7058823529411766</v>
      </c>
      <c r="AK95" s="30">
        <f>tbl_główna_GRACZE[[#This Row],[asst]]*(40/tbl_główna_GRACZE[[#This Row],[min]])</f>
        <v>1.1764705882352942</v>
      </c>
      <c r="AL95" s="5">
        <f t="shared" ref="AL95:AL103" si="107">W95/J95</f>
        <v>1.4285714285714286</v>
      </c>
      <c r="AM95" s="5">
        <f>(tbl_główna_GRACZE[[#This Row],[stl]]+tbl_główna_GRACZE[[#This Row],[blk]])*(40/tbl_główna_GRACZE[[#This Row],[min]])</f>
        <v>3.5294117647058822</v>
      </c>
      <c r="AN9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5" s="25">
        <f>tbl_główna_GRACZE[[#This Row],[stl]]+tbl_główna_GRACZE[[#This Row],[blk]]+(tbl_główna_GRACZE[[#This Row],[dreb]]*0.5)</f>
        <v>4.5</v>
      </c>
      <c r="AP95" s="29">
        <f>(tbl_główna_GRACZE[[#This Row],[stl]]+tbl_główna_GRACZE[[#This Row],[blk]]+0.5*tbl_główna_GRACZE[[#This Row],[dreb]])/tbl_główna_GRACZE[[#This Row],[min]]</f>
        <v>0.13235294117647059</v>
      </c>
      <c r="AQ95" s="6">
        <f t="shared" ref="AQ95:AQ103" si="108">W95+0.4*I95-0.7*J95-0.4*(N95-M95)+0.7*O95+0.3*P95+R95+0.7*U95+0.7*T95</f>
        <v>16.8</v>
      </c>
      <c r="AR95" s="6">
        <f>tbl_główna_GRACZE[[#This Row],[GmSc]]*(40/tbl_główna_GRACZE[[#This Row],[min]])</f>
        <v>19.764705882352942</v>
      </c>
      <c r="AS95" s="6">
        <f>tbl_główna_GRACZE[[#This Row],[EVAL]]*(40/tbl_główna_GRACZE[[#This Row],[min]])</f>
        <v>21.176470588235293</v>
      </c>
      <c r="AT95" s="11">
        <f>tbl_główna_GRACZE[[#This Row],[fgm]]-tbl_główna_GRACZE[[#This Row],[3pm]]</f>
        <v>7</v>
      </c>
      <c r="AU95" s="11">
        <f>tbl_główna_GRACZE[[#This Row],[fga]]-tbl_główna_GRACZE[[#This Row],[3pa]]</f>
        <v>14</v>
      </c>
      <c r="AV95">
        <f>IF(tbl_główna_GRACZE[[#This Row],[min]]&gt;0,1,0)</f>
        <v>1</v>
      </c>
      <c r="AW95" s="58" t="str">
        <f>tbl_główna_GRACZE[[#This Row],[I. Nazwisko]]</f>
        <v>S. Gąsiorowski</v>
      </c>
    </row>
    <row r="96" spans="1:49" x14ac:dyDescent="0.35">
      <c r="A96" t="s">
        <v>48</v>
      </c>
      <c r="B96" t="s">
        <v>52</v>
      </c>
      <c r="C96" t="s">
        <v>57</v>
      </c>
      <c r="D96" t="str">
        <f>IF(C96="H",VLOOKUP($A96,tab_nazwy_zespołów[],2,0)&amp;VLOOKUP($B96,tab_nazwy_zespołów[],2,0),VLOOKUP($B96,tab_nazwy_zespołów[],2,0)&amp;VLOOKUP($A96,tab_nazwy_zespołów[],2,0))</f>
        <v>ŁODWIL</v>
      </c>
      <c r="E96">
        <v>2</v>
      </c>
      <c r="F96">
        <f>COUNTIF(tbl_zawodnicy_sumy[I. Nazwisko],tbl_główna_GRACZE[[#This Row],[I. Nazwisko]])</f>
        <v>1</v>
      </c>
      <c r="G96" s="58" t="str">
        <f>RIGHT(tbl_główna_GRACZE[[#This Row],[Kolumna1]],LEN(tbl_główna_GRACZE[[#This Row],[Kolumna1]])-FIND(" ",tbl_główna_GRACZE[[#This Row],[Kolumna1]]))</f>
        <v>M. Mąkowski</v>
      </c>
      <c r="H96" s="2" t="s">
        <v>83</v>
      </c>
      <c r="I96" s="10">
        <v>4</v>
      </c>
      <c r="J96" s="10">
        <v>8</v>
      </c>
      <c r="K96" s="10">
        <v>1</v>
      </c>
      <c r="L96" s="10">
        <v>1</v>
      </c>
      <c r="M96" s="10">
        <v>2</v>
      </c>
      <c r="N96" s="10">
        <v>4</v>
      </c>
      <c r="O96" s="10">
        <v>2</v>
      </c>
      <c r="P96" s="10">
        <v>6</v>
      </c>
      <c r="Q96" s="10">
        <v>1</v>
      </c>
      <c r="R96" s="10">
        <v>2</v>
      </c>
      <c r="S96" s="10">
        <v>0</v>
      </c>
      <c r="T96" s="10">
        <v>0</v>
      </c>
      <c r="U96" s="10">
        <v>2</v>
      </c>
      <c r="V96" s="10">
        <v>24</v>
      </c>
      <c r="W96" s="10">
        <v>11</v>
      </c>
      <c r="X96" s="57">
        <f t="shared" si="98"/>
        <v>8</v>
      </c>
      <c r="Y96" s="4">
        <f t="shared" si="99"/>
        <v>0.5</v>
      </c>
      <c r="Z96" s="4">
        <f t="shared" si="100"/>
        <v>1</v>
      </c>
      <c r="AA96" s="4">
        <f t="shared" si="101"/>
        <v>0.5</v>
      </c>
      <c r="AB96" s="4">
        <f>IFERROR(tbl_główna_GRACZE[[#This Row],[2pm]]/tbl_główna_GRACZE[[#This Row],[2pa]],0)</f>
        <v>0.42857142857142855</v>
      </c>
      <c r="AC96" s="4">
        <f t="shared" si="102"/>
        <v>0.56352459016393441</v>
      </c>
      <c r="AD96" s="4">
        <f t="shared" si="103"/>
        <v>0.5625</v>
      </c>
      <c r="AE96" s="11">
        <f t="shared" si="104"/>
        <v>17</v>
      </c>
      <c r="AF96" s="4">
        <f t="shared" si="105"/>
        <v>0.5</v>
      </c>
      <c r="AG96" s="4">
        <f t="shared" si="106"/>
        <v>0.125</v>
      </c>
      <c r="AH9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0.15404040404040403</v>
      </c>
      <c r="AI96" s="25">
        <f>tbl_główna_GRACZE[[#This Row],[pts]]*(40/tbl_główna_GRACZE[[#This Row],[min]])</f>
        <v>18.333333333333336</v>
      </c>
      <c r="AJ96" s="30">
        <f>tbl_główna_GRACZE[[#This Row],[reb total]]*(40/tbl_główna_GRACZE[[#This Row],[min]])</f>
        <v>13.333333333333334</v>
      </c>
      <c r="AK96" s="30">
        <f>tbl_główna_GRACZE[[#This Row],[asst]]*(40/tbl_główna_GRACZE[[#This Row],[min]])</f>
        <v>3.3333333333333335</v>
      </c>
      <c r="AL96" s="5">
        <f t="shared" si="107"/>
        <v>1.375</v>
      </c>
      <c r="AM96" s="5">
        <f>(tbl_główna_GRACZE[[#This Row],[stl]]+tbl_główna_GRACZE[[#This Row],[blk]])*(40/tbl_główna_GRACZE[[#This Row],[min]])</f>
        <v>3.3333333333333335</v>
      </c>
      <c r="AN9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96" s="25">
        <f>tbl_główna_GRACZE[[#This Row],[stl]]+tbl_główna_GRACZE[[#This Row],[blk]]+(tbl_główna_GRACZE[[#This Row],[dreb]]*0.5)</f>
        <v>5</v>
      </c>
      <c r="AP96" s="29">
        <f>(tbl_główna_GRACZE[[#This Row],[stl]]+tbl_główna_GRACZE[[#This Row],[blk]]+0.5*tbl_główna_GRACZE[[#This Row],[dreb]])/tbl_główna_GRACZE[[#This Row],[min]]</f>
        <v>0.20833333333333334</v>
      </c>
      <c r="AQ96" s="6">
        <f t="shared" si="108"/>
        <v>12.799999999999999</v>
      </c>
      <c r="AR96" s="6">
        <f>tbl_główna_GRACZE[[#This Row],[GmSc]]*(40/tbl_główna_GRACZE[[#This Row],[min]])</f>
        <v>21.333333333333332</v>
      </c>
      <c r="AS96" s="6">
        <f>tbl_główna_GRACZE[[#This Row],[EVAL]]*(40/tbl_główna_GRACZE[[#This Row],[min]])</f>
        <v>28.333333333333336</v>
      </c>
      <c r="AT96" s="11">
        <f>tbl_główna_GRACZE[[#This Row],[fgm]]-tbl_główna_GRACZE[[#This Row],[3pm]]</f>
        <v>3</v>
      </c>
      <c r="AU96" s="11">
        <f>tbl_główna_GRACZE[[#This Row],[fga]]-tbl_główna_GRACZE[[#This Row],[3pa]]</f>
        <v>7</v>
      </c>
      <c r="AV96">
        <f>IF(tbl_główna_GRACZE[[#This Row],[min]]&gt;0,1,0)</f>
        <v>1</v>
      </c>
      <c r="AW96" s="58" t="str">
        <f>tbl_główna_GRACZE[[#This Row],[I. Nazwisko]]</f>
        <v>M. Mąkowski</v>
      </c>
    </row>
    <row r="97" spans="1:49" x14ac:dyDescent="0.35">
      <c r="A97" t="s">
        <v>48</v>
      </c>
      <c r="B97" t="s">
        <v>52</v>
      </c>
      <c r="C97" t="s">
        <v>57</v>
      </c>
      <c r="D97" t="str">
        <f>IF(C97="H",VLOOKUP($A97,tab_nazwy_zespołów[],2,0)&amp;VLOOKUP($B97,tab_nazwy_zespołów[],2,0),VLOOKUP($B97,tab_nazwy_zespołów[],2,0)&amp;VLOOKUP($A97,tab_nazwy_zespołów[],2,0))</f>
        <v>ŁODWIL</v>
      </c>
      <c r="E97">
        <v>2</v>
      </c>
      <c r="F97">
        <f>COUNTIF(tbl_zawodnicy_sumy[I. Nazwisko],tbl_główna_GRACZE[[#This Row],[I. Nazwisko]])</f>
        <v>1</v>
      </c>
      <c r="G97" s="58" t="str">
        <f>RIGHT(tbl_główna_GRACZE[[#This Row],[Kolumna1]],LEN(tbl_główna_GRACZE[[#This Row],[Kolumna1]])-FIND(" ",tbl_główna_GRACZE[[#This Row],[Kolumna1]]))</f>
        <v>M. Leśniak</v>
      </c>
      <c r="H97" s="2" t="s">
        <v>80</v>
      </c>
      <c r="I97" s="10">
        <v>2</v>
      </c>
      <c r="J97" s="10">
        <v>3</v>
      </c>
      <c r="K97" s="10">
        <v>2</v>
      </c>
      <c r="L97" s="10">
        <v>3</v>
      </c>
      <c r="M97" s="10">
        <v>0</v>
      </c>
      <c r="N97" s="10">
        <v>0</v>
      </c>
      <c r="O97" s="10">
        <v>0</v>
      </c>
      <c r="P97" s="10">
        <v>5</v>
      </c>
      <c r="Q97" s="10">
        <v>1</v>
      </c>
      <c r="R97" s="10">
        <v>2</v>
      </c>
      <c r="S97" s="10">
        <v>0</v>
      </c>
      <c r="T97" s="10">
        <v>1</v>
      </c>
      <c r="U97" s="10">
        <v>1</v>
      </c>
      <c r="V97" s="10">
        <v>27</v>
      </c>
      <c r="W97" s="10">
        <v>6</v>
      </c>
      <c r="X97" s="57">
        <f t="shared" si="98"/>
        <v>5</v>
      </c>
      <c r="Y97" s="4">
        <f t="shared" si="99"/>
        <v>0.66666666666666663</v>
      </c>
      <c r="Z97" s="4">
        <f t="shared" si="100"/>
        <v>0.66666666666666663</v>
      </c>
      <c r="AA97" s="4">
        <f t="shared" si="101"/>
        <v>0</v>
      </c>
      <c r="AB97" s="4">
        <f>IFERROR(tbl_główna_GRACZE[[#This Row],[2pm]]/tbl_główna_GRACZE[[#This Row],[2pa]],0)</f>
        <v>0</v>
      </c>
      <c r="AC97" s="4">
        <f t="shared" si="102"/>
        <v>1</v>
      </c>
      <c r="AD97" s="4">
        <f t="shared" si="103"/>
        <v>1</v>
      </c>
      <c r="AE97" s="11">
        <f t="shared" si="104"/>
        <v>14</v>
      </c>
      <c r="AF97" s="4">
        <f t="shared" si="105"/>
        <v>0</v>
      </c>
      <c r="AG97" s="4">
        <f t="shared" si="106"/>
        <v>1</v>
      </c>
      <c r="AH9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4.7348484848484848E-2</v>
      </c>
      <c r="AI97" s="25">
        <f>tbl_główna_GRACZE[[#This Row],[pts]]*(40/tbl_główna_GRACZE[[#This Row],[min]])</f>
        <v>8.8888888888888893</v>
      </c>
      <c r="AJ97" s="30">
        <f>tbl_główna_GRACZE[[#This Row],[reb total]]*(40/tbl_główna_GRACZE[[#This Row],[min]])</f>
        <v>7.4074074074074066</v>
      </c>
      <c r="AK97" s="30">
        <f>tbl_główna_GRACZE[[#This Row],[asst]]*(40/tbl_główna_GRACZE[[#This Row],[min]])</f>
        <v>1.4814814814814814</v>
      </c>
      <c r="AL97" s="5">
        <f t="shared" si="107"/>
        <v>2</v>
      </c>
      <c r="AM97" s="5">
        <f>(tbl_główna_GRACZE[[#This Row],[stl]]+tbl_główna_GRACZE[[#This Row],[blk]])*(40/tbl_główna_GRACZE[[#This Row],[min]])</f>
        <v>4.4444444444444446</v>
      </c>
      <c r="AN9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7" s="25">
        <f>tbl_główna_GRACZE[[#This Row],[stl]]+tbl_główna_GRACZE[[#This Row],[blk]]+(tbl_główna_GRACZE[[#This Row],[dreb]]*0.5)</f>
        <v>5.5</v>
      </c>
      <c r="AP97" s="29">
        <f>(tbl_główna_GRACZE[[#This Row],[stl]]+tbl_główna_GRACZE[[#This Row],[blk]]+0.5*tbl_główna_GRACZE[[#This Row],[dreb]])/tbl_główna_GRACZE[[#This Row],[min]]</f>
        <v>0.20370370370370369</v>
      </c>
      <c r="AQ97" s="6">
        <f t="shared" si="108"/>
        <v>9.5999999999999979</v>
      </c>
      <c r="AR97" s="6">
        <f>tbl_główna_GRACZE[[#This Row],[GmSc]]*(40/tbl_główna_GRACZE[[#This Row],[min]])</f>
        <v>14.222222222222218</v>
      </c>
      <c r="AS97" s="6">
        <f>tbl_główna_GRACZE[[#This Row],[EVAL]]*(40/tbl_główna_GRACZE[[#This Row],[min]])</f>
        <v>20.74074074074074</v>
      </c>
      <c r="AT97" s="11">
        <f>tbl_główna_GRACZE[[#This Row],[fgm]]-tbl_główna_GRACZE[[#This Row],[3pm]]</f>
        <v>0</v>
      </c>
      <c r="AU97" s="11">
        <f>tbl_główna_GRACZE[[#This Row],[fga]]-tbl_główna_GRACZE[[#This Row],[3pa]]</f>
        <v>0</v>
      </c>
      <c r="AV97">
        <f>IF(tbl_główna_GRACZE[[#This Row],[min]]&gt;0,1,0)</f>
        <v>1</v>
      </c>
      <c r="AW97" s="58" t="str">
        <f>tbl_główna_GRACZE[[#This Row],[I. Nazwisko]]</f>
        <v>M. Leśniak</v>
      </c>
    </row>
    <row r="98" spans="1:49" x14ac:dyDescent="0.35">
      <c r="A98" t="s">
        <v>48</v>
      </c>
      <c r="B98" t="s">
        <v>52</v>
      </c>
      <c r="C98" t="s">
        <v>57</v>
      </c>
      <c r="D98" t="str">
        <f>IF(C98="H",VLOOKUP($A98,tab_nazwy_zespołów[],2,0)&amp;VLOOKUP($B98,tab_nazwy_zespołów[],2,0),VLOOKUP($B98,tab_nazwy_zespołów[],2,0)&amp;VLOOKUP($A98,tab_nazwy_zespołów[],2,0))</f>
        <v>ŁODWIL</v>
      </c>
      <c r="E98">
        <v>2</v>
      </c>
      <c r="F98">
        <f>COUNTIF(tbl_zawodnicy_sumy[I. Nazwisko],tbl_główna_GRACZE[[#This Row],[I. Nazwisko]])</f>
        <v>1</v>
      </c>
      <c r="G98" s="58" t="str">
        <f>RIGHT(tbl_główna_GRACZE[[#This Row],[Kolumna1]],LEN(tbl_główna_GRACZE[[#This Row],[Kolumna1]])-FIND(" ",tbl_główna_GRACZE[[#This Row],[Kolumna1]]))</f>
        <v>M. Bartosiewicz</v>
      </c>
      <c r="H98" s="2" t="s">
        <v>348</v>
      </c>
      <c r="I98" s="10">
        <v>1</v>
      </c>
      <c r="J98" s="10">
        <v>3</v>
      </c>
      <c r="K98" s="10">
        <v>0</v>
      </c>
      <c r="L98" s="10">
        <v>1</v>
      </c>
      <c r="M98" s="10">
        <v>2</v>
      </c>
      <c r="N98" s="10">
        <v>2</v>
      </c>
      <c r="O98" s="10">
        <v>0</v>
      </c>
      <c r="P98" s="10">
        <v>2</v>
      </c>
      <c r="Q98" s="10">
        <v>0</v>
      </c>
      <c r="R98" s="10">
        <v>1</v>
      </c>
      <c r="S98" s="10">
        <v>0</v>
      </c>
      <c r="T98" s="10">
        <v>0</v>
      </c>
      <c r="U98" s="10">
        <v>0</v>
      </c>
      <c r="V98" s="10">
        <v>17</v>
      </c>
      <c r="W98" s="10">
        <v>4</v>
      </c>
      <c r="X98" s="57">
        <f t="shared" si="98"/>
        <v>2</v>
      </c>
      <c r="Y98" s="4">
        <f t="shared" si="99"/>
        <v>0.33333333333333331</v>
      </c>
      <c r="Z98" s="4">
        <f t="shared" si="100"/>
        <v>0</v>
      </c>
      <c r="AA98" s="4">
        <f t="shared" si="101"/>
        <v>1</v>
      </c>
      <c r="AB98" s="4">
        <f>IFERROR(tbl_główna_GRACZE[[#This Row],[2pm]]/tbl_główna_GRACZE[[#This Row],[2pa]],0)</f>
        <v>0.5</v>
      </c>
      <c r="AC98" s="4">
        <f t="shared" si="102"/>
        <v>0.51546391752577325</v>
      </c>
      <c r="AD98" s="4">
        <f t="shared" si="103"/>
        <v>0.33333333333333331</v>
      </c>
      <c r="AE98" s="11">
        <f t="shared" si="104"/>
        <v>5</v>
      </c>
      <c r="AF98" s="4">
        <f t="shared" si="105"/>
        <v>0.66666666666666663</v>
      </c>
      <c r="AG98" s="4">
        <f t="shared" si="106"/>
        <v>0.33333333333333331</v>
      </c>
      <c r="AH9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6.1237373737373736E-2</v>
      </c>
      <c r="AI98" s="25">
        <f>tbl_główna_GRACZE[[#This Row],[pts]]*(40/tbl_główna_GRACZE[[#This Row],[min]])</f>
        <v>9.4117647058823533</v>
      </c>
      <c r="AJ98" s="30">
        <f>tbl_główna_GRACZE[[#This Row],[reb total]]*(40/tbl_główna_GRACZE[[#This Row],[min]])</f>
        <v>4.7058823529411766</v>
      </c>
      <c r="AK98" s="30">
        <f>tbl_główna_GRACZE[[#This Row],[asst]]*(40/tbl_główna_GRACZE[[#This Row],[min]])</f>
        <v>0</v>
      </c>
      <c r="AL98" s="5">
        <f t="shared" si="107"/>
        <v>1.3333333333333333</v>
      </c>
      <c r="AM98" s="5">
        <f>(tbl_główna_GRACZE[[#This Row],[stl]]+tbl_główna_GRACZE[[#This Row],[blk]])*(40/tbl_główna_GRACZE[[#This Row],[min]])</f>
        <v>2.3529411764705883</v>
      </c>
      <c r="AN9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98" s="25">
        <f>tbl_główna_GRACZE[[#This Row],[stl]]+tbl_główna_GRACZE[[#This Row],[blk]]+(tbl_główna_GRACZE[[#This Row],[dreb]]*0.5)</f>
        <v>2</v>
      </c>
      <c r="AP98" s="29">
        <f>(tbl_główna_GRACZE[[#This Row],[stl]]+tbl_główna_GRACZE[[#This Row],[blk]]+0.5*tbl_główna_GRACZE[[#This Row],[dreb]])/tbl_główna_GRACZE[[#This Row],[min]]</f>
        <v>0.11764705882352941</v>
      </c>
      <c r="AQ98" s="6">
        <f t="shared" si="108"/>
        <v>3.9000000000000008</v>
      </c>
      <c r="AR98" s="6">
        <f>tbl_główna_GRACZE[[#This Row],[GmSc]]*(40/tbl_główna_GRACZE[[#This Row],[min]])</f>
        <v>9.176470588235297</v>
      </c>
      <c r="AS98" s="6">
        <f>tbl_główna_GRACZE[[#This Row],[EVAL]]*(40/tbl_główna_GRACZE[[#This Row],[min]])</f>
        <v>11.764705882352942</v>
      </c>
      <c r="AT98" s="11">
        <f>tbl_główna_GRACZE[[#This Row],[fgm]]-tbl_główna_GRACZE[[#This Row],[3pm]]</f>
        <v>1</v>
      </c>
      <c r="AU98" s="11">
        <f>tbl_główna_GRACZE[[#This Row],[fga]]-tbl_główna_GRACZE[[#This Row],[3pa]]</f>
        <v>2</v>
      </c>
      <c r="AV98">
        <f>IF(tbl_główna_GRACZE[[#This Row],[min]]&gt;0,1,0)</f>
        <v>1</v>
      </c>
      <c r="AW98" s="58" t="str">
        <f>tbl_główna_GRACZE[[#This Row],[I. Nazwisko]]</f>
        <v>M. Bartosiewicz</v>
      </c>
    </row>
    <row r="99" spans="1:49" x14ac:dyDescent="0.35">
      <c r="A99" t="s">
        <v>48</v>
      </c>
      <c r="B99" t="s">
        <v>52</v>
      </c>
      <c r="C99" t="s">
        <v>57</v>
      </c>
      <c r="D99" t="str">
        <f>IF(C99="H",VLOOKUP($A99,tab_nazwy_zespołów[],2,0)&amp;VLOOKUP($B99,tab_nazwy_zespołów[],2,0),VLOOKUP($B99,tab_nazwy_zespołów[],2,0)&amp;VLOOKUP($A99,tab_nazwy_zespołów[],2,0))</f>
        <v>ŁODWIL</v>
      </c>
      <c r="E99">
        <v>2</v>
      </c>
      <c r="F99">
        <f>COUNTIF(tbl_zawodnicy_sumy[I. Nazwisko],tbl_główna_GRACZE[[#This Row],[I. Nazwisko]])</f>
        <v>1</v>
      </c>
      <c r="G99" s="58" t="str">
        <f>RIGHT(tbl_główna_GRACZE[[#This Row],[Kolumna1]],LEN(tbl_główna_GRACZE[[#This Row],[Kolumna1]])-FIND(" ",tbl_główna_GRACZE[[#This Row],[Kolumna1]]))</f>
        <v>M. Łukasiuk</v>
      </c>
      <c r="H99" s="2" t="s">
        <v>82</v>
      </c>
      <c r="I99" s="10">
        <v>1</v>
      </c>
      <c r="J99" s="10">
        <v>7</v>
      </c>
      <c r="K99" s="10">
        <v>1</v>
      </c>
      <c r="L99" s="10">
        <v>2</v>
      </c>
      <c r="M99" s="10">
        <v>0</v>
      </c>
      <c r="N99" s="10">
        <v>0</v>
      </c>
      <c r="O99" s="10">
        <v>1</v>
      </c>
      <c r="P99" s="10">
        <v>3</v>
      </c>
      <c r="Q99" s="10">
        <v>1</v>
      </c>
      <c r="R99" s="10">
        <v>0</v>
      </c>
      <c r="S99" s="10">
        <v>0</v>
      </c>
      <c r="T99" s="10">
        <v>0</v>
      </c>
      <c r="U99" s="10">
        <v>1</v>
      </c>
      <c r="V99" s="10">
        <v>23</v>
      </c>
      <c r="W99" s="10">
        <v>3</v>
      </c>
      <c r="X99" s="57">
        <f t="shared" si="98"/>
        <v>4</v>
      </c>
      <c r="Y99" s="4">
        <f t="shared" si="99"/>
        <v>0.14285714285714285</v>
      </c>
      <c r="Z99" s="4">
        <f t="shared" si="100"/>
        <v>0.5</v>
      </c>
      <c r="AA99" s="4">
        <f t="shared" si="101"/>
        <v>0</v>
      </c>
      <c r="AB99" s="4">
        <f>IFERROR(tbl_główna_GRACZE[[#This Row],[2pm]]/tbl_główna_GRACZE[[#This Row],[2pa]],0)</f>
        <v>0</v>
      </c>
      <c r="AC99" s="4">
        <f t="shared" si="102"/>
        <v>0.21428571428571427</v>
      </c>
      <c r="AD99" s="4">
        <f t="shared" si="103"/>
        <v>0.21428571428571427</v>
      </c>
      <c r="AE99" s="11">
        <f t="shared" si="104"/>
        <v>2</v>
      </c>
      <c r="AF99" s="4">
        <f t="shared" si="105"/>
        <v>0</v>
      </c>
      <c r="AG99" s="4">
        <f t="shared" si="106"/>
        <v>0.2857142857142857</v>
      </c>
      <c r="AH9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0.11047979797979798</v>
      </c>
      <c r="AI99" s="25">
        <f>tbl_główna_GRACZE[[#This Row],[pts]]*(40/tbl_główna_GRACZE[[#This Row],[min]])</f>
        <v>5.2173913043478262</v>
      </c>
      <c r="AJ99" s="30">
        <f>tbl_główna_GRACZE[[#This Row],[reb total]]*(40/tbl_główna_GRACZE[[#This Row],[min]])</f>
        <v>6.9565217391304346</v>
      </c>
      <c r="AK99" s="30">
        <f>tbl_główna_GRACZE[[#This Row],[asst]]*(40/tbl_główna_GRACZE[[#This Row],[min]])</f>
        <v>1.7391304347826086</v>
      </c>
      <c r="AL99" s="5">
        <f t="shared" si="107"/>
        <v>0.42857142857142855</v>
      </c>
      <c r="AM99" s="5">
        <f>(tbl_główna_GRACZE[[#This Row],[stl]]+tbl_główna_GRACZE[[#This Row],[blk]])*(40/tbl_główna_GRACZE[[#This Row],[min]])</f>
        <v>0</v>
      </c>
      <c r="AN9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9" s="25">
        <f>tbl_główna_GRACZE[[#This Row],[stl]]+tbl_główna_GRACZE[[#This Row],[blk]]+(tbl_główna_GRACZE[[#This Row],[dreb]]*0.5)</f>
        <v>1.5</v>
      </c>
      <c r="AP99" s="29">
        <f>(tbl_główna_GRACZE[[#This Row],[stl]]+tbl_główna_GRACZE[[#This Row],[blk]]+0.5*tbl_główna_GRACZE[[#This Row],[dreb]])/tbl_główna_GRACZE[[#This Row],[min]]</f>
        <v>6.5217391304347824E-2</v>
      </c>
      <c r="AQ99" s="6">
        <f t="shared" si="108"/>
        <v>0.80000000000000027</v>
      </c>
      <c r="AR99" s="6">
        <f>tbl_główna_GRACZE[[#This Row],[GmSc]]*(40/tbl_główna_GRACZE[[#This Row],[min]])</f>
        <v>1.3913043478260874</v>
      </c>
      <c r="AS99" s="6">
        <f>tbl_główna_GRACZE[[#This Row],[EVAL]]*(40/tbl_główna_GRACZE[[#This Row],[min]])</f>
        <v>3.4782608695652173</v>
      </c>
      <c r="AT99" s="11">
        <f>tbl_główna_GRACZE[[#This Row],[fgm]]-tbl_główna_GRACZE[[#This Row],[3pm]]</f>
        <v>0</v>
      </c>
      <c r="AU99" s="11">
        <f>tbl_główna_GRACZE[[#This Row],[fga]]-tbl_główna_GRACZE[[#This Row],[3pa]]</f>
        <v>5</v>
      </c>
      <c r="AV99">
        <f>IF(tbl_główna_GRACZE[[#This Row],[min]]&gt;0,1,0)</f>
        <v>1</v>
      </c>
      <c r="AW99" s="58" t="str">
        <f>tbl_główna_GRACZE[[#This Row],[I. Nazwisko]]</f>
        <v>M. Łukasiuk</v>
      </c>
    </row>
    <row r="100" spans="1:49" x14ac:dyDescent="0.35">
      <c r="A100" t="s">
        <v>48</v>
      </c>
      <c r="B100" t="s">
        <v>52</v>
      </c>
      <c r="C100" t="s">
        <v>57</v>
      </c>
      <c r="D100" t="str">
        <f>IF(C100="H",VLOOKUP($A100,tab_nazwy_zespołów[],2,0)&amp;VLOOKUP($B100,tab_nazwy_zespołów[],2,0),VLOOKUP($B100,tab_nazwy_zespołów[],2,0)&amp;VLOOKUP($A100,tab_nazwy_zespołów[],2,0))</f>
        <v>ŁODWIL</v>
      </c>
      <c r="E100">
        <v>2</v>
      </c>
      <c r="F100">
        <f>COUNTIF(tbl_zawodnicy_sumy[I. Nazwisko],tbl_główna_GRACZE[[#This Row],[I. Nazwisko]])</f>
        <v>1</v>
      </c>
      <c r="G100" s="58" t="str">
        <f>RIGHT(tbl_główna_GRACZE[[#This Row],[Kolumna1]],LEN(tbl_główna_GRACZE[[#This Row],[Kolumna1]])-FIND(" ",tbl_główna_GRACZE[[#This Row],[Kolumna1]]))</f>
        <v>K. Bereda</v>
      </c>
      <c r="H100" s="2" t="s">
        <v>81</v>
      </c>
      <c r="I100" s="10">
        <v>1</v>
      </c>
      <c r="J100" s="10">
        <v>4</v>
      </c>
      <c r="K100" s="10">
        <v>1</v>
      </c>
      <c r="L100" s="10">
        <v>2</v>
      </c>
      <c r="M100" s="10">
        <v>0</v>
      </c>
      <c r="N100" s="10">
        <v>0</v>
      </c>
      <c r="O100" s="10">
        <v>0</v>
      </c>
      <c r="P100" s="10">
        <v>2</v>
      </c>
      <c r="Q100" s="10">
        <v>0</v>
      </c>
      <c r="R100" s="10">
        <v>1</v>
      </c>
      <c r="S100" s="10">
        <v>0</v>
      </c>
      <c r="T100" s="10">
        <v>0</v>
      </c>
      <c r="U100" s="10">
        <v>1</v>
      </c>
      <c r="V100" s="10">
        <v>11</v>
      </c>
      <c r="W100" s="10">
        <v>3</v>
      </c>
      <c r="X100" s="57">
        <f t="shared" si="98"/>
        <v>2</v>
      </c>
      <c r="Y100" s="4">
        <f t="shared" si="99"/>
        <v>0.25</v>
      </c>
      <c r="Z100" s="4">
        <f t="shared" si="100"/>
        <v>0.5</v>
      </c>
      <c r="AA100" s="4">
        <f t="shared" si="101"/>
        <v>0</v>
      </c>
      <c r="AB100" s="4">
        <f>IFERROR(tbl_główna_GRACZE[[#This Row],[2pm]]/tbl_główna_GRACZE[[#This Row],[2pa]],0)</f>
        <v>0</v>
      </c>
      <c r="AC100" s="4">
        <f t="shared" si="102"/>
        <v>0.375</v>
      </c>
      <c r="AD100" s="4">
        <f t="shared" si="103"/>
        <v>0.375</v>
      </c>
      <c r="AE100" s="11">
        <f t="shared" si="104"/>
        <v>4</v>
      </c>
      <c r="AF100" s="4">
        <f t="shared" si="105"/>
        <v>0</v>
      </c>
      <c r="AG100" s="4">
        <f t="shared" si="106"/>
        <v>0.5</v>
      </c>
      <c r="AH10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6.3131313131313135E-2</v>
      </c>
      <c r="AI100" s="25">
        <f>tbl_główna_GRACZE[[#This Row],[pts]]*(40/tbl_główna_GRACZE[[#This Row],[min]])</f>
        <v>10.909090909090908</v>
      </c>
      <c r="AJ100" s="30">
        <f>tbl_główna_GRACZE[[#This Row],[reb total]]*(40/tbl_główna_GRACZE[[#This Row],[min]])</f>
        <v>7.2727272727272725</v>
      </c>
      <c r="AK100" s="30">
        <f>tbl_główna_GRACZE[[#This Row],[asst]]*(40/tbl_główna_GRACZE[[#This Row],[min]])</f>
        <v>3.6363636363636362</v>
      </c>
      <c r="AL100" s="5">
        <f t="shared" si="107"/>
        <v>0.75</v>
      </c>
      <c r="AM100" s="5">
        <f>(tbl_główna_GRACZE[[#This Row],[stl]]+tbl_główna_GRACZE[[#This Row],[blk]])*(40/tbl_główna_GRACZE[[#This Row],[min]])</f>
        <v>3.6363636363636362</v>
      </c>
      <c r="AN10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100" s="25">
        <f>tbl_główna_GRACZE[[#This Row],[stl]]+tbl_główna_GRACZE[[#This Row],[blk]]+(tbl_główna_GRACZE[[#This Row],[dreb]]*0.5)</f>
        <v>2</v>
      </c>
      <c r="AP100" s="29">
        <f>(tbl_główna_GRACZE[[#This Row],[stl]]+tbl_główna_GRACZE[[#This Row],[blk]]+0.5*tbl_główna_GRACZE[[#This Row],[dreb]])/tbl_główna_GRACZE[[#This Row],[min]]</f>
        <v>0.18181818181818182</v>
      </c>
      <c r="AQ100" s="6">
        <f t="shared" si="108"/>
        <v>2.9000000000000004</v>
      </c>
      <c r="AR100" s="6">
        <f>tbl_główna_GRACZE[[#This Row],[GmSc]]*(40/tbl_główna_GRACZE[[#This Row],[min]])</f>
        <v>10.545454545454547</v>
      </c>
      <c r="AS100" s="6">
        <f>tbl_główna_GRACZE[[#This Row],[EVAL]]*(40/tbl_główna_GRACZE[[#This Row],[min]])</f>
        <v>14.545454545454545</v>
      </c>
      <c r="AT100" s="11">
        <f>tbl_główna_GRACZE[[#This Row],[fgm]]-tbl_główna_GRACZE[[#This Row],[3pm]]</f>
        <v>0</v>
      </c>
      <c r="AU100" s="11">
        <f>tbl_główna_GRACZE[[#This Row],[fga]]-tbl_główna_GRACZE[[#This Row],[3pa]]</f>
        <v>2</v>
      </c>
      <c r="AV100">
        <f>IF(tbl_główna_GRACZE[[#This Row],[min]]&gt;0,1,0)</f>
        <v>1</v>
      </c>
      <c r="AW100" s="58" t="str">
        <f>tbl_główna_GRACZE[[#This Row],[I. Nazwisko]]</f>
        <v>K. Bereda</v>
      </c>
    </row>
    <row r="101" spans="1:49" x14ac:dyDescent="0.35">
      <c r="A101" t="s">
        <v>48</v>
      </c>
      <c r="B101" t="s">
        <v>52</v>
      </c>
      <c r="C101" t="s">
        <v>57</v>
      </c>
      <c r="D101" t="str">
        <f>IF(C101="H",VLOOKUP($A101,tab_nazwy_zespołów[],2,0)&amp;VLOOKUP($B101,tab_nazwy_zespołów[],2,0),VLOOKUP($B101,tab_nazwy_zespołów[],2,0)&amp;VLOOKUP($A101,tab_nazwy_zespołów[],2,0))</f>
        <v>ŁODWIL</v>
      </c>
      <c r="E101">
        <v>2</v>
      </c>
      <c r="F101">
        <f>COUNTIF(tbl_zawodnicy_sumy[I. Nazwisko],tbl_główna_GRACZE[[#This Row],[I. Nazwisko]])</f>
        <v>1</v>
      </c>
      <c r="G101" s="58" t="str">
        <f>RIGHT(tbl_główna_GRACZE[[#This Row],[Kolumna1]],LEN(tbl_główna_GRACZE[[#This Row],[Kolumna1]])-FIND(" ",tbl_główna_GRACZE[[#This Row],[Kolumna1]]))</f>
        <v>P. Gawryś</v>
      </c>
      <c r="H101" s="2" t="s">
        <v>349</v>
      </c>
      <c r="I101" s="10">
        <v>1</v>
      </c>
      <c r="J101" s="10">
        <v>7</v>
      </c>
      <c r="K101" s="10">
        <v>0</v>
      </c>
      <c r="L101" s="10">
        <v>2</v>
      </c>
      <c r="M101" s="10">
        <v>0</v>
      </c>
      <c r="N101" s="10">
        <v>0</v>
      </c>
      <c r="O101" s="10">
        <v>1</v>
      </c>
      <c r="P101" s="10">
        <v>1</v>
      </c>
      <c r="Q101" s="10">
        <v>0</v>
      </c>
      <c r="R101" s="10">
        <v>3</v>
      </c>
      <c r="S101" s="10">
        <v>0</v>
      </c>
      <c r="T101" s="10">
        <v>0</v>
      </c>
      <c r="U101" s="10">
        <v>0</v>
      </c>
      <c r="V101" s="10">
        <v>14</v>
      </c>
      <c r="W101" s="10">
        <v>2</v>
      </c>
      <c r="X101" s="57">
        <f t="shared" si="98"/>
        <v>2</v>
      </c>
      <c r="Y101" s="4">
        <f t="shared" si="99"/>
        <v>0.14285714285714285</v>
      </c>
      <c r="Z101" s="4">
        <f t="shared" si="100"/>
        <v>0</v>
      </c>
      <c r="AA101" s="4">
        <f t="shared" si="101"/>
        <v>0</v>
      </c>
      <c r="AB101" s="4">
        <f>IFERROR(tbl_główna_GRACZE[[#This Row],[2pm]]/tbl_główna_GRACZE[[#This Row],[2pa]],0)</f>
        <v>0.2</v>
      </c>
      <c r="AC101" s="4">
        <f t="shared" si="102"/>
        <v>0.14285714285714285</v>
      </c>
      <c r="AD101" s="4">
        <f t="shared" si="103"/>
        <v>0.14285714285714285</v>
      </c>
      <c r="AE101" s="11">
        <f t="shared" si="104"/>
        <v>1</v>
      </c>
      <c r="AF101" s="4">
        <f t="shared" si="105"/>
        <v>0</v>
      </c>
      <c r="AG101" s="4">
        <f t="shared" si="106"/>
        <v>0.2857142857142857</v>
      </c>
      <c r="AH10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0.11047979797979798</v>
      </c>
      <c r="AI101" s="25">
        <f>tbl_główna_GRACZE[[#This Row],[pts]]*(40/tbl_główna_GRACZE[[#This Row],[min]])</f>
        <v>5.7142857142857144</v>
      </c>
      <c r="AJ101" s="30">
        <f>tbl_główna_GRACZE[[#This Row],[reb total]]*(40/tbl_główna_GRACZE[[#This Row],[min]])</f>
        <v>5.7142857142857144</v>
      </c>
      <c r="AK101" s="30">
        <f>tbl_główna_GRACZE[[#This Row],[asst]]*(40/tbl_główna_GRACZE[[#This Row],[min]])</f>
        <v>0</v>
      </c>
      <c r="AL101" s="5">
        <f t="shared" si="107"/>
        <v>0.2857142857142857</v>
      </c>
      <c r="AM101" s="5">
        <f>(tbl_główna_GRACZE[[#This Row],[stl]]+tbl_główna_GRACZE[[#This Row],[blk]])*(40/tbl_główna_GRACZE[[#This Row],[min]])</f>
        <v>8.5714285714285712</v>
      </c>
      <c r="AN10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1" s="25">
        <f>tbl_główna_GRACZE[[#This Row],[stl]]+tbl_główna_GRACZE[[#This Row],[blk]]+(tbl_główna_GRACZE[[#This Row],[dreb]]*0.5)</f>
        <v>3.5</v>
      </c>
      <c r="AP101" s="29">
        <f>(tbl_główna_GRACZE[[#This Row],[stl]]+tbl_główna_GRACZE[[#This Row],[blk]]+0.5*tbl_główna_GRACZE[[#This Row],[dreb]])/tbl_główna_GRACZE[[#This Row],[min]]</f>
        <v>0.25</v>
      </c>
      <c r="AQ101" s="6">
        <f t="shared" si="108"/>
        <v>1.5000000000000004</v>
      </c>
      <c r="AR101" s="6">
        <f>tbl_główna_GRACZE[[#This Row],[GmSc]]*(40/tbl_główna_GRACZE[[#This Row],[min]])</f>
        <v>4.2857142857142874</v>
      </c>
      <c r="AS101" s="6">
        <f>tbl_główna_GRACZE[[#This Row],[EVAL]]*(40/tbl_główna_GRACZE[[#This Row],[min]])</f>
        <v>2.8571428571428572</v>
      </c>
      <c r="AT101" s="11">
        <f>tbl_główna_GRACZE[[#This Row],[fgm]]-tbl_główna_GRACZE[[#This Row],[3pm]]</f>
        <v>1</v>
      </c>
      <c r="AU101" s="11">
        <f>tbl_główna_GRACZE[[#This Row],[fga]]-tbl_główna_GRACZE[[#This Row],[3pa]]</f>
        <v>5</v>
      </c>
      <c r="AV101">
        <f>IF(tbl_główna_GRACZE[[#This Row],[min]]&gt;0,1,0)</f>
        <v>1</v>
      </c>
      <c r="AW101" s="58" t="str">
        <f>tbl_główna_GRACZE[[#This Row],[I. Nazwisko]]</f>
        <v>P. Gawryś</v>
      </c>
    </row>
    <row r="102" spans="1:49" x14ac:dyDescent="0.35">
      <c r="A102" t="s">
        <v>48</v>
      </c>
      <c r="B102" t="s">
        <v>52</v>
      </c>
      <c r="C102" t="s">
        <v>57</v>
      </c>
      <c r="D102" t="str">
        <f>IF(C102="H",VLOOKUP($A102,tab_nazwy_zespołów[],2,0)&amp;VLOOKUP($B102,tab_nazwy_zespołów[],2,0),VLOOKUP($B102,tab_nazwy_zespołów[],2,0)&amp;VLOOKUP($A102,tab_nazwy_zespołów[],2,0))</f>
        <v>ŁODWIL</v>
      </c>
      <c r="E102">
        <v>2</v>
      </c>
      <c r="F102">
        <f>COUNTIF(tbl_zawodnicy_sumy[I. Nazwisko],tbl_główna_GRACZE[[#This Row],[I. Nazwisko]])</f>
        <v>1</v>
      </c>
      <c r="G102" s="58" t="str">
        <f>RIGHT(tbl_główna_GRACZE[[#This Row],[Kolumna1]],LEN(tbl_główna_GRACZE[[#This Row],[Kolumna1]])-FIND(" ",tbl_główna_GRACZE[[#This Row],[Kolumna1]]))</f>
        <v>T. Prażmowski</v>
      </c>
      <c r="H102" s="2" t="s">
        <v>79</v>
      </c>
      <c r="I102" s="10">
        <v>0</v>
      </c>
      <c r="J102" s="10">
        <v>4</v>
      </c>
      <c r="K102" s="10">
        <v>0</v>
      </c>
      <c r="L102" s="10">
        <v>1</v>
      </c>
      <c r="M102" s="10">
        <v>1</v>
      </c>
      <c r="N102" s="10">
        <v>4</v>
      </c>
      <c r="O102" s="10">
        <v>0</v>
      </c>
      <c r="P102" s="10">
        <v>4</v>
      </c>
      <c r="Q102" s="10">
        <v>0</v>
      </c>
      <c r="R102" s="10">
        <v>3</v>
      </c>
      <c r="S102" s="10">
        <v>0</v>
      </c>
      <c r="T102" s="10">
        <v>0</v>
      </c>
      <c r="U102" s="10">
        <v>3</v>
      </c>
      <c r="V102" s="10">
        <v>22</v>
      </c>
      <c r="W102" s="10">
        <v>1</v>
      </c>
      <c r="X102" s="57">
        <f t="shared" si="98"/>
        <v>4</v>
      </c>
      <c r="Y102" s="4">
        <f t="shared" si="99"/>
        <v>0</v>
      </c>
      <c r="Z102" s="4">
        <f t="shared" si="100"/>
        <v>0</v>
      </c>
      <c r="AA102" s="4">
        <f t="shared" si="101"/>
        <v>0.25</v>
      </c>
      <c r="AB102" s="4">
        <f>IFERROR(tbl_główna_GRACZE[[#This Row],[2pm]]/tbl_główna_GRACZE[[#This Row],[2pa]],0)</f>
        <v>0</v>
      </c>
      <c r="AC102" s="4">
        <f t="shared" si="102"/>
        <v>8.6805555555555552E-2</v>
      </c>
      <c r="AD102" s="4">
        <f t="shared" si="103"/>
        <v>0</v>
      </c>
      <c r="AE102" s="11">
        <f t="shared" si="104"/>
        <v>4</v>
      </c>
      <c r="AF102" s="4">
        <f t="shared" si="105"/>
        <v>1</v>
      </c>
      <c r="AG102" s="4">
        <f t="shared" si="106"/>
        <v>0.25</v>
      </c>
      <c r="AH10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9.0909090909090912E-2</v>
      </c>
      <c r="AI102" s="25">
        <f>tbl_główna_GRACZE[[#This Row],[pts]]*(40/tbl_główna_GRACZE[[#This Row],[min]])</f>
        <v>1.8181818181818181</v>
      </c>
      <c r="AJ102" s="30">
        <f>tbl_główna_GRACZE[[#This Row],[reb total]]*(40/tbl_główna_GRACZE[[#This Row],[min]])</f>
        <v>7.2727272727272725</v>
      </c>
      <c r="AK102" s="30">
        <f>tbl_główna_GRACZE[[#This Row],[asst]]*(40/tbl_główna_GRACZE[[#This Row],[min]])</f>
        <v>5.4545454545454541</v>
      </c>
      <c r="AL102" s="5">
        <f t="shared" si="107"/>
        <v>0.25</v>
      </c>
      <c r="AM102" s="5">
        <f>(tbl_główna_GRACZE[[#This Row],[stl]]+tbl_główna_GRACZE[[#This Row],[blk]])*(40/tbl_główna_GRACZE[[#This Row],[min]])</f>
        <v>5.4545454545454541</v>
      </c>
      <c r="AN10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2" s="25">
        <f>tbl_główna_GRACZE[[#This Row],[stl]]+tbl_główna_GRACZE[[#This Row],[blk]]+(tbl_główna_GRACZE[[#This Row],[dreb]]*0.5)</f>
        <v>5</v>
      </c>
      <c r="AP102" s="29">
        <f>(tbl_główna_GRACZE[[#This Row],[stl]]+tbl_główna_GRACZE[[#This Row],[blk]]+0.5*tbl_główna_GRACZE[[#This Row],[dreb]])/tbl_główna_GRACZE[[#This Row],[min]]</f>
        <v>0.22727272727272727</v>
      </c>
      <c r="AQ102" s="6">
        <f t="shared" si="108"/>
        <v>3.3</v>
      </c>
      <c r="AR102" s="6">
        <f>tbl_główna_GRACZE[[#This Row],[GmSc]]*(40/tbl_główna_GRACZE[[#This Row],[min]])</f>
        <v>5.9999999999999991</v>
      </c>
      <c r="AS102" s="6">
        <f>tbl_główna_GRACZE[[#This Row],[EVAL]]*(40/tbl_główna_GRACZE[[#This Row],[min]])</f>
        <v>7.2727272727272725</v>
      </c>
      <c r="AT102" s="11">
        <f>tbl_główna_GRACZE[[#This Row],[fgm]]-tbl_główna_GRACZE[[#This Row],[3pm]]</f>
        <v>0</v>
      </c>
      <c r="AU102" s="11">
        <f>tbl_główna_GRACZE[[#This Row],[fga]]-tbl_główna_GRACZE[[#This Row],[3pa]]</f>
        <v>3</v>
      </c>
      <c r="AV102">
        <f>IF(tbl_główna_GRACZE[[#This Row],[min]]&gt;0,1,0)</f>
        <v>1</v>
      </c>
      <c r="AW102" s="58" t="str">
        <f>tbl_główna_GRACZE[[#This Row],[I. Nazwisko]]</f>
        <v>T. Prażmowski</v>
      </c>
    </row>
    <row r="103" spans="1:49" x14ac:dyDescent="0.35">
      <c r="A103" t="s">
        <v>48</v>
      </c>
      <c r="B103" t="s">
        <v>52</v>
      </c>
      <c r="C103" t="s">
        <v>57</v>
      </c>
      <c r="D103" t="str">
        <f>IF(C103="H",VLOOKUP($A103,tab_nazwy_zespołów[],2,0)&amp;VLOOKUP($B103,tab_nazwy_zespołów[],2,0),VLOOKUP($B103,tab_nazwy_zespołów[],2,0)&amp;VLOOKUP($A103,tab_nazwy_zespołów[],2,0))</f>
        <v>ŁODWIL</v>
      </c>
      <c r="E103">
        <v>2</v>
      </c>
      <c r="F103">
        <f>COUNTIF(tbl_zawodnicy_sumy[I. Nazwisko],tbl_główna_GRACZE[[#This Row],[I. Nazwisko]])</f>
        <v>1</v>
      </c>
      <c r="G103" s="58" t="str">
        <f>RIGHT(tbl_główna_GRACZE[[#This Row],[Kolumna1]],LEN(tbl_główna_GRACZE[[#This Row],[Kolumna1]])-FIND(" ",tbl_główna_GRACZE[[#This Row],[Kolumna1]]))</f>
        <v>F. Gąsiorowski</v>
      </c>
      <c r="H103" s="2" t="s">
        <v>78</v>
      </c>
      <c r="I103" s="10">
        <v>0</v>
      </c>
      <c r="J103" s="10">
        <v>5</v>
      </c>
      <c r="K103" s="10">
        <v>0</v>
      </c>
      <c r="L103" s="10">
        <v>4</v>
      </c>
      <c r="M103" s="10">
        <v>0</v>
      </c>
      <c r="N103" s="10">
        <v>0</v>
      </c>
      <c r="O103" s="10">
        <v>0</v>
      </c>
      <c r="P103" s="10">
        <v>2</v>
      </c>
      <c r="Q103" s="10">
        <v>1</v>
      </c>
      <c r="R103" s="10">
        <v>1</v>
      </c>
      <c r="S103" s="10">
        <v>0</v>
      </c>
      <c r="T103" s="10">
        <v>1</v>
      </c>
      <c r="U103" s="10">
        <v>2</v>
      </c>
      <c r="V103" s="10">
        <v>24</v>
      </c>
      <c r="W103" s="10">
        <v>0</v>
      </c>
      <c r="X103" s="57">
        <f t="shared" si="98"/>
        <v>2</v>
      </c>
      <c r="Y103" s="4">
        <f t="shared" si="99"/>
        <v>0</v>
      </c>
      <c r="Z103" s="4">
        <f t="shared" si="100"/>
        <v>0</v>
      </c>
      <c r="AA103" s="4">
        <f t="shared" si="101"/>
        <v>0</v>
      </c>
      <c r="AB103" s="4">
        <f>IFERROR(tbl_główna_GRACZE[[#This Row],[2pm]]/tbl_główna_GRACZE[[#This Row],[2pa]],0)</f>
        <v>0</v>
      </c>
      <c r="AC103" s="4">
        <f t="shared" si="102"/>
        <v>0</v>
      </c>
      <c r="AD103" s="4">
        <f t="shared" si="103"/>
        <v>0</v>
      </c>
      <c r="AE103" s="11">
        <f t="shared" si="104"/>
        <v>1</v>
      </c>
      <c r="AF103" s="4">
        <f t="shared" si="105"/>
        <v>0</v>
      </c>
      <c r="AG103" s="4">
        <f t="shared" si="106"/>
        <v>0.8</v>
      </c>
      <c r="AH10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7.8914141414141409E-2</v>
      </c>
      <c r="AI103" s="25">
        <f>tbl_główna_GRACZE[[#This Row],[pts]]*(40/tbl_główna_GRACZE[[#This Row],[min]])</f>
        <v>0</v>
      </c>
      <c r="AJ103" s="30">
        <f>tbl_główna_GRACZE[[#This Row],[reb total]]*(40/tbl_główna_GRACZE[[#This Row],[min]])</f>
        <v>3.3333333333333335</v>
      </c>
      <c r="AK103" s="30">
        <f>tbl_główna_GRACZE[[#This Row],[asst]]*(40/tbl_główna_GRACZE[[#This Row],[min]])</f>
        <v>3.3333333333333335</v>
      </c>
      <c r="AL103" s="5">
        <f t="shared" si="107"/>
        <v>0</v>
      </c>
      <c r="AM103" s="5">
        <f>(tbl_główna_GRACZE[[#This Row],[stl]]+tbl_główna_GRACZE[[#This Row],[blk]])*(40/tbl_główna_GRACZE[[#This Row],[min]])</f>
        <v>3.3333333333333335</v>
      </c>
      <c r="AN10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103" s="25">
        <f>tbl_główna_GRACZE[[#This Row],[stl]]+tbl_główna_GRACZE[[#This Row],[blk]]+(tbl_główna_GRACZE[[#This Row],[dreb]]*0.5)</f>
        <v>3</v>
      </c>
      <c r="AP103" s="29">
        <f>(tbl_główna_GRACZE[[#This Row],[stl]]+tbl_główna_GRACZE[[#This Row],[blk]]+0.5*tbl_główna_GRACZE[[#This Row],[dreb]])/tbl_główna_GRACZE[[#This Row],[min]]</f>
        <v>0.125</v>
      </c>
      <c r="AQ103" s="6">
        <f t="shared" si="108"/>
        <v>0.19999999999999996</v>
      </c>
      <c r="AR103" s="6">
        <f>tbl_główna_GRACZE[[#This Row],[GmSc]]*(40/tbl_główna_GRACZE[[#This Row],[min]])</f>
        <v>0.33333333333333326</v>
      </c>
      <c r="AS103" s="6">
        <f>tbl_główna_GRACZE[[#This Row],[EVAL]]*(40/tbl_główna_GRACZE[[#This Row],[min]])</f>
        <v>1.6666666666666667</v>
      </c>
      <c r="AT103" s="11">
        <f>tbl_główna_GRACZE[[#This Row],[fgm]]-tbl_główna_GRACZE[[#This Row],[3pm]]</f>
        <v>0</v>
      </c>
      <c r="AU103" s="11">
        <f>tbl_główna_GRACZE[[#This Row],[fga]]-tbl_główna_GRACZE[[#This Row],[3pa]]</f>
        <v>1</v>
      </c>
      <c r="AV103">
        <f>IF(tbl_główna_GRACZE[[#This Row],[min]]&gt;0,1,0)</f>
        <v>1</v>
      </c>
      <c r="AW103" s="58" t="str">
        <f>tbl_główna_GRACZE[[#This Row],[I. Nazwisko]]</f>
        <v>F. Gąsiorowski</v>
      </c>
    </row>
    <row r="104" spans="1:49" x14ac:dyDescent="0.35">
      <c r="A104" t="s">
        <v>46</v>
      </c>
      <c r="B104" t="s">
        <v>52</v>
      </c>
      <c r="C104" t="s">
        <v>57</v>
      </c>
      <c r="D104" t="str">
        <f>IF(C104="H",VLOOKUP($A104,tab_nazwy_zespołów[],2,0)&amp;VLOOKUP($B104,tab_nazwy_zespołów[],2,0),VLOOKUP($B104,tab_nazwy_zespołów[],2,0)&amp;VLOOKUP($A104,tab_nazwy_zespołów[],2,0))</f>
        <v>BYPWIL</v>
      </c>
      <c r="E104">
        <v>3</v>
      </c>
      <c r="F104">
        <f>COUNTIF(tbl_zawodnicy_sumy[I. Nazwisko],tbl_główna_GRACZE[[#This Row],[I. Nazwisko]])</f>
        <v>1</v>
      </c>
      <c r="G104" s="58" t="str">
        <f>RIGHT(tbl_główna_GRACZE[[#This Row],[Kolumna1]],LEN(tbl_główna_GRACZE[[#This Row],[Kolumna1]])-FIND(" ",tbl_główna_GRACZE[[#This Row],[Kolumna1]]))</f>
        <v>Ł. Sulejewski</v>
      </c>
      <c r="H104" s="2" t="s">
        <v>69</v>
      </c>
      <c r="I104" s="10">
        <v>5</v>
      </c>
      <c r="J104" s="10">
        <v>15</v>
      </c>
      <c r="K104" s="10">
        <v>2</v>
      </c>
      <c r="L104" s="10">
        <v>7</v>
      </c>
      <c r="M104" s="10">
        <v>2</v>
      </c>
      <c r="N104" s="10">
        <v>2</v>
      </c>
      <c r="O104" s="10">
        <v>1</v>
      </c>
      <c r="P104" s="10">
        <v>2</v>
      </c>
      <c r="Q104" s="10">
        <v>0</v>
      </c>
      <c r="R104" s="10">
        <v>1</v>
      </c>
      <c r="S104" s="10">
        <v>0</v>
      </c>
      <c r="T104" s="10">
        <v>0</v>
      </c>
      <c r="U104" s="10">
        <v>0</v>
      </c>
      <c r="V104" s="10">
        <v>30</v>
      </c>
      <c r="W104" s="10">
        <v>14</v>
      </c>
      <c r="X104" s="57">
        <f t="shared" ref="X104:X112" si="109">O104+P104</f>
        <v>3</v>
      </c>
      <c r="Y104" s="4">
        <f t="shared" ref="Y104:Y112" si="110">I104/J104</f>
        <v>0.33333333333333331</v>
      </c>
      <c r="Z104" s="4">
        <f t="shared" ref="Z104:Z112" si="111">IFERROR(K104/L104,0)</f>
        <v>0.2857142857142857</v>
      </c>
      <c r="AA104" s="4">
        <f t="shared" ref="AA104:AA112" si="112">IFERROR(M104/N104,0)</f>
        <v>1</v>
      </c>
      <c r="AB104" s="4">
        <f>IFERROR(tbl_główna_GRACZE[[#This Row],[2pm]]/tbl_główna_GRACZE[[#This Row],[2pa]],0)</f>
        <v>0.375</v>
      </c>
      <c r="AC104" s="4">
        <f t="shared" ref="AC104:AC112" si="113">W104/(2*(J104+0.44*N104))</f>
        <v>0.44080604534005036</v>
      </c>
      <c r="AD104" s="4">
        <f t="shared" ref="AD104:AD112" si="114">(I104+0.5*K104)/J104</f>
        <v>0.4</v>
      </c>
      <c r="AE104" s="11">
        <f t="shared" ref="AE104:AE112" si="115">R104+T104+U104+W104+X104-(J104-I104)-(N104-M104)</f>
        <v>8</v>
      </c>
      <c r="AF104" s="4">
        <f t="shared" ref="AF104:AF112" si="116">N104/J104</f>
        <v>0.13333333333333333</v>
      </c>
      <c r="AG104" s="4">
        <f t="shared" ref="AG104:AG112" si="117">L104/J104</f>
        <v>0.46666666666666667</v>
      </c>
      <c r="AH10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0.27247769389155801</v>
      </c>
      <c r="AI104" s="25">
        <f>tbl_główna_GRACZE[[#This Row],[pts]]*(40/tbl_główna_GRACZE[[#This Row],[min]])</f>
        <v>18.666666666666664</v>
      </c>
      <c r="AJ104" s="30">
        <f>tbl_główna_GRACZE[[#This Row],[reb total]]*(40/tbl_główna_GRACZE[[#This Row],[min]])</f>
        <v>4</v>
      </c>
      <c r="AK104" s="30">
        <f>tbl_główna_GRACZE[[#This Row],[asst]]*(40/tbl_główna_GRACZE[[#This Row],[min]])</f>
        <v>0</v>
      </c>
      <c r="AL104" s="5">
        <f t="shared" ref="AL104:AL112" si="118">W104/J104</f>
        <v>0.93333333333333335</v>
      </c>
      <c r="AM104" s="5">
        <f>(tbl_główna_GRACZE[[#This Row],[stl]]+tbl_główna_GRACZE[[#This Row],[blk]])*(40/tbl_główna_GRACZE[[#This Row],[min]])</f>
        <v>1.3333333333333333</v>
      </c>
      <c r="AN10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5.2631578947368418E-2</v>
      </c>
      <c r="AO104" s="25">
        <f>tbl_główna_GRACZE[[#This Row],[stl]]+tbl_główna_GRACZE[[#This Row],[blk]]+(tbl_główna_GRACZE[[#This Row],[dreb]]*0.5)</f>
        <v>2</v>
      </c>
      <c r="AP104" s="29">
        <f>(tbl_główna_GRACZE[[#This Row],[stl]]+tbl_główna_GRACZE[[#This Row],[blk]]+0.5*tbl_główna_GRACZE[[#This Row],[dreb]])/tbl_główna_GRACZE[[#This Row],[min]]</f>
        <v>6.6666666666666666E-2</v>
      </c>
      <c r="AQ104" s="6">
        <f t="shared" ref="AQ104:AQ112" si="119">W104+0.4*I104-0.7*J104-0.4*(N104-M104)+0.7*O104+0.3*P104+R104+0.7*U104+0.7*T104</f>
        <v>7.8</v>
      </c>
      <c r="AR104" s="6">
        <f>tbl_główna_GRACZE[[#This Row],[GmSc]]*(40/tbl_główna_GRACZE[[#This Row],[min]])</f>
        <v>10.399999999999999</v>
      </c>
      <c r="AS104" s="6">
        <f>tbl_główna_GRACZE[[#This Row],[EVAL]]*(40/tbl_główna_GRACZE[[#This Row],[min]])</f>
        <v>10.666666666666666</v>
      </c>
      <c r="AT104" s="11">
        <f>tbl_główna_GRACZE[[#This Row],[fgm]]-tbl_główna_GRACZE[[#This Row],[3pm]]</f>
        <v>3</v>
      </c>
      <c r="AU104" s="11">
        <f>tbl_główna_GRACZE[[#This Row],[fga]]-tbl_główna_GRACZE[[#This Row],[3pa]]</f>
        <v>8</v>
      </c>
      <c r="AV104">
        <f>IF(tbl_główna_GRACZE[[#This Row],[min]]&gt;0,1,0)</f>
        <v>1</v>
      </c>
      <c r="AW104" s="58" t="str">
        <f>tbl_główna_GRACZE[[#This Row],[I. Nazwisko]]</f>
        <v>Ł. Sulejewski</v>
      </c>
    </row>
    <row r="105" spans="1:49" x14ac:dyDescent="0.35">
      <c r="A105" t="s">
        <v>46</v>
      </c>
      <c r="B105" t="s">
        <v>52</v>
      </c>
      <c r="C105" t="s">
        <v>57</v>
      </c>
      <c r="D105" t="str">
        <f>IF(C105="H",VLOOKUP($A105,tab_nazwy_zespołów[],2,0)&amp;VLOOKUP($B105,tab_nazwy_zespołów[],2,0),VLOOKUP($B105,tab_nazwy_zespołów[],2,0)&amp;VLOOKUP($A105,tab_nazwy_zespołów[],2,0))</f>
        <v>BYPWIL</v>
      </c>
      <c r="E105">
        <v>3</v>
      </c>
      <c r="F105">
        <f>COUNTIF(tbl_zawodnicy_sumy[I. Nazwisko],tbl_główna_GRACZE[[#This Row],[I. Nazwisko]])</f>
        <v>1</v>
      </c>
      <c r="G105" s="58" t="str">
        <f>RIGHT(tbl_główna_GRACZE[[#This Row],[Kolumna1]],LEN(tbl_główna_GRACZE[[#This Row],[Kolumna1]])-FIND(" ",tbl_główna_GRACZE[[#This Row],[Kolumna1]]))</f>
        <v>P. Durka</v>
      </c>
      <c r="H105" s="2" t="s">
        <v>385</v>
      </c>
      <c r="I105" s="10">
        <v>4</v>
      </c>
      <c r="J105" s="10">
        <v>9</v>
      </c>
      <c r="K105" s="10">
        <v>0</v>
      </c>
      <c r="L105" s="10">
        <v>0</v>
      </c>
      <c r="M105" s="10">
        <v>1</v>
      </c>
      <c r="N105" s="10">
        <v>4</v>
      </c>
      <c r="O105" s="10">
        <v>3</v>
      </c>
      <c r="P105" s="10">
        <v>4</v>
      </c>
      <c r="Q105" s="10">
        <v>4</v>
      </c>
      <c r="R105" s="10">
        <v>3</v>
      </c>
      <c r="S105" s="10">
        <v>0</v>
      </c>
      <c r="T105" s="10">
        <v>2</v>
      </c>
      <c r="U105" s="10">
        <v>0</v>
      </c>
      <c r="V105" s="10">
        <v>18</v>
      </c>
      <c r="W105" s="10">
        <v>9</v>
      </c>
      <c r="X105" s="57">
        <f t="shared" si="109"/>
        <v>7</v>
      </c>
      <c r="Y105" s="4">
        <f t="shared" si="110"/>
        <v>0.44444444444444442</v>
      </c>
      <c r="Z105" s="4">
        <f t="shared" si="111"/>
        <v>0</v>
      </c>
      <c r="AA105" s="4">
        <f t="shared" si="112"/>
        <v>0.25</v>
      </c>
      <c r="AB105" s="4">
        <f>IFERROR(tbl_główna_GRACZE[[#This Row],[2pm]]/tbl_główna_GRACZE[[#This Row],[2pa]],0)</f>
        <v>0.44444444444444442</v>
      </c>
      <c r="AC105" s="4">
        <f t="shared" si="113"/>
        <v>0.41821561338289964</v>
      </c>
      <c r="AD105" s="4">
        <f t="shared" si="114"/>
        <v>0.44444444444444442</v>
      </c>
      <c r="AE105" s="11">
        <f t="shared" si="115"/>
        <v>13</v>
      </c>
      <c r="AF105" s="4">
        <f t="shared" si="116"/>
        <v>0.44444444444444442</v>
      </c>
      <c r="AG105" s="4">
        <f t="shared" si="117"/>
        <v>0</v>
      </c>
      <c r="AH10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0.18462594371997254</v>
      </c>
      <c r="AI105" s="25">
        <f>tbl_główna_GRACZE[[#This Row],[pts]]*(40/tbl_główna_GRACZE[[#This Row],[min]])</f>
        <v>20</v>
      </c>
      <c r="AJ105" s="30">
        <f>tbl_główna_GRACZE[[#This Row],[reb total]]*(40/tbl_główna_GRACZE[[#This Row],[min]])</f>
        <v>15.555555555555557</v>
      </c>
      <c r="AK105" s="30">
        <f>tbl_główna_GRACZE[[#This Row],[asst]]*(40/tbl_główna_GRACZE[[#This Row],[min]])</f>
        <v>0</v>
      </c>
      <c r="AL105" s="5">
        <f t="shared" si="118"/>
        <v>1</v>
      </c>
      <c r="AM105" s="5">
        <f>(tbl_główna_GRACZE[[#This Row],[stl]]+tbl_główna_GRACZE[[#This Row],[blk]])*(40/tbl_główna_GRACZE[[#This Row],[min]])</f>
        <v>11.111111111111111</v>
      </c>
      <c r="AN10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0.26315789473684209</v>
      </c>
      <c r="AO105" s="25">
        <f>tbl_główna_GRACZE[[#This Row],[stl]]+tbl_główna_GRACZE[[#This Row],[blk]]+(tbl_główna_GRACZE[[#This Row],[dreb]]*0.5)</f>
        <v>7</v>
      </c>
      <c r="AP105" s="29">
        <f>(tbl_główna_GRACZE[[#This Row],[stl]]+tbl_główna_GRACZE[[#This Row],[blk]]+0.5*tbl_główna_GRACZE[[#This Row],[dreb]])/tbl_główna_GRACZE[[#This Row],[min]]</f>
        <v>0.3888888888888889</v>
      </c>
      <c r="AQ105" s="6">
        <f t="shared" si="119"/>
        <v>10.799999999999999</v>
      </c>
      <c r="AR105" s="6">
        <f>tbl_główna_GRACZE[[#This Row],[GmSc]]*(40/tbl_główna_GRACZE[[#This Row],[min]])</f>
        <v>24</v>
      </c>
      <c r="AS105" s="6">
        <f>tbl_główna_GRACZE[[#This Row],[EVAL]]*(40/tbl_główna_GRACZE[[#This Row],[min]])</f>
        <v>28.888888888888889</v>
      </c>
      <c r="AT105" s="11">
        <f>tbl_główna_GRACZE[[#This Row],[fgm]]-tbl_główna_GRACZE[[#This Row],[3pm]]</f>
        <v>4</v>
      </c>
      <c r="AU105" s="11">
        <f>tbl_główna_GRACZE[[#This Row],[fga]]-tbl_główna_GRACZE[[#This Row],[3pa]]</f>
        <v>9</v>
      </c>
      <c r="AV105">
        <f>IF(tbl_główna_GRACZE[[#This Row],[min]]&gt;0,1,0)</f>
        <v>1</v>
      </c>
      <c r="AW105" s="58" t="str">
        <f>tbl_główna_GRACZE[[#This Row],[I. Nazwisko]]</f>
        <v>P. Durka</v>
      </c>
    </row>
    <row r="106" spans="1:49" x14ac:dyDescent="0.35">
      <c r="A106" t="s">
        <v>46</v>
      </c>
      <c r="B106" t="s">
        <v>52</v>
      </c>
      <c r="C106" t="s">
        <v>57</v>
      </c>
      <c r="D106" t="str">
        <f>IF(C106="H",VLOOKUP($A106,tab_nazwy_zespołów[],2,0)&amp;VLOOKUP($B106,tab_nazwy_zespołów[],2,0),VLOOKUP($B106,tab_nazwy_zespołów[],2,0)&amp;VLOOKUP($A106,tab_nazwy_zespołów[],2,0))</f>
        <v>BYPWIL</v>
      </c>
      <c r="E106">
        <v>3</v>
      </c>
      <c r="F106">
        <f>COUNTIF(tbl_zawodnicy_sumy[I. Nazwisko],tbl_główna_GRACZE[[#This Row],[I. Nazwisko]])</f>
        <v>1</v>
      </c>
      <c r="G106" s="58" t="str">
        <f>RIGHT(tbl_główna_GRACZE[[#This Row],[Kolumna1]],LEN(tbl_główna_GRACZE[[#This Row],[Kolumna1]])-FIND(" ",tbl_główna_GRACZE[[#This Row],[Kolumna1]]))</f>
        <v>J. Kurek</v>
      </c>
      <c r="H106" s="2" t="s">
        <v>71</v>
      </c>
      <c r="I106" s="10">
        <v>2</v>
      </c>
      <c r="J106" s="10">
        <v>4</v>
      </c>
      <c r="K106" s="10">
        <v>1</v>
      </c>
      <c r="L106" s="10">
        <v>1</v>
      </c>
      <c r="M106" s="10">
        <v>2</v>
      </c>
      <c r="N106" s="10">
        <v>2</v>
      </c>
      <c r="O106" s="10">
        <v>0</v>
      </c>
      <c r="P106" s="10">
        <v>4</v>
      </c>
      <c r="Q106" s="10">
        <v>1</v>
      </c>
      <c r="R106" s="10">
        <v>0</v>
      </c>
      <c r="S106" s="10">
        <v>0</v>
      </c>
      <c r="T106" s="10">
        <v>2</v>
      </c>
      <c r="U106" s="10">
        <v>0</v>
      </c>
      <c r="V106" s="10">
        <v>22</v>
      </c>
      <c r="W106" s="10">
        <v>7</v>
      </c>
      <c r="X106" s="57">
        <f t="shared" si="109"/>
        <v>4</v>
      </c>
      <c r="Y106" s="4">
        <f t="shared" si="110"/>
        <v>0.5</v>
      </c>
      <c r="Z106" s="4">
        <f t="shared" si="111"/>
        <v>1</v>
      </c>
      <c r="AA106" s="4">
        <f t="shared" si="112"/>
        <v>1</v>
      </c>
      <c r="AB106" s="4">
        <f>IFERROR(tbl_główna_GRACZE[[#This Row],[2pm]]/tbl_główna_GRACZE[[#This Row],[2pa]],0)</f>
        <v>0.33333333333333331</v>
      </c>
      <c r="AC106" s="4">
        <f t="shared" si="113"/>
        <v>0.71721311475409832</v>
      </c>
      <c r="AD106" s="4">
        <f t="shared" si="114"/>
        <v>0.625</v>
      </c>
      <c r="AE106" s="11">
        <f t="shared" si="115"/>
        <v>11</v>
      </c>
      <c r="AF106" s="4">
        <f t="shared" si="116"/>
        <v>0.5</v>
      </c>
      <c r="AG106" s="4">
        <f t="shared" si="117"/>
        <v>0.25</v>
      </c>
      <c r="AH10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8.3733699382292373E-2</v>
      </c>
      <c r="AI106" s="25">
        <f>tbl_główna_GRACZE[[#This Row],[pts]]*(40/tbl_główna_GRACZE[[#This Row],[min]])</f>
        <v>12.727272727272727</v>
      </c>
      <c r="AJ106" s="30">
        <f>tbl_główna_GRACZE[[#This Row],[reb total]]*(40/tbl_główna_GRACZE[[#This Row],[min]])</f>
        <v>7.2727272727272725</v>
      </c>
      <c r="AK106" s="30">
        <f>tbl_główna_GRACZE[[#This Row],[asst]]*(40/tbl_główna_GRACZE[[#This Row],[min]])</f>
        <v>0</v>
      </c>
      <c r="AL106" s="5">
        <f t="shared" si="118"/>
        <v>1.75</v>
      </c>
      <c r="AM106" s="5">
        <f>(tbl_główna_GRACZE[[#This Row],[stl]]+tbl_główna_GRACZE[[#This Row],[blk]])*(40/tbl_główna_GRACZE[[#This Row],[min]])</f>
        <v>3.6363636363636362</v>
      </c>
      <c r="AN10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0.10526315789473684</v>
      </c>
      <c r="AO106" s="25">
        <f>tbl_główna_GRACZE[[#This Row],[stl]]+tbl_główna_GRACZE[[#This Row],[blk]]+(tbl_główna_GRACZE[[#This Row],[dreb]]*0.5)</f>
        <v>4</v>
      </c>
      <c r="AP106" s="29">
        <f>(tbl_główna_GRACZE[[#This Row],[stl]]+tbl_główna_GRACZE[[#This Row],[blk]]+0.5*tbl_główna_GRACZE[[#This Row],[dreb]])/tbl_główna_GRACZE[[#This Row],[min]]</f>
        <v>0.18181818181818182</v>
      </c>
      <c r="AQ106" s="6">
        <f t="shared" si="119"/>
        <v>7.6</v>
      </c>
      <c r="AR106" s="6">
        <f>tbl_główna_GRACZE[[#This Row],[GmSc]]*(40/tbl_główna_GRACZE[[#This Row],[min]])</f>
        <v>13.818181818181817</v>
      </c>
      <c r="AS106" s="6">
        <f>tbl_główna_GRACZE[[#This Row],[EVAL]]*(40/tbl_główna_GRACZE[[#This Row],[min]])</f>
        <v>20</v>
      </c>
      <c r="AT106" s="11">
        <f>tbl_główna_GRACZE[[#This Row],[fgm]]-tbl_główna_GRACZE[[#This Row],[3pm]]</f>
        <v>1</v>
      </c>
      <c r="AU106" s="11">
        <f>tbl_główna_GRACZE[[#This Row],[fga]]-tbl_główna_GRACZE[[#This Row],[3pa]]</f>
        <v>3</v>
      </c>
      <c r="AV106">
        <f>IF(tbl_główna_GRACZE[[#This Row],[min]]&gt;0,1,0)</f>
        <v>1</v>
      </c>
      <c r="AW106" s="58" t="str">
        <f>tbl_główna_GRACZE[[#This Row],[I. Nazwisko]]</f>
        <v>J. Kurek</v>
      </c>
    </row>
    <row r="107" spans="1:49" x14ac:dyDescent="0.35">
      <c r="A107" t="s">
        <v>46</v>
      </c>
      <c r="B107" t="s">
        <v>52</v>
      </c>
      <c r="C107" t="s">
        <v>57</v>
      </c>
      <c r="D107" t="str">
        <f>IF(C107="H",VLOOKUP($A107,tab_nazwy_zespołów[],2,0)&amp;VLOOKUP($B107,tab_nazwy_zespołów[],2,0),VLOOKUP($B107,tab_nazwy_zespołów[],2,0)&amp;VLOOKUP($A107,tab_nazwy_zespołów[],2,0))</f>
        <v>BYPWIL</v>
      </c>
      <c r="E107">
        <v>3</v>
      </c>
      <c r="F107">
        <f>COUNTIF(tbl_zawodnicy_sumy[I. Nazwisko],tbl_główna_GRACZE[[#This Row],[I. Nazwisko]])</f>
        <v>1</v>
      </c>
      <c r="G107" s="58" t="str">
        <f>RIGHT(tbl_główna_GRACZE[[#This Row],[Kolumna1]],LEN(tbl_główna_GRACZE[[#This Row],[Kolumna1]])-FIND(" ",tbl_główna_GRACZE[[#This Row],[Kolumna1]]))</f>
        <v>P. Kozlowski</v>
      </c>
      <c r="H107" s="2" t="s">
        <v>341</v>
      </c>
      <c r="I107" s="10">
        <v>2</v>
      </c>
      <c r="J107" s="10">
        <v>6</v>
      </c>
      <c r="K107" s="10">
        <v>1</v>
      </c>
      <c r="L107" s="10">
        <v>1</v>
      </c>
      <c r="M107" s="10">
        <v>0</v>
      </c>
      <c r="N107" s="10">
        <v>0</v>
      </c>
      <c r="O107" s="10">
        <v>0</v>
      </c>
      <c r="P107" s="10">
        <v>5</v>
      </c>
      <c r="Q107" s="10">
        <v>0</v>
      </c>
      <c r="R107" s="10">
        <v>2</v>
      </c>
      <c r="S107" s="10">
        <v>0</v>
      </c>
      <c r="T107" s="10">
        <v>1</v>
      </c>
      <c r="U107" s="10">
        <v>1</v>
      </c>
      <c r="V107" s="10">
        <v>18</v>
      </c>
      <c r="W107" s="10">
        <v>5</v>
      </c>
      <c r="X107" s="57">
        <f t="shared" si="109"/>
        <v>5</v>
      </c>
      <c r="Y107" s="4">
        <f t="shared" si="110"/>
        <v>0.33333333333333331</v>
      </c>
      <c r="Z107" s="4">
        <f t="shared" si="111"/>
        <v>1</v>
      </c>
      <c r="AA107" s="4">
        <f t="shared" si="112"/>
        <v>0</v>
      </c>
      <c r="AB107" s="4">
        <f>IFERROR(tbl_główna_GRACZE[[#This Row],[2pm]]/tbl_główna_GRACZE[[#This Row],[2pa]],0)</f>
        <v>0.2</v>
      </c>
      <c r="AC107" s="4">
        <f t="shared" si="113"/>
        <v>0.41666666666666669</v>
      </c>
      <c r="AD107" s="4">
        <f t="shared" si="114"/>
        <v>0.41666666666666669</v>
      </c>
      <c r="AE107" s="11">
        <f t="shared" si="115"/>
        <v>10</v>
      </c>
      <c r="AF107" s="4">
        <f t="shared" si="116"/>
        <v>0</v>
      </c>
      <c r="AG107" s="4">
        <f t="shared" si="117"/>
        <v>0.16666666666666666</v>
      </c>
      <c r="AH10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0.1029512697323267</v>
      </c>
      <c r="AI107" s="25">
        <f>tbl_główna_GRACZE[[#This Row],[pts]]*(40/tbl_główna_GRACZE[[#This Row],[min]])</f>
        <v>11.111111111111111</v>
      </c>
      <c r="AJ107" s="30">
        <f>tbl_główna_GRACZE[[#This Row],[reb total]]*(40/tbl_główna_GRACZE[[#This Row],[min]])</f>
        <v>11.111111111111111</v>
      </c>
      <c r="AK107" s="30">
        <f>tbl_główna_GRACZE[[#This Row],[asst]]*(40/tbl_główna_GRACZE[[#This Row],[min]])</f>
        <v>2.2222222222222223</v>
      </c>
      <c r="AL107" s="5">
        <f t="shared" si="118"/>
        <v>0.83333333333333337</v>
      </c>
      <c r="AM107" s="5">
        <f>(tbl_główna_GRACZE[[#This Row],[stl]]+tbl_główna_GRACZE[[#This Row],[blk]])*(40/tbl_główna_GRACZE[[#This Row],[min]])</f>
        <v>6.666666666666667</v>
      </c>
      <c r="AN10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0.15789473684210525</v>
      </c>
      <c r="AO107" s="25">
        <f>tbl_główna_GRACZE[[#This Row],[stl]]+tbl_główna_GRACZE[[#This Row],[blk]]+(tbl_główna_GRACZE[[#This Row],[dreb]]*0.5)</f>
        <v>5.5</v>
      </c>
      <c r="AP107" s="29">
        <f>(tbl_główna_GRACZE[[#This Row],[stl]]+tbl_główna_GRACZE[[#This Row],[blk]]+0.5*tbl_główna_GRACZE[[#This Row],[dreb]])/tbl_główna_GRACZE[[#This Row],[min]]</f>
        <v>0.30555555555555558</v>
      </c>
      <c r="AQ107" s="6">
        <f t="shared" si="119"/>
        <v>6.5000000000000009</v>
      </c>
      <c r="AR107" s="6">
        <f>tbl_główna_GRACZE[[#This Row],[GmSc]]*(40/tbl_główna_GRACZE[[#This Row],[min]])</f>
        <v>14.444444444444446</v>
      </c>
      <c r="AS107" s="6">
        <f>tbl_główna_GRACZE[[#This Row],[EVAL]]*(40/tbl_główna_GRACZE[[#This Row],[min]])</f>
        <v>22.222222222222221</v>
      </c>
      <c r="AT107" s="11">
        <f>tbl_główna_GRACZE[[#This Row],[fgm]]-tbl_główna_GRACZE[[#This Row],[3pm]]</f>
        <v>1</v>
      </c>
      <c r="AU107" s="11">
        <f>tbl_główna_GRACZE[[#This Row],[fga]]-tbl_główna_GRACZE[[#This Row],[3pa]]</f>
        <v>5</v>
      </c>
      <c r="AV107">
        <f>IF(tbl_główna_GRACZE[[#This Row],[min]]&gt;0,1,0)</f>
        <v>1</v>
      </c>
      <c r="AW107" s="58" t="str">
        <f>tbl_główna_GRACZE[[#This Row],[I. Nazwisko]]</f>
        <v>P. Kozlowski</v>
      </c>
    </row>
    <row r="108" spans="1:49" x14ac:dyDescent="0.35">
      <c r="A108" t="s">
        <v>46</v>
      </c>
      <c r="B108" t="s">
        <v>52</v>
      </c>
      <c r="C108" t="s">
        <v>57</v>
      </c>
      <c r="D108" t="str">
        <f>IF(C108="H",VLOOKUP($A108,tab_nazwy_zespołów[],2,0)&amp;VLOOKUP($B108,tab_nazwy_zespołów[],2,0),VLOOKUP($B108,tab_nazwy_zespołów[],2,0)&amp;VLOOKUP($A108,tab_nazwy_zespołów[],2,0))</f>
        <v>BYPWIL</v>
      </c>
      <c r="E108">
        <v>3</v>
      </c>
      <c r="F108">
        <f>COUNTIF(tbl_zawodnicy_sumy[I. Nazwisko],tbl_główna_GRACZE[[#This Row],[I. Nazwisko]])</f>
        <v>1</v>
      </c>
      <c r="G108" s="58" t="str">
        <f>RIGHT(tbl_główna_GRACZE[[#This Row],[Kolumna1]],LEN(tbl_główna_GRACZE[[#This Row],[Kolumna1]])-FIND(" ",tbl_główna_GRACZE[[#This Row],[Kolumna1]]))</f>
        <v>J. Warda</v>
      </c>
      <c r="H108" s="2" t="s">
        <v>74</v>
      </c>
      <c r="I108" s="10">
        <v>2</v>
      </c>
      <c r="J108" s="10">
        <v>6</v>
      </c>
      <c r="K108" s="10">
        <v>0</v>
      </c>
      <c r="L108" s="10">
        <v>3</v>
      </c>
      <c r="M108" s="10">
        <v>0</v>
      </c>
      <c r="N108" s="10">
        <v>0</v>
      </c>
      <c r="O108" s="10">
        <v>0</v>
      </c>
      <c r="P108" s="10">
        <v>0</v>
      </c>
      <c r="Q108" s="10">
        <v>1</v>
      </c>
      <c r="R108" s="10">
        <v>0</v>
      </c>
      <c r="S108" s="10">
        <v>0</v>
      </c>
      <c r="T108" s="10">
        <v>0</v>
      </c>
      <c r="U108" s="10">
        <v>1</v>
      </c>
      <c r="V108" s="10">
        <v>9</v>
      </c>
      <c r="W108" s="10">
        <v>4</v>
      </c>
      <c r="X108" s="57">
        <f t="shared" si="109"/>
        <v>0</v>
      </c>
      <c r="Y108" s="4">
        <f t="shared" si="110"/>
        <v>0.33333333333333331</v>
      </c>
      <c r="Z108" s="4">
        <f t="shared" si="111"/>
        <v>0</v>
      </c>
      <c r="AA108" s="4">
        <f t="shared" si="112"/>
        <v>0</v>
      </c>
      <c r="AB108" s="4">
        <f>IFERROR(tbl_główna_GRACZE[[#This Row],[2pm]]/tbl_główna_GRACZE[[#This Row],[2pa]],0)</f>
        <v>0.66666666666666663</v>
      </c>
      <c r="AC108" s="4">
        <f t="shared" si="113"/>
        <v>0.33333333333333331</v>
      </c>
      <c r="AD108" s="4">
        <f t="shared" si="114"/>
        <v>0.33333333333333331</v>
      </c>
      <c r="AE108" s="11">
        <f t="shared" si="115"/>
        <v>1</v>
      </c>
      <c r="AF108" s="4">
        <f t="shared" si="116"/>
        <v>0</v>
      </c>
      <c r="AG108" s="4">
        <f t="shared" si="117"/>
        <v>0.5</v>
      </c>
      <c r="AH10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0.1029512697323267</v>
      </c>
      <c r="AI108" s="25">
        <f>tbl_główna_GRACZE[[#This Row],[pts]]*(40/tbl_główna_GRACZE[[#This Row],[min]])</f>
        <v>17.777777777777779</v>
      </c>
      <c r="AJ108" s="30">
        <f>tbl_główna_GRACZE[[#This Row],[reb total]]*(40/tbl_główna_GRACZE[[#This Row],[min]])</f>
        <v>0</v>
      </c>
      <c r="AK108" s="30">
        <f>tbl_główna_GRACZE[[#This Row],[asst]]*(40/tbl_główna_GRACZE[[#This Row],[min]])</f>
        <v>4.4444444444444446</v>
      </c>
      <c r="AL108" s="5">
        <f t="shared" si="118"/>
        <v>0.66666666666666663</v>
      </c>
      <c r="AM108" s="5">
        <f>(tbl_główna_GRACZE[[#This Row],[stl]]+tbl_główna_GRACZE[[#This Row],[blk]])*(40/tbl_główna_GRACZE[[#This Row],[min]])</f>
        <v>0</v>
      </c>
      <c r="AN10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08" s="25">
        <f>tbl_główna_GRACZE[[#This Row],[stl]]+tbl_główna_GRACZE[[#This Row],[blk]]+(tbl_główna_GRACZE[[#This Row],[dreb]]*0.5)</f>
        <v>0</v>
      </c>
      <c r="AP108" s="29">
        <f>(tbl_główna_GRACZE[[#This Row],[stl]]+tbl_główna_GRACZE[[#This Row],[blk]]+0.5*tbl_główna_GRACZE[[#This Row],[dreb]])/tbl_główna_GRACZE[[#This Row],[min]]</f>
        <v>0</v>
      </c>
      <c r="AQ108" s="6">
        <f t="shared" si="119"/>
        <v>1.3000000000000005</v>
      </c>
      <c r="AR108" s="6">
        <f>tbl_główna_GRACZE[[#This Row],[GmSc]]*(40/tbl_główna_GRACZE[[#This Row],[min]])</f>
        <v>5.7777777777777803</v>
      </c>
      <c r="AS108" s="6">
        <f>tbl_główna_GRACZE[[#This Row],[EVAL]]*(40/tbl_główna_GRACZE[[#This Row],[min]])</f>
        <v>4.4444444444444446</v>
      </c>
      <c r="AT108" s="11">
        <f>tbl_główna_GRACZE[[#This Row],[fgm]]-tbl_główna_GRACZE[[#This Row],[3pm]]</f>
        <v>2</v>
      </c>
      <c r="AU108" s="11">
        <f>tbl_główna_GRACZE[[#This Row],[fga]]-tbl_główna_GRACZE[[#This Row],[3pa]]</f>
        <v>3</v>
      </c>
      <c r="AV108">
        <f>IF(tbl_główna_GRACZE[[#This Row],[min]]&gt;0,1,0)</f>
        <v>1</v>
      </c>
      <c r="AW108" s="58" t="str">
        <f>tbl_główna_GRACZE[[#This Row],[I. Nazwisko]]</f>
        <v>J. Warda</v>
      </c>
    </row>
    <row r="109" spans="1:49" x14ac:dyDescent="0.35">
      <c r="A109" t="s">
        <v>46</v>
      </c>
      <c r="B109" t="s">
        <v>52</v>
      </c>
      <c r="C109" t="s">
        <v>57</v>
      </c>
      <c r="D109" t="str">
        <f>IF(C109="H",VLOOKUP($A109,tab_nazwy_zespołów[],2,0)&amp;VLOOKUP($B109,tab_nazwy_zespołów[],2,0),VLOOKUP($B109,tab_nazwy_zespołów[],2,0)&amp;VLOOKUP($A109,tab_nazwy_zespołów[],2,0))</f>
        <v>BYPWIL</v>
      </c>
      <c r="E109">
        <v>3</v>
      </c>
      <c r="F109">
        <f>COUNTIF(tbl_zawodnicy_sumy[I. Nazwisko],tbl_główna_GRACZE[[#This Row],[I. Nazwisko]])</f>
        <v>1</v>
      </c>
      <c r="G109" s="58" t="str">
        <f>RIGHT(tbl_główna_GRACZE[[#This Row],[Kolumna1]],LEN(tbl_główna_GRACZE[[#This Row],[Kolumna1]])-FIND(" ",tbl_główna_GRACZE[[#This Row],[Kolumna1]]))</f>
        <v>P. Wołczyński</v>
      </c>
      <c r="H109" s="2" t="s">
        <v>70</v>
      </c>
      <c r="I109" s="10">
        <v>0</v>
      </c>
      <c r="J109" s="10">
        <v>6</v>
      </c>
      <c r="K109" s="10">
        <v>0</v>
      </c>
      <c r="L109" s="10">
        <v>0</v>
      </c>
      <c r="M109" s="10">
        <v>3</v>
      </c>
      <c r="N109" s="10">
        <v>4</v>
      </c>
      <c r="O109" s="10">
        <v>0</v>
      </c>
      <c r="P109" s="10">
        <v>3</v>
      </c>
      <c r="Q109" s="10">
        <v>1</v>
      </c>
      <c r="R109" s="10">
        <v>3</v>
      </c>
      <c r="S109" s="10">
        <v>0</v>
      </c>
      <c r="T109" s="10">
        <v>0</v>
      </c>
      <c r="U109" s="10">
        <v>3</v>
      </c>
      <c r="V109" s="10">
        <v>18</v>
      </c>
      <c r="W109" s="10">
        <v>3</v>
      </c>
      <c r="X109" s="57">
        <f t="shared" si="109"/>
        <v>3</v>
      </c>
      <c r="Y109" s="4">
        <f t="shared" si="110"/>
        <v>0</v>
      </c>
      <c r="Z109" s="4">
        <f t="shared" si="111"/>
        <v>0</v>
      </c>
      <c r="AA109" s="4">
        <f t="shared" si="112"/>
        <v>0.75</v>
      </c>
      <c r="AB109" s="4">
        <f>IFERROR(tbl_główna_GRACZE[[#This Row],[2pm]]/tbl_główna_GRACZE[[#This Row],[2pa]],0)</f>
        <v>0</v>
      </c>
      <c r="AC109" s="4">
        <f t="shared" si="113"/>
        <v>0.19329896907216496</v>
      </c>
      <c r="AD109" s="4">
        <f t="shared" si="114"/>
        <v>0</v>
      </c>
      <c r="AE109" s="11">
        <f t="shared" si="115"/>
        <v>5</v>
      </c>
      <c r="AF109" s="4">
        <f t="shared" si="116"/>
        <v>0.66666666666666663</v>
      </c>
      <c r="AG109" s="4">
        <f t="shared" si="117"/>
        <v>0</v>
      </c>
      <c r="AH10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0.13315030885380919</v>
      </c>
      <c r="AI109" s="25">
        <f>tbl_główna_GRACZE[[#This Row],[pts]]*(40/tbl_główna_GRACZE[[#This Row],[min]])</f>
        <v>6.666666666666667</v>
      </c>
      <c r="AJ109" s="30">
        <f>tbl_główna_GRACZE[[#This Row],[reb total]]*(40/tbl_główna_GRACZE[[#This Row],[min]])</f>
        <v>6.666666666666667</v>
      </c>
      <c r="AK109" s="30">
        <f>tbl_główna_GRACZE[[#This Row],[asst]]*(40/tbl_główna_GRACZE[[#This Row],[min]])</f>
        <v>6.666666666666667</v>
      </c>
      <c r="AL109" s="5">
        <f t="shared" si="118"/>
        <v>0.5</v>
      </c>
      <c r="AM109" s="5">
        <f>(tbl_główna_GRACZE[[#This Row],[stl]]+tbl_główna_GRACZE[[#This Row],[blk]])*(40/tbl_główna_GRACZE[[#This Row],[min]])</f>
        <v>6.666666666666667</v>
      </c>
      <c r="AN10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0.15789473684210525</v>
      </c>
      <c r="AO109" s="25">
        <f>tbl_główna_GRACZE[[#This Row],[stl]]+tbl_główna_GRACZE[[#This Row],[blk]]+(tbl_główna_GRACZE[[#This Row],[dreb]]*0.5)</f>
        <v>4.5</v>
      </c>
      <c r="AP109" s="29">
        <f>(tbl_główna_GRACZE[[#This Row],[stl]]+tbl_główna_GRACZE[[#This Row],[blk]]+0.5*tbl_główna_GRACZE[[#This Row],[dreb]])/tbl_główna_GRACZE[[#This Row],[min]]</f>
        <v>0.25</v>
      </c>
      <c r="AQ109" s="6">
        <f t="shared" si="119"/>
        <v>4.4000000000000004</v>
      </c>
      <c r="AR109" s="6">
        <f>tbl_główna_GRACZE[[#This Row],[GmSc]]*(40/tbl_główna_GRACZE[[#This Row],[min]])</f>
        <v>9.7777777777777786</v>
      </c>
      <c r="AS109" s="6">
        <f>tbl_główna_GRACZE[[#This Row],[EVAL]]*(40/tbl_główna_GRACZE[[#This Row],[min]])</f>
        <v>11.111111111111111</v>
      </c>
      <c r="AT109" s="11">
        <f>tbl_główna_GRACZE[[#This Row],[fgm]]-tbl_główna_GRACZE[[#This Row],[3pm]]</f>
        <v>0</v>
      </c>
      <c r="AU109" s="11">
        <f>tbl_główna_GRACZE[[#This Row],[fga]]-tbl_główna_GRACZE[[#This Row],[3pa]]</f>
        <v>6</v>
      </c>
      <c r="AV109">
        <f>IF(tbl_główna_GRACZE[[#This Row],[min]]&gt;0,1,0)</f>
        <v>1</v>
      </c>
      <c r="AW109" s="58" t="str">
        <f>tbl_główna_GRACZE[[#This Row],[I. Nazwisko]]</f>
        <v>P. Wołczyński</v>
      </c>
    </row>
    <row r="110" spans="1:49" x14ac:dyDescent="0.35">
      <c r="A110" t="s">
        <v>46</v>
      </c>
      <c r="B110" t="s">
        <v>52</v>
      </c>
      <c r="C110" t="s">
        <v>57</v>
      </c>
      <c r="D110" t="str">
        <f>IF(C110="H",VLOOKUP($A110,tab_nazwy_zespołów[],2,0)&amp;VLOOKUP($B110,tab_nazwy_zespołów[],2,0),VLOOKUP($B110,tab_nazwy_zespołów[],2,0)&amp;VLOOKUP($A110,tab_nazwy_zespołów[],2,0))</f>
        <v>BYPWIL</v>
      </c>
      <c r="E110">
        <v>3</v>
      </c>
      <c r="F110">
        <f>COUNTIF(tbl_zawodnicy_sumy[I. Nazwisko],tbl_główna_GRACZE[[#This Row],[I. Nazwisko]])</f>
        <v>1</v>
      </c>
      <c r="G110" s="58" t="str">
        <f>RIGHT(tbl_główna_GRACZE[[#This Row],[Kolumna1]],LEN(tbl_główna_GRACZE[[#This Row],[Kolumna1]])-FIND(" ",tbl_główna_GRACZE[[#This Row],[Kolumna1]]))</f>
        <v>Ł. Flaga</v>
      </c>
      <c r="H110" s="2" t="s">
        <v>75</v>
      </c>
      <c r="I110" s="10">
        <v>0</v>
      </c>
      <c r="J110" s="10">
        <v>2</v>
      </c>
      <c r="K110" s="10">
        <v>0</v>
      </c>
      <c r="L110" s="10">
        <v>0</v>
      </c>
      <c r="M110" s="10">
        <v>0</v>
      </c>
      <c r="N110" s="10">
        <v>0</v>
      </c>
      <c r="O110" s="10">
        <v>2</v>
      </c>
      <c r="P110" s="10">
        <v>6</v>
      </c>
      <c r="Q110" s="10">
        <v>0</v>
      </c>
      <c r="R110" s="10">
        <v>1</v>
      </c>
      <c r="S110" s="10">
        <v>0</v>
      </c>
      <c r="T110" s="10">
        <v>2</v>
      </c>
      <c r="U110" s="10">
        <v>1</v>
      </c>
      <c r="V110" s="10">
        <v>16</v>
      </c>
      <c r="W110" s="10">
        <v>0</v>
      </c>
      <c r="X110" s="57">
        <f t="shared" si="109"/>
        <v>8</v>
      </c>
      <c r="Y110" s="4">
        <f t="shared" si="110"/>
        <v>0</v>
      </c>
      <c r="Z110" s="4">
        <f t="shared" si="111"/>
        <v>0</v>
      </c>
      <c r="AA110" s="4">
        <f t="shared" si="112"/>
        <v>0</v>
      </c>
      <c r="AB110" s="4">
        <f>IFERROR(tbl_główna_GRACZE[[#This Row],[2pm]]/tbl_główna_GRACZE[[#This Row],[2pa]],0)</f>
        <v>0</v>
      </c>
      <c r="AC110" s="4">
        <f t="shared" si="113"/>
        <v>0</v>
      </c>
      <c r="AD110" s="4">
        <f t="shared" si="114"/>
        <v>0</v>
      </c>
      <c r="AE110" s="11">
        <f t="shared" si="115"/>
        <v>10</v>
      </c>
      <c r="AF110" s="4">
        <f t="shared" si="116"/>
        <v>0</v>
      </c>
      <c r="AG110" s="4">
        <f t="shared" si="117"/>
        <v>0</v>
      </c>
      <c r="AH11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3.4317089910775568E-2</v>
      </c>
      <c r="AI110" s="25">
        <f>tbl_główna_GRACZE[[#This Row],[pts]]*(40/tbl_główna_GRACZE[[#This Row],[min]])</f>
        <v>0</v>
      </c>
      <c r="AJ110" s="30">
        <f>tbl_główna_GRACZE[[#This Row],[reb total]]*(40/tbl_główna_GRACZE[[#This Row],[min]])</f>
        <v>20</v>
      </c>
      <c r="AK110" s="30">
        <f>tbl_główna_GRACZE[[#This Row],[asst]]*(40/tbl_główna_GRACZE[[#This Row],[min]])</f>
        <v>2.5</v>
      </c>
      <c r="AL110" s="5">
        <f t="shared" si="118"/>
        <v>0</v>
      </c>
      <c r="AM110" s="5">
        <f>(tbl_główna_GRACZE[[#This Row],[stl]]+tbl_główna_GRACZE[[#This Row],[blk]])*(40/tbl_główna_GRACZE[[#This Row],[min]])</f>
        <v>7.5</v>
      </c>
      <c r="AN11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0.15789473684210525</v>
      </c>
      <c r="AO110" s="25">
        <f>tbl_główna_GRACZE[[#This Row],[stl]]+tbl_główna_GRACZE[[#This Row],[blk]]+(tbl_główna_GRACZE[[#This Row],[dreb]]*0.5)</f>
        <v>6</v>
      </c>
      <c r="AP110" s="29">
        <f>(tbl_główna_GRACZE[[#This Row],[stl]]+tbl_główna_GRACZE[[#This Row],[blk]]+0.5*tbl_główna_GRACZE[[#This Row],[dreb]])/tbl_główna_GRACZE[[#This Row],[min]]</f>
        <v>0.375</v>
      </c>
      <c r="AQ110" s="6">
        <f t="shared" si="119"/>
        <v>4.9000000000000004</v>
      </c>
      <c r="AR110" s="6">
        <f>tbl_główna_GRACZE[[#This Row],[GmSc]]*(40/tbl_główna_GRACZE[[#This Row],[min]])</f>
        <v>12.25</v>
      </c>
      <c r="AS110" s="6">
        <f>tbl_główna_GRACZE[[#This Row],[EVAL]]*(40/tbl_główna_GRACZE[[#This Row],[min]])</f>
        <v>25</v>
      </c>
      <c r="AT110" s="11">
        <f>tbl_główna_GRACZE[[#This Row],[fgm]]-tbl_główna_GRACZE[[#This Row],[3pm]]</f>
        <v>0</v>
      </c>
      <c r="AU110" s="11">
        <f>tbl_główna_GRACZE[[#This Row],[fga]]-tbl_główna_GRACZE[[#This Row],[3pa]]</f>
        <v>2</v>
      </c>
      <c r="AV110">
        <f>IF(tbl_główna_GRACZE[[#This Row],[min]]&gt;0,1,0)</f>
        <v>1</v>
      </c>
      <c r="AW110" s="58" t="str">
        <f>tbl_główna_GRACZE[[#This Row],[I. Nazwisko]]</f>
        <v>Ł. Flaga</v>
      </c>
    </row>
    <row r="111" spans="1:49" x14ac:dyDescent="0.35">
      <c r="A111" t="s">
        <v>46</v>
      </c>
      <c r="B111" t="s">
        <v>52</v>
      </c>
      <c r="C111" t="s">
        <v>57</v>
      </c>
      <c r="D111" t="str">
        <f>IF(C111="H",VLOOKUP($A111,tab_nazwy_zespołów[],2,0)&amp;VLOOKUP($B111,tab_nazwy_zespołów[],2,0),VLOOKUP($B111,tab_nazwy_zespołów[],2,0)&amp;VLOOKUP($A111,tab_nazwy_zespołów[],2,0))</f>
        <v>BYPWIL</v>
      </c>
      <c r="E111">
        <v>3</v>
      </c>
      <c r="F111">
        <f>COUNTIF(tbl_zawodnicy_sumy[I. Nazwisko],tbl_główna_GRACZE[[#This Row],[I. Nazwisko]])</f>
        <v>1</v>
      </c>
      <c r="G111" s="58" t="str">
        <f>RIGHT(tbl_główna_GRACZE[[#This Row],[Kolumna1]],LEN(tbl_główna_GRACZE[[#This Row],[Kolumna1]])-FIND(" ",tbl_główna_GRACZE[[#This Row],[Kolumna1]]))</f>
        <v>F. Szymor</v>
      </c>
      <c r="H111" s="2" t="s">
        <v>386</v>
      </c>
      <c r="I111" s="10">
        <v>0</v>
      </c>
      <c r="J111" s="10">
        <v>2</v>
      </c>
      <c r="K111" s="10">
        <v>0</v>
      </c>
      <c r="L111" s="10">
        <v>1</v>
      </c>
      <c r="M111" s="10">
        <v>0</v>
      </c>
      <c r="N111" s="10">
        <v>0</v>
      </c>
      <c r="O111" s="10">
        <v>0</v>
      </c>
      <c r="P111" s="10">
        <v>3</v>
      </c>
      <c r="Q111" s="10">
        <v>0</v>
      </c>
      <c r="R111" s="10">
        <v>2</v>
      </c>
      <c r="S111" s="10">
        <v>0</v>
      </c>
      <c r="T111" s="10">
        <v>0</v>
      </c>
      <c r="U111" s="10">
        <v>2</v>
      </c>
      <c r="V111" s="10">
        <v>9</v>
      </c>
      <c r="W111" s="10">
        <v>0</v>
      </c>
      <c r="X111" s="57">
        <f t="shared" si="109"/>
        <v>3</v>
      </c>
      <c r="Y111" s="4">
        <f t="shared" si="110"/>
        <v>0</v>
      </c>
      <c r="Z111" s="4">
        <f t="shared" si="111"/>
        <v>0</v>
      </c>
      <c r="AA111" s="4">
        <f t="shared" si="112"/>
        <v>0</v>
      </c>
      <c r="AB111" s="4">
        <f>IFERROR(tbl_główna_GRACZE[[#This Row],[2pm]]/tbl_główna_GRACZE[[#This Row],[2pa]],0)</f>
        <v>0</v>
      </c>
      <c r="AC111" s="4">
        <f t="shared" si="113"/>
        <v>0</v>
      </c>
      <c r="AD111" s="4">
        <f t="shared" si="114"/>
        <v>0</v>
      </c>
      <c r="AE111" s="11">
        <f t="shared" si="115"/>
        <v>5</v>
      </c>
      <c r="AF111" s="4">
        <f t="shared" si="116"/>
        <v>0</v>
      </c>
      <c r="AG111" s="4">
        <f t="shared" si="117"/>
        <v>0.5</v>
      </c>
      <c r="AH11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3.4317089910775568E-2</v>
      </c>
      <c r="AI111" s="25">
        <f>tbl_główna_GRACZE[[#This Row],[pts]]*(40/tbl_główna_GRACZE[[#This Row],[min]])</f>
        <v>0</v>
      </c>
      <c r="AJ111" s="30">
        <f>tbl_główna_GRACZE[[#This Row],[reb total]]*(40/tbl_główna_GRACZE[[#This Row],[min]])</f>
        <v>13.333333333333334</v>
      </c>
      <c r="AK111" s="30">
        <f>tbl_główna_GRACZE[[#This Row],[asst]]*(40/tbl_główna_GRACZE[[#This Row],[min]])</f>
        <v>8.8888888888888893</v>
      </c>
      <c r="AL111" s="5">
        <f t="shared" si="118"/>
        <v>0</v>
      </c>
      <c r="AM111" s="5">
        <f>(tbl_główna_GRACZE[[#This Row],[stl]]+tbl_główna_GRACZE[[#This Row],[blk]])*(40/tbl_główna_GRACZE[[#This Row],[min]])</f>
        <v>8.8888888888888893</v>
      </c>
      <c r="AN11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0.10526315789473684</v>
      </c>
      <c r="AO111" s="25">
        <f>tbl_główna_GRACZE[[#This Row],[stl]]+tbl_główna_GRACZE[[#This Row],[blk]]+(tbl_główna_GRACZE[[#This Row],[dreb]]*0.5)</f>
        <v>3.5</v>
      </c>
      <c r="AP111" s="29">
        <f>(tbl_główna_GRACZE[[#This Row],[stl]]+tbl_główna_GRACZE[[#This Row],[blk]]+0.5*tbl_główna_GRACZE[[#This Row],[dreb]])/tbl_główna_GRACZE[[#This Row],[min]]</f>
        <v>0.3888888888888889</v>
      </c>
      <c r="AQ111" s="6">
        <f t="shared" si="119"/>
        <v>2.9</v>
      </c>
      <c r="AR111" s="6">
        <f>tbl_główna_GRACZE[[#This Row],[GmSc]]*(40/tbl_główna_GRACZE[[#This Row],[min]])</f>
        <v>12.888888888888889</v>
      </c>
      <c r="AS111" s="6">
        <f>tbl_główna_GRACZE[[#This Row],[EVAL]]*(40/tbl_główna_GRACZE[[#This Row],[min]])</f>
        <v>22.222222222222221</v>
      </c>
      <c r="AT111" s="11">
        <f>tbl_główna_GRACZE[[#This Row],[fgm]]-tbl_główna_GRACZE[[#This Row],[3pm]]</f>
        <v>0</v>
      </c>
      <c r="AU111" s="11">
        <f>tbl_główna_GRACZE[[#This Row],[fga]]-tbl_główna_GRACZE[[#This Row],[3pa]]</f>
        <v>1</v>
      </c>
      <c r="AV111">
        <f>IF(tbl_główna_GRACZE[[#This Row],[min]]&gt;0,1,0)</f>
        <v>1</v>
      </c>
      <c r="AW111" s="58" t="str">
        <f>tbl_główna_GRACZE[[#This Row],[I. Nazwisko]]</f>
        <v>F. Szymor</v>
      </c>
    </row>
    <row r="112" spans="1:49" x14ac:dyDescent="0.35">
      <c r="A112" t="s">
        <v>46</v>
      </c>
      <c r="B112" t="s">
        <v>52</v>
      </c>
      <c r="C112" t="s">
        <v>57</v>
      </c>
      <c r="D112" t="str">
        <f>IF(C112="H",VLOOKUP($A112,tab_nazwy_zespołów[],2,0)&amp;VLOOKUP($B112,tab_nazwy_zespołów[],2,0),VLOOKUP($B112,tab_nazwy_zespołów[],2,0)&amp;VLOOKUP($A112,tab_nazwy_zespołów[],2,0))</f>
        <v>BYPWIL</v>
      </c>
      <c r="E112">
        <v>3</v>
      </c>
      <c r="F112">
        <f>COUNTIF(tbl_zawodnicy_sumy[I. Nazwisko],tbl_główna_GRACZE[[#This Row],[I. Nazwisko]])</f>
        <v>1</v>
      </c>
      <c r="G112" s="58" t="str">
        <f>RIGHT(tbl_główna_GRACZE[[#This Row],[Kolumna1]],LEN(tbl_główna_GRACZE[[#This Row],[Kolumna1]])-FIND(" ",tbl_główna_GRACZE[[#This Row],[Kolumna1]]))</f>
        <v>P. Piotrowski</v>
      </c>
      <c r="H112" s="2" t="s">
        <v>76</v>
      </c>
      <c r="I112" s="10">
        <v>0</v>
      </c>
      <c r="J112" s="10">
        <v>3</v>
      </c>
      <c r="K112" s="10">
        <v>0</v>
      </c>
      <c r="L112" s="10">
        <v>2</v>
      </c>
      <c r="M112" s="10">
        <v>0</v>
      </c>
      <c r="N112" s="10">
        <v>0</v>
      </c>
      <c r="O112" s="10">
        <v>0</v>
      </c>
      <c r="P112" s="10">
        <v>2</v>
      </c>
      <c r="Q112" s="10">
        <v>0</v>
      </c>
      <c r="R112" s="10">
        <v>0</v>
      </c>
      <c r="S112" s="10">
        <v>0</v>
      </c>
      <c r="T112" s="10">
        <v>0</v>
      </c>
      <c r="U112" s="10">
        <v>1</v>
      </c>
      <c r="V112" s="10">
        <v>6</v>
      </c>
      <c r="W112" s="10">
        <v>0</v>
      </c>
      <c r="X112" s="57">
        <f t="shared" si="109"/>
        <v>2</v>
      </c>
      <c r="Y112" s="4">
        <f t="shared" si="110"/>
        <v>0</v>
      </c>
      <c r="Z112" s="4">
        <f t="shared" si="111"/>
        <v>0</v>
      </c>
      <c r="AA112" s="4">
        <f t="shared" si="112"/>
        <v>0</v>
      </c>
      <c r="AB112" s="4">
        <f>IFERROR(tbl_główna_GRACZE[[#This Row],[2pm]]/tbl_główna_GRACZE[[#This Row],[2pa]],0)</f>
        <v>0</v>
      </c>
      <c r="AC112" s="4">
        <f t="shared" si="113"/>
        <v>0</v>
      </c>
      <c r="AD112" s="4">
        <f t="shared" si="114"/>
        <v>0</v>
      </c>
      <c r="AE112" s="11">
        <f t="shared" si="115"/>
        <v>0</v>
      </c>
      <c r="AF112" s="4">
        <f t="shared" si="116"/>
        <v>0</v>
      </c>
      <c r="AG112" s="4">
        <f t="shared" si="117"/>
        <v>0.66666666666666663</v>
      </c>
      <c r="AH11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5.1475634866163349E-2</v>
      </c>
      <c r="AI112" s="25">
        <f>tbl_główna_GRACZE[[#This Row],[pts]]*(40/tbl_główna_GRACZE[[#This Row],[min]])</f>
        <v>0</v>
      </c>
      <c r="AJ112" s="30">
        <f>tbl_główna_GRACZE[[#This Row],[reb total]]*(40/tbl_główna_GRACZE[[#This Row],[min]])</f>
        <v>13.333333333333334</v>
      </c>
      <c r="AK112" s="30">
        <f>tbl_główna_GRACZE[[#This Row],[asst]]*(40/tbl_główna_GRACZE[[#This Row],[min]])</f>
        <v>6.666666666666667</v>
      </c>
      <c r="AL112" s="5">
        <f t="shared" si="118"/>
        <v>0</v>
      </c>
      <c r="AM112" s="5">
        <f>(tbl_główna_GRACZE[[#This Row],[stl]]+tbl_główna_GRACZE[[#This Row],[blk]])*(40/tbl_główna_GRACZE[[#This Row],[min]])</f>
        <v>0</v>
      </c>
      <c r="AN11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2" s="25">
        <f>tbl_główna_GRACZE[[#This Row],[stl]]+tbl_główna_GRACZE[[#This Row],[blk]]+(tbl_główna_GRACZE[[#This Row],[dreb]]*0.5)</f>
        <v>1</v>
      </c>
      <c r="AP112" s="29">
        <f>(tbl_główna_GRACZE[[#This Row],[stl]]+tbl_główna_GRACZE[[#This Row],[blk]]+0.5*tbl_główna_GRACZE[[#This Row],[dreb]])/tbl_główna_GRACZE[[#This Row],[min]]</f>
        <v>0.16666666666666666</v>
      </c>
      <c r="AQ112" s="6">
        <f t="shared" si="119"/>
        <v>-0.7999999999999996</v>
      </c>
      <c r="AR112" s="6">
        <f>tbl_główna_GRACZE[[#This Row],[GmSc]]*(40/tbl_główna_GRACZE[[#This Row],[min]])</f>
        <v>-5.3333333333333313</v>
      </c>
      <c r="AS112" s="6">
        <f>tbl_główna_GRACZE[[#This Row],[EVAL]]*(40/tbl_główna_GRACZE[[#This Row],[min]])</f>
        <v>0</v>
      </c>
      <c r="AT112" s="11">
        <f>tbl_główna_GRACZE[[#This Row],[fgm]]-tbl_główna_GRACZE[[#This Row],[3pm]]</f>
        <v>0</v>
      </c>
      <c r="AU112" s="11">
        <f>tbl_główna_GRACZE[[#This Row],[fga]]-tbl_główna_GRACZE[[#This Row],[3pa]]</f>
        <v>1</v>
      </c>
      <c r="AV112">
        <f>IF(tbl_główna_GRACZE[[#This Row],[min]]&gt;0,1,0)</f>
        <v>1</v>
      </c>
      <c r="AW112" s="58" t="str">
        <f>tbl_główna_GRACZE[[#This Row],[I. Nazwisko]]</f>
        <v>P. Piotrowski</v>
      </c>
    </row>
    <row r="113" spans="1:49" x14ac:dyDescent="0.35">
      <c r="A113" t="s">
        <v>52</v>
      </c>
      <c r="B113" t="s">
        <v>46</v>
      </c>
      <c r="C113" t="s">
        <v>58</v>
      </c>
      <c r="D113" t="str">
        <f>IF(C113="H",VLOOKUP($A113,tab_nazwy_zespołów[],2,0)&amp;VLOOKUP($B113,tab_nazwy_zespołów[],2,0),VLOOKUP($B113,tab_nazwy_zespołów[],2,0)&amp;VLOOKUP($A113,tab_nazwy_zespołów[],2,0))</f>
        <v>BYPWIL</v>
      </c>
      <c r="E113">
        <v>3</v>
      </c>
      <c r="F113">
        <f>COUNTIF(tbl_zawodnicy_sumy[I. Nazwisko],tbl_główna_GRACZE[[#This Row],[I. Nazwisko]])</f>
        <v>1</v>
      </c>
      <c r="G113" s="58" t="str">
        <f>RIGHT(tbl_główna_GRACZE[[#This Row],[Kolumna1]],LEN(tbl_główna_GRACZE[[#This Row],[Kolumna1]])-FIND(" ",tbl_główna_GRACZE[[#This Row],[Kolumna1]]))</f>
        <v>C. Mavity</v>
      </c>
      <c r="H113" s="2" t="s">
        <v>343</v>
      </c>
      <c r="I113" s="10">
        <v>7</v>
      </c>
      <c r="J113" s="10">
        <v>14</v>
      </c>
      <c r="K113" s="10">
        <v>1</v>
      </c>
      <c r="L113" s="10">
        <v>2</v>
      </c>
      <c r="M113" s="10">
        <v>0</v>
      </c>
      <c r="N113" s="10">
        <v>2</v>
      </c>
      <c r="O113" s="10">
        <v>3</v>
      </c>
      <c r="P113" s="10">
        <v>6</v>
      </c>
      <c r="Q113" s="10">
        <v>2</v>
      </c>
      <c r="R113" s="10">
        <v>5</v>
      </c>
      <c r="S113" s="10">
        <v>0</v>
      </c>
      <c r="T113" s="10">
        <v>0</v>
      </c>
      <c r="U113" s="10">
        <v>1</v>
      </c>
      <c r="V113" s="10">
        <v>26</v>
      </c>
      <c r="W113" s="10">
        <v>15</v>
      </c>
      <c r="X113" s="57">
        <f t="shared" ref="X113:X120" si="120">O113+P113</f>
        <v>9</v>
      </c>
      <c r="Y113" s="4">
        <f t="shared" ref="Y113:Y120" si="121">I113/J113</f>
        <v>0.5</v>
      </c>
      <c r="Z113" s="4">
        <f t="shared" ref="Z113:Z120" si="122">IFERROR(K113/L113,0)</f>
        <v>0.5</v>
      </c>
      <c r="AA113" s="4">
        <f t="shared" ref="AA113:AA120" si="123">IFERROR(M113/N113,0)</f>
        <v>0</v>
      </c>
      <c r="AB113" s="4">
        <f>IFERROR(tbl_główna_GRACZE[[#This Row],[2pm]]/tbl_główna_GRACZE[[#This Row],[2pa]],0)</f>
        <v>0.5</v>
      </c>
      <c r="AC113" s="4">
        <f t="shared" ref="AC113:AC120" si="124">W113/(2*(J113+0.44*N113))</f>
        <v>0.50403225806451613</v>
      </c>
      <c r="AD113" s="4">
        <f t="shared" ref="AD113:AD120" si="125">(I113+0.5*K113)/J113</f>
        <v>0.5357142857142857</v>
      </c>
      <c r="AE113" s="11">
        <f t="shared" ref="AE113:AE120" si="126">R113+T113+U113+W113+X113-(J113-I113)-(N113-M113)</f>
        <v>21</v>
      </c>
      <c r="AF113" s="4">
        <f t="shared" ref="AF113:AF120" si="127">N113/J113</f>
        <v>0.14285714285714285</v>
      </c>
      <c r="AG113" s="4">
        <f t="shared" ref="AG113:AG120" si="128">L113/J113</f>
        <v>0.14285714285714285</v>
      </c>
      <c r="AH11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0.18031992244304412</v>
      </c>
      <c r="AI113" s="25">
        <f>tbl_główna_GRACZE[[#This Row],[pts]]*(40/tbl_główna_GRACZE[[#This Row],[min]])</f>
        <v>23.076923076923077</v>
      </c>
      <c r="AJ113" s="30">
        <f>tbl_główna_GRACZE[[#This Row],[reb total]]*(40/tbl_główna_GRACZE[[#This Row],[min]])</f>
        <v>13.846153846153847</v>
      </c>
      <c r="AK113" s="30">
        <f>tbl_główna_GRACZE[[#This Row],[asst]]*(40/tbl_główna_GRACZE[[#This Row],[min]])</f>
        <v>1.5384615384615385</v>
      </c>
      <c r="AL113" s="5">
        <f t="shared" ref="AL113:AL120" si="129">W113/J113</f>
        <v>1.0714285714285714</v>
      </c>
      <c r="AM113" s="5">
        <f>(tbl_główna_GRACZE[[#This Row],[stl]]+tbl_główna_GRACZE[[#This Row],[blk]])*(40/tbl_główna_GRACZE[[#This Row],[min]])</f>
        <v>7.6923076923076925</v>
      </c>
      <c r="AN11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0.45454545454545453</v>
      </c>
      <c r="AO113" s="25">
        <f>tbl_główna_GRACZE[[#This Row],[stl]]+tbl_główna_GRACZE[[#This Row],[blk]]+(tbl_główna_GRACZE[[#This Row],[dreb]]*0.5)</f>
        <v>8</v>
      </c>
      <c r="AP113" s="29">
        <f>(tbl_główna_GRACZE[[#This Row],[stl]]+tbl_główna_GRACZE[[#This Row],[blk]]+0.5*tbl_główna_GRACZE[[#This Row],[dreb]])/tbl_główna_GRACZE[[#This Row],[min]]</f>
        <v>0.30769230769230771</v>
      </c>
      <c r="AQ113" s="6">
        <f t="shared" ref="AQ113:AQ120" si="130">W113+0.4*I113-0.7*J113-0.4*(N113-M113)+0.7*O113+0.3*P113+R113+0.7*U113+0.7*T113</f>
        <v>16.8</v>
      </c>
      <c r="AR113" s="6">
        <f>tbl_główna_GRACZE[[#This Row],[GmSc]]*(40/tbl_główna_GRACZE[[#This Row],[min]])</f>
        <v>25.84615384615385</v>
      </c>
      <c r="AS113" s="6">
        <f>tbl_główna_GRACZE[[#This Row],[EVAL]]*(40/tbl_główna_GRACZE[[#This Row],[min]])</f>
        <v>32.307692307692307</v>
      </c>
      <c r="AT113" s="11">
        <f>tbl_główna_GRACZE[[#This Row],[fgm]]-tbl_główna_GRACZE[[#This Row],[3pm]]</f>
        <v>6</v>
      </c>
      <c r="AU113" s="11">
        <f>tbl_główna_GRACZE[[#This Row],[fga]]-tbl_główna_GRACZE[[#This Row],[3pa]]</f>
        <v>12</v>
      </c>
      <c r="AV113">
        <f>IF(tbl_główna_GRACZE[[#This Row],[min]]&gt;0,1,0)</f>
        <v>1</v>
      </c>
      <c r="AW113" s="58" t="str">
        <f>tbl_główna_GRACZE[[#This Row],[I. Nazwisko]]</f>
        <v>C. Mavity</v>
      </c>
    </row>
    <row r="114" spans="1:49" x14ac:dyDescent="0.35">
      <c r="A114" t="s">
        <v>52</v>
      </c>
      <c r="B114" t="s">
        <v>46</v>
      </c>
      <c r="C114" t="s">
        <v>58</v>
      </c>
      <c r="D114" t="str">
        <f>IF(C114="H",VLOOKUP($A114,tab_nazwy_zespołów[],2,0)&amp;VLOOKUP($B114,tab_nazwy_zespołów[],2,0),VLOOKUP($B114,tab_nazwy_zespołów[],2,0)&amp;VLOOKUP($A114,tab_nazwy_zespołów[],2,0))</f>
        <v>BYPWIL</v>
      </c>
      <c r="E114">
        <v>3</v>
      </c>
      <c r="F114">
        <f>COUNTIF(tbl_zawodnicy_sumy[I. Nazwisko],tbl_główna_GRACZE[[#This Row],[I. Nazwisko]])</f>
        <v>1</v>
      </c>
      <c r="G114" s="58" t="str">
        <f>RIGHT(tbl_główna_GRACZE[[#This Row],[Kolumna1]],LEN(tbl_główna_GRACZE[[#This Row],[Kolumna1]])-FIND(" ",tbl_główna_GRACZE[[#This Row],[Kolumna1]]))</f>
        <v>W. Sienkowski</v>
      </c>
      <c r="H114" s="2" t="s">
        <v>94</v>
      </c>
      <c r="I114" s="10">
        <v>4</v>
      </c>
      <c r="J114" s="10">
        <v>18</v>
      </c>
      <c r="K114" s="10">
        <v>3</v>
      </c>
      <c r="L114" s="10">
        <v>6</v>
      </c>
      <c r="M114" s="10">
        <v>0</v>
      </c>
      <c r="N114" s="10">
        <v>0</v>
      </c>
      <c r="O114" s="10">
        <v>1</v>
      </c>
      <c r="P114" s="10">
        <v>7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30</v>
      </c>
      <c r="W114" s="10">
        <v>11</v>
      </c>
      <c r="X114" s="57">
        <f t="shared" si="120"/>
        <v>8</v>
      </c>
      <c r="Y114" s="4">
        <f t="shared" si="121"/>
        <v>0.22222222222222221</v>
      </c>
      <c r="Z114" s="4">
        <f t="shared" si="122"/>
        <v>0.5</v>
      </c>
      <c r="AA114" s="4">
        <f t="shared" si="123"/>
        <v>0</v>
      </c>
      <c r="AB114" s="4">
        <f>IFERROR(tbl_główna_GRACZE[[#This Row],[2pm]]/tbl_główna_GRACZE[[#This Row],[2pa]],0)</f>
        <v>8.3333333333333329E-2</v>
      </c>
      <c r="AC114" s="4">
        <f t="shared" si="124"/>
        <v>0.30555555555555558</v>
      </c>
      <c r="AD114" s="4">
        <f t="shared" si="125"/>
        <v>0.30555555555555558</v>
      </c>
      <c r="AE114" s="11">
        <f t="shared" si="126"/>
        <v>7</v>
      </c>
      <c r="AF114" s="4">
        <f t="shared" si="127"/>
        <v>0</v>
      </c>
      <c r="AG114" s="4">
        <f t="shared" si="128"/>
        <v>0.33333333333333331</v>
      </c>
      <c r="AH11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0.21812893843916628</v>
      </c>
      <c r="AI114" s="25">
        <f>tbl_główna_GRACZE[[#This Row],[pts]]*(40/tbl_główna_GRACZE[[#This Row],[min]])</f>
        <v>14.666666666666666</v>
      </c>
      <c r="AJ114" s="30">
        <f>tbl_główna_GRACZE[[#This Row],[reb total]]*(40/tbl_główna_GRACZE[[#This Row],[min]])</f>
        <v>10.666666666666666</v>
      </c>
      <c r="AK114" s="30">
        <f>tbl_główna_GRACZE[[#This Row],[asst]]*(40/tbl_główna_GRACZE[[#This Row],[min]])</f>
        <v>2.6666666666666665</v>
      </c>
      <c r="AL114" s="5">
        <f t="shared" si="129"/>
        <v>0.61111111111111116</v>
      </c>
      <c r="AM114" s="5">
        <f>(tbl_główna_GRACZE[[#This Row],[stl]]+tbl_główna_GRACZE[[#This Row],[blk]])*(40/tbl_główna_GRACZE[[#This Row],[min]])</f>
        <v>0</v>
      </c>
      <c r="AN11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4" s="25">
        <f>tbl_główna_GRACZE[[#This Row],[stl]]+tbl_główna_GRACZE[[#This Row],[blk]]+(tbl_główna_GRACZE[[#This Row],[dreb]]*0.5)</f>
        <v>3.5</v>
      </c>
      <c r="AP114" s="29">
        <f>(tbl_główna_GRACZE[[#This Row],[stl]]+tbl_główna_GRACZE[[#This Row],[blk]]+0.5*tbl_główna_GRACZE[[#This Row],[dreb]])/tbl_główna_GRACZE[[#This Row],[min]]</f>
        <v>0.11666666666666667</v>
      </c>
      <c r="AQ114" s="6">
        <f t="shared" si="130"/>
        <v>4.1999999999999993</v>
      </c>
      <c r="AR114" s="6">
        <f>tbl_główna_GRACZE[[#This Row],[GmSc]]*(40/tbl_główna_GRACZE[[#This Row],[min]])</f>
        <v>5.5999999999999988</v>
      </c>
      <c r="AS114" s="6">
        <f>tbl_główna_GRACZE[[#This Row],[EVAL]]*(40/tbl_główna_GRACZE[[#This Row],[min]])</f>
        <v>9.3333333333333321</v>
      </c>
      <c r="AT114" s="11">
        <f>tbl_główna_GRACZE[[#This Row],[fgm]]-tbl_główna_GRACZE[[#This Row],[3pm]]</f>
        <v>1</v>
      </c>
      <c r="AU114" s="11">
        <f>tbl_główna_GRACZE[[#This Row],[fga]]-tbl_główna_GRACZE[[#This Row],[3pa]]</f>
        <v>12</v>
      </c>
      <c r="AV114">
        <f>IF(tbl_główna_GRACZE[[#This Row],[min]]&gt;0,1,0)</f>
        <v>1</v>
      </c>
      <c r="AW114" s="58" t="str">
        <f>tbl_główna_GRACZE[[#This Row],[I. Nazwisko]]</f>
        <v>W. Sienkowski</v>
      </c>
    </row>
    <row r="115" spans="1:49" x14ac:dyDescent="0.35">
      <c r="A115" t="s">
        <v>52</v>
      </c>
      <c r="B115" t="s">
        <v>46</v>
      </c>
      <c r="C115" t="s">
        <v>58</v>
      </c>
      <c r="D115" t="str">
        <f>IF(C115="H",VLOOKUP($A115,tab_nazwy_zespołów[],2,0)&amp;VLOOKUP($B115,tab_nazwy_zespołów[],2,0),VLOOKUP($B115,tab_nazwy_zespołów[],2,0)&amp;VLOOKUP($A115,tab_nazwy_zespołów[],2,0))</f>
        <v>BYPWIL</v>
      </c>
      <c r="E115">
        <v>3</v>
      </c>
      <c r="F115">
        <f>COUNTIF(tbl_zawodnicy_sumy[I. Nazwisko],tbl_główna_GRACZE[[#This Row],[I. Nazwisko]])</f>
        <v>1</v>
      </c>
      <c r="G115" s="58" t="str">
        <f>RIGHT(tbl_główna_GRACZE[[#This Row],[Kolumna1]],LEN(tbl_główna_GRACZE[[#This Row],[Kolumna1]])-FIND(" ",tbl_główna_GRACZE[[#This Row],[Kolumna1]]))</f>
        <v>Ł. Bułanowski</v>
      </c>
      <c r="H115" s="2" t="s">
        <v>91</v>
      </c>
      <c r="I115" s="10">
        <v>3</v>
      </c>
      <c r="J115" s="10">
        <v>5</v>
      </c>
      <c r="K115" s="10">
        <v>0</v>
      </c>
      <c r="L115" s="10">
        <v>0</v>
      </c>
      <c r="M115" s="10">
        <v>1</v>
      </c>
      <c r="N115" s="10">
        <v>2</v>
      </c>
      <c r="O115" s="10">
        <v>4</v>
      </c>
      <c r="P115" s="10">
        <v>1</v>
      </c>
      <c r="Q115" s="10">
        <v>5</v>
      </c>
      <c r="R115" s="10">
        <v>0</v>
      </c>
      <c r="S115" s="10">
        <v>0</v>
      </c>
      <c r="T115" s="10">
        <v>0</v>
      </c>
      <c r="U115" s="10">
        <v>0</v>
      </c>
      <c r="V115" s="10">
        <v>10</v>
      </c>
      <c r="W115" s="10">
        <v>7</v>
      </c>
      <c r="X115" s="57">
        <f t="shared" si="120"/>
        <v>5</v>
      </c>
      <c r="Y115" s="4">
        <f t="shared" si="121"/>
        <v>0.6</v>
      </c>
      <c r="Z115" s="4">
        <f t="shared" si="122"/>
        <v>0</v>
      </c>
      <c r="AA115" s="4">
        <f t="shared" si="123"/>
        <v>0.5</v>
      </c>
      <c r="AB115" s="4">
        <f>IFERROR(tbl_główna_GRACZE[[#This Row],[2pm]]/tbl_główna_GRACZE[[#This Row],[2pa]],0)</f>
        <v>0.6</v>
      </c>
      <c r="AC115" s="4">
        <f t="shared" si="124"/>
        <v>0.59523809523809523</v>
      </c>
      <c r="AD115" s="4">
        <f t="shared" si="125"/>
        <v>0.6</v>
      </c>
      <c r="AE115" s="11">
        <f t="shared" si="126"/>
        <v>9</v>
      </c>
      <c r="AF115" s="4">
        <f t="shared" si="127"/>
        <v>0.4</v>
      </c>
      <c r="AG115" s="4">
        <f t="shared" si="128"/>
        <v>0</v>
      </c>
      <c r="AH11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7.1255453223460982E-2</v>
      </c>
      <c r="AI115" s="25">
        <f>tbl_główna_GRACZE[[#This Row],[pts]]*(40/tbl_główna_GRACZE[[#This Row],[min]])</f>
        <v>28</v>
      </c>
      <c r="AJ115" s="30">
        <f>tbl_główna_GRACZE[[#This Row],[reb total]]*(40/tbl_główna_GRACZE[[#This Row],[min]])</f>
        <v>20</v>
      </c>
      <c r="AK115" s="30">
        <f>tbl_główna_GRACZE[[#This Row],[asst]]*(40/tbl_główna_GRACZE[[#This Row],[min]])</f>
        <v>0</v>
      </c>
      <c r="AL115" s="5">
        <f t="shared" si="129"/>
        <v>1.4</v>
      </c>
      <c r="AM115" s="5">
        <f>(tbl_główna_GRACZE[[#This Row],[stl]]+tbl_główna_GRACZE[[#This Row],[blk]])*(40/tbl_główna_GRACZE[[#This Row],[min]])</f>
        <v>0</v>
      </c>
      <c r="AN11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5" s="25">
        <f>tbl_główna_GRACZE[[#This Row],[stl]]+tbl_główna_GRACZE[[#This Row],[blk]]+(tbl_główna_GRACZE[[#This Row],[dreb]]*0.5)</f>
        <v>0.5</v>
      </c>
      <c r="AP115" s="29">
        <f>(tbl_główna_GRACZE[[#This Row],[stl]]+tbl_główna_GRACZE[[#This Row],[blk]]+0.5*tbl_główna_GRACZE[[#This Row],[dreb]])/tbl_główna_GRACZE[[#This Row],[min]]</f>
        <v>0.05</v>
      </c>
      <c r="AQ115" s="6">
        <f t="shared" si="130"/>
        <v>7.3999999999999986</v>
      </c>
      <c r="AR115" s="6">
        <f>tbl_główna_GRACZE[[#This Row],[GmSc]]*(40/tbl_główna_GRACZE[[#This Row],[min]])</f>
        <v>29.599999999999994</v>
      </c>
      <c r="AS115" s="6">
        <f>tbl_główna_GRACZE[[#This Row],[EVAL]]*(40/tbl_główna_GRACZE[[#This Row],[min]])</f>
        <v>36</v>
      </c>
      <c r="AT115" s="11">
        <f>tbl_główna_GRACZE[[#This Row],[fgm]]-tbl_główna_GRACZE[[#This Row],[3pm]]</f>
        <v>3</v>
      </c>
      <c r="AU115" s="11">
        <f>tbl_główna_GRACZE[[#This Row],[fga]]-tbl_główna_GRACZE[[#This Row],[3pa]]</f>
        <v>5</v>
      </c>
      <c r="AV115">
        <f>IF(tbl_główna_GRACZE[[#This Row],[min]]&gt;0,1,0)</f>
        <v>1</v>
      </c>
      <c r="AW115" s="58" t="str">
        <f>tbl_główna_GRACZE[[#This Row],[I. Nazwisko]]</f>
        <v>Ł. Bułanowski</v>
      </c>
    </row>
    <row r="116" spans="1:49" x14ac:dyDescent="0.35">
      <c r="A116" t="s">
        <v>52</v>
      </c>
      <c r="B116" t="s">
        <v>46</v>
      </c>
      <c r="C116" t="s">
        <v>58</v>
      </c>
      <c r="D116" t="str">
        <f>IF(C116="H",VLOOKUP($A116,tab_nazwy_zespołów[],2,0)&amp;VLOOKUP($B116,tab_nazwy_zespołów[],2,0),VLOOKUP($B116,tab_nazwy_zespołów[],2,0)&amp;VLOOKUP($A116,tab_nazwy_zespołów[],2,0))</f>
        <v>BYPWIL</v>
      </c>
      <c r="E116">
        <v>3</v>
      </c>
      <c r="F116">
        <f>COUNTIF(tbl_zawodnicy_sumy[I. Nazwisko],tbl_główna_GRACZE[[#This Row],[I. Nazwisko]])</f>
        <v>1</v>
      </c>
      <c r="G116" s="58" t="str">
        <f>RIGHT(tbl_główna_GRACZE[[#This Row],[Kolumna1]],LEN(tbl_główna_GRACZE[[#This Row],[Kolumna1]])-FIND(" ",tbl_główna_GRACZE[[#This Row],[Kolumna1]]))</f>
        <v>D. Sobański</v>
      </c>
      <c r="H116" s="2" t="s">
        <v>93</v>
      </c>
      <c r="I116" s="10">
        <v>2</v>
      </c>
      <c r="J116" s="10">
        <v>23</v>
      </c>
      <c r="K116" s="10">
        <v>1</v>
      </c>
      <c r="L116" s="10">
        <v>5</v>
      </c>
      <c r="M116" s="10">
        <v>1</v>
      </c>
      <c r="N116" s="10">
        <v>2</v>
      </c>
      <c r="O116" s="10">
        <v>5</v>
      </c>
      <c r="P116" s="10">
        <v>5</v>
      </c>
      <c r="Q116" s="10">
        <v>4</v>
      </c>
      <c r="R116" s="10">
        <v>3</v>
      </c>
      <c r="S116" s="10">
        <v>0</v>
      </c>
      <c r="T116" s="10">
        <v>0</v>
      </c>
      <c r="U116" s="10">
        <v>5</v>
      </c>
      <c r="V116" s="10">
        <v>30</v>
      </c>
      <c r="W116" s="10">
        <v>6</v>
      </c>
      <c r="X116" s="57">
        <f t="shared" si="120"/>
        <v>10</v>
      </c>
      <c r="Y116" s="4">
        <f t="shared" si="121"/>
        <v>8.6956521739130432E-2</v>
      </c>
      <c r="Z116" s="4">
        <f t="shared" si="122"/>
        <v>0.2</v>
      </c>
      <c r="AA116" s="4">
        <f t="shared" si="123"/>
        <v>0.5</v>
      </c>
      <c r="AB116" s="4">
        <f>IFERROR(tbl_główna_GRACZE[[#This Row],[2pm]]/tbl_główna_GRACZE[[#This Row],[2pa]],0)</f>
        <v>5.5555555555555552E-2</v>
      </c>
      <c r="AC116" s="4">
        <f t="shared" si="124"/>
        <v>0.1256281407035176</v>
      </c>
      <c r="AD116" s="4">
        <f t="shared" si="125"/>
        <v>0.10869565217391304</v>
      </c>
      <c r="AE116" s="11">
        <f>R116+T116+U116+W116+X116-(J116-I116)-(N116-M116)</f>
        <v>2</v>
      </c>
      <c r="AF116" s="4">
        <f t="shared" si="127"/>
        <v>8.6956521739130432E-2</v>
      </c>
      <c r="AG116" s="4">
        <f t="shared" si="128"/>
        <v>0.21739130434782608</v>
      </c>
      <c r="AH11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0.28938439166262725</v>
      </c>
      <c r="AI116" s="25">
        <f>tbl_główna_GRACZE[[#This Row],[pts]]*(40/tbl_główna_GRACZE[[#This Row],[min]])</f>
        <v>8</v>
      </c>
      <c r="AJ116" s="30">
        <f>tbl_główna_GRACZE[[#This Row],[reb total]]*(40/tbl_główna_GRACZE[[#This Row],[min]])</f>
        <v>13.333333333333332</v>
      </c>
      <c r="AK116" s="30">
        <f>tbl_główna_GRACZE[[#This Row],[asst]]*(40/tbl_główna_GRACZE[[#This Row],[min]])</f>
        <v>6.6666666666666661</v>
      </c>
      <c r="AL116" s="5">
        <f t="shared" si="129"/>
        <v>0.2608695652173913</v>
      </c>
      <c r="AM116" s="5">
        <f>(tbl_główna_GRACZE[[#This Row],[stl]]+tbl_główna_GRACZE[[#This Row],[blk]])*(40/tbl_główna_GRACZE[[#This Row],[min]])</f>
        <v>4</v>
      </c>
      <c r="AN11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0.27272727272727271</v>
      </c>
      <c r="AO116" s="25">
        <f>tbl_główna_GRACZE[[#This Row],[stl]]+tbl_główna_GRACZE[[#This Row],[blk]]+(tbl_główna_GRACZE[[#This Row],[dreb]]*0.5)</f>
        <v>5.5</v>
      </c>
      <c r="AP116" s="29">
        <f>(tbl_główna_GRACZE[[#This Row],[stl]]+tbl_główna_GRACZE[[#This Row],[blk]]+0.5*tbl_główna_GRACZE[[#This Row],[dreb]])/tbl_główna_GRACZE[[#This Row],[min]]</f>
        <v>0.18333333333333332</v>
      </c>
      <c r="AQ116" s="6">
        <f t="shared" si="130"/>
        <v>1.8000000000000025</v>
      </c>
      <c r="AR116" s="6">
        <f>tbl_główna_GRACZE[[#This Row],[GmSc]]*(40/tbl_główna_GRACZE[[#This Row],[min]])</f>
        <v>2.400000000000003</v>
      </c>
      <c r="AS116" s="6">
        <f>tbl_główna_GRACZE[[#This Row],[EVAL]]*(40/tbl_główna_GRACZE[[#This Row],[min]])</f>
        <v>2.6666666666666665</v>
      </c>
      <c r="AT116" s="11">
        <f>tbl_główna_GRACZE[[#This Row],[fgm]]-tbl_główna_GRACZE[[#This Row],[3pm]]</f>
        <v>1</v>
      </c>
      <c r="AU116" s="11">
        <f>tbl_główna_GRACZE[[#This Row],[fga]]-tbl_główna_GRACZE[[#This Row],[3pa]]</f>
        <v>18</v>
      </c>
      <c r="AV116">
        <f>IF(tbl_główna_GRACZE[[#This Row],[min]]&gt;0,1,0)</f>
        <v>1</v>
      </c>
      <c r="AW116" s="58" t="str">
        <f>tbl_główna_GRACZE[[#This Row],[I. Nazwisko]]</f>
        <v>D. Sobański</v>
      </c>
    </row>
    <row r="117" spans="1:49" x14ac:dyDescent="0.35">
      <c r="A117" t="s">
        <v>52</v>
      </c>
      <c r="B117" t="s">
        <v>46</v>
      </c>
      <c r="C117" t="s">
        <v>58</v>
      </c>
      <c r="D117" t="str">
        <f>IF(C117="H",VLOOKUP($A117,tab_nazwy_zespołów[],2,0)&amp;VLOOKUP($B117,tab_nazwy_zespołów[],2,0),VLOOKUP($B117,tab_nazwy_zespołów[],2,0)&amp;VLOOKUP($A117,tab_nazwy_zespołów[],2,0))</f>
        <v>BYPWIL</v>
      </c>
      <c r="E117">
        <v>3</v>
      </c>
      <c r="F117">
        <f>COUNTIF(tbl_zawodnicy_sumy[I. Nazwisko],tbl_główna_GRACZE[[#This Row],[I. Nazwisko]])</f>
        <v>1</v>
      </c>
      <c r="G117" s="58" t="str">
        <f>RIGHT(tbl_główna_GRACZE[[#This Row],[Kolumna1]],LEN(tbl_główna_GRACZE[[#This Row],[Kolumna1]])-FIND(" ",tbl_główna_GRACZE[[#This Row],[Kolumna1]]))</f>
        <v>M. Nagrodzki</v>
      </c>
      <c r="H117" s="2" t="s">
        <v>96</v>
      </c>
      <c r="I117" s="10">
        <v>3</v>
      </c>
      <c r="J117" s="10">
        <v>8</v>
      </c>
      <c r="K117" s="10">
        <v>0</v>
      </c>
      <c r="L117" s="10">
        <v>0</v>
      </c>
      <c r="M117" s="10">
        <v>0</v>
      </c>
      <c r="N117" s="10">
        <v>2</v>
      </c>
      <c r="O117" s="10">
        <v>3</v>
      </c>
      <c r="P117" s="10">
        <v>2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12</v>
      </c>
      <c r="W117" s="10">
        <v>6</v>
      </c>
      <c r="X117" s="57">
        <f t="shared" si="120"/>
        <v>5</v>
      </c>
      <c r="Y117" s="4">
        <f t="shared" si="121"/>
        <v>0.375</v>
      </c>
      <c r="Z117" s="4">
        <f t="shared" si="122"/>
        <v>0</v>
      </c>
      <c r="AA117" s="4">
        <f t="shared" si="123"/>
        <v>0</v>
      </c>
      <c r="AB117" s="4">
        <f>IFERROR(tbl_główna_GRACZE[[#This Row],[2pm]]/tbl_główna_GRACZE[[#This Row],[2pa]],0)</f>
        <v>0.375</v>
      </c>
      <c r="AC117" s="4">
        <f t="shared" si="124"/>
        <v>0.33783783783783783</v>
      </c>
      <c r="AD117" s="4">
        <f t="shared" si="125"/>
        <v>0.375</v>
      </c>
      <c r="AE117" s="11">
        <f t="shared" si="126"/>
        <v>4</v>
      </c>
      <c r="AF117" s="4">
        <f t="shared" si="127"/>
        <v>0.25</v>
      </c>
      <c r="AG117" s="4">
        <f t="shared" si="128"/>
        <v>0</v>
      </c>
      <c r="AH11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0.10761027629665537</v>
      </c>
      <c r="AI117" s="25">
        <f>tbl_główna_GRACZE[[#This Row],[pts]]*(40/tbl_główna_GRACZE[[#This Row],[min]])</f>
        <v>20</v>
      </c>
      <c r="AJ117" s="30">
        <f>tbl_główna_GRACZE[[#This Row],[reb total]]*(40/tbl_główna_GRACZE[[#This Row],[min]])</f>
        <v>16.666666666666668</v>
      </c>
      <c r="AK117" s="30">
        <f>tbl_główna_GRACZE[[#This Row],[asst]]*(40/tbl_główna_GRACZE[[#This Row],[min]])</f>
        <v>0</v>
      </c>
      <c r="AL117" s="5">
        <f t="shared" si="129"/>
        <v>0.75</v>
      </c>
      <c r="AM117" s="5">
        <f>(tbl_główna_GRACZE[[#This Row],[stl]]+tbl_główna_GRACZE[[#This Row],[blk]])*(40/tbl_główna_GRACZE[[#This Row],[min]])</f>
        <v>0</v>
      </c>
      <c r="AN11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7" s="25">
        <f>tbl_główna_GRACZE[[#This Row],[stl]]+tbl_główna_GRACZE[[#This Row],[blk]]+(tbl_główna_GRACZE[[#This Row],[dreb]]*0.5)</f>
        <v>1</v>
      </c>
      <c r="AP117" s="29">
        <f>(tbl_główna_GRACZE[[#This Row],[stl]]+tbl_główna_GRACZE[[#This Row],[blk]]+0.5*tbl_główna_GRACZE[[#This Row],[dreb]])/tbl_główna_GRACZE[[#This Row],[min]]</f>
        <v>8.3333333333333329E-2</v>
      </c>
      <c r="AQ117" s="6">
        <f t="shared" si="130"/>
        <v>3.5000000000000004</v>
      </c>
      <c r="AR117" s="6">
        <f>tbl_główna_GRACZE[[#This Row],[GmSc]]*(40/tbl_główna_GRACZE[[#This Row],[min]])</f>
        <v>11.666666666666668</v>
      </c>
      <c r="AS117" s="6">
        <f>tbl_główna_GRACZE[[#This Row],[EVAL]]*(40/tbl_główna_GRACZE[[#This Row],[min]])</f>
        <v>13.333333333333334</v>
      </c>
      <c r="AT117" s="11">
        <f>tbl_główna_GRACZE[[#This Row],[fgm]]-tbl_główna_GRACZE[[#This Row],[3pm]]</f>
        <v>3</v>
      </c>
      <c r="AU117" s="11">
        <f>tbl_główna_GRACZE[[#This Row],[fga]]-tbl_główna_GRACZE[[#This Row],[3pa]]</f>
        <v>8</v>
      </c>
      <c r="AV117">
        <f>IF(tbl_główna_GRACZE[[#This Row],[min]]&gt;0,1,0)</f>
        <v>1</v>
      </c>
      <c r="AW117" s="58" t="str">
        <f>tbl_główna_GRACZE[[#This Row],[I. Nazwisko]]</f>
        <v>M. Nagrodzki</v>
      </c>
    </row>
    <row r="118" spans="1:49" x14ac:dyDescent="0.35">
      <c r="A118" t="s">
        <v>52</v>
      </c>
      <c r="B118" t="s">
        <v>46</v>
      </c>
      <c r="C118" t="s">
        <v>58</v>
      </c>
      <c r="D118" t="str">
        <f>IF(C118="H",VLOOKUP($A118,tab_nazwy_zespołów[],2,0)&amp;VLOOKUP($B118,tab_nazwy_zespołów[],2,0),VLOOKUP($B118,tab_nazwy_zespołów[],2,0)&amp;VLOOKUP($A118,tab_nazwy_zespołów[],2,0))</f>
        <v>BYPWIL</v>
      </c>
      <c r="E118">
        <v>3</v>
      </c>
      <c r="F118">
        <f>COUNTIF(tbl_zawodnicy_sumy[I. Nazwisko],tbl_główna_GRACZE[[#This Row],[I. Nazwisko]])</f>
        <v>1</v>
      </c>
      <c r="G118" s="58" t="str">
        <f>RIGHT(tbl_główna_GRACZE[[#This Row],[Kolumna1]],LEN(tbl_główna_GRACZE[[#This Row],[Kolumna1]])-FIND(" ",tbl_główna_GRACZE[[#This Row],[Kolumna1]]))</f>
        <v>M. Karczmarczyk</v>
      </c>
      <c r="H118" s="2" t="s">
        <v>95</v>
      </c>
      <c r="I118" s="10">
        <v>2</v>
      </c>
      <c r="J118" s="10">
        <v>3</v>
      </c>
      <c r="K118" s="10">
        <v>0</v>
      </c>
      <c r="L118" s="10">
        <v>0</v>
      </c>
      <c r="M118" s="10">
        <v>0</v>
      </c>
      <c r="N118" s="10">
        <v>0</v>
      </c>
      <c r="O118" s="10">
        <v>2</v>
      </c>
      <c r="P118" s="10">
        <v>3</v>
      </c>
      <c r="Q118" s="10">
        <v>1</v>
      </c>
      <c r="R118" s="10">
        <v>1</v>
      </c>
      <c r="S118" s="10">
        <v>0</v>
      </c>
      <c r="T118" s="10">
        <v>0</v>
      </c>
      <c r="U118" s="10">
        <v>0</v>
      </c>
      <c r="V118" s="10">
        <v>16</v>
      </c>
      <c r="W118" s="10">
        <v>4</v>
      </c>
      <c r="X118" s="57">
        <f t="shared" si="120"/>
        <v>5</v>
      </c>
      <c r="Y118" s="4">
        <f t="shared" si="121"/>
        <v>0.66666666666666663</v>
      </c>
      <c r="Z118" s="4">
        <f t="shared" si="122"/>
        <v>0</v>
      </c>
      <c r="AA118" s="4">
        <f t="shared" si="123"/>
        <v>0</v>
      </c>
      <c r="AB118" s="4">
        <f>IFERROR(tbl_główna_GRACZE[[#This Row],[2pm]]/tbl_główna_GRACZE[[#This Row],[2pa]],0)</f>
        <v>0.66666666666666663</v>
      </c>
      <c r="AC118" s="4">
        <f t="shared" si="124"/>
        <v>0.66666666666666663</v>
      </c>
      <c r="AD118" s="4">
        <f t="shared" si="125"/>
        <v>0.66666666666666663</v>
      </c>
      <c r="AE118" s="11">
        <f t="shared" si="126"/>
        <v>9</v>
      </c>
      <c r="AF118" s="4">
        <f t="shared" si="127"/>
        <v>0</v>
      </c>
      <c r="AG118" s="4">
        <f t="shared" si="128"/>
        <v>0</v>
      </c>
      <c r="AH11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3.6354823073194376E-2</v>
      </c>
      <c r="AI118" s="25">
        <f>tbl_główna_GRACZE[[#This Row],[pts]]*(40/tbl_główna_GRACZE[[#This Row],[min]])</f>
        <v>10</v>
      </c>
      <c r="AJ118" s="30">
        <f>tbl_główna_GRACZE[[#This Row],[reb total]]*(40/tbl_główna_GRACZE[[#This Row],[min]])</f>
        <v>12.5</v>
      </c>
      <c r="AK118" s="30">
        <f>tbl_główna_GRACZE[[#This Row],[asst]]*(40/tbl_główna_GRACZE[[#This Row],[min]])</f>
        <v>0</v>
      </c>
      <c r="AL118" s="5">
        <f t="shared" si="129"/>
        <v>1.3333333333333333</v>
      </c>
      <c r="AM118" s="5">
        <f>(tbl_główna_GRACZE[[#This Row],[stl]]+tbl_główna_GRACZE[[#This Row],[blk]])*(40/tbl_główna_GRACZE[[#This Row],[min]])</f>
        <v>2.5</v>
      </c>
      <c r="AN11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118" s="25">
        <f>tbl_główna_GRACZE[[#This Row],[stl]]+tbl_główna_GRACZE[[#This Row],[blk]]+(tbl_główna_GRACZE[[#This Row],[dreb]]*0.5)</f>
        <v>2.5</v>
      </c>
      <c r="AP118" s="29">
        <f>(tbl_główna_GRACZE[[#This Row],[stl]]+tbl_główna_GRACZE[[#This Row],[blk]]+0.5*tbl_główna_GRACZE[[#This Row],[dreb]])/tbl_główna_GRACZE[[#This Row],[min]]</f>
        <v>0.15625</v>
      </c>
      <c r="AQ118" s="6">
        <f t="shared" si="130"/>
        <v>6</v>
      </c>
      <c r="AR118" s="6">
        <f>tbl_główna_GRACZE[[#This Row],[GmSc]]*(40/tbl_główna_GRACZE[[#This Row],[min]])</f>
        <v>15</v>
      </c>
      <c r="AS118" s="6">
        <f>tbl_główna_GRACZE[[#This Row],[EVAL]]*(40/tbl_główna_GRACZE[[#This Row],[min]])</f>
        <v>22.5</v>
      </c>
      <c r="AT118" s="11">
        <f>tbl_główna_GRACZE[[#This Row],[fgm]]-tbl_główna_GRACZE[[#This Row],[3pm]]</f>
        <v>2</v>
      </c>
      <c r="AU118" s="11">
        <f>tbl_główna_GRACZE[[#This Row],[fga]]-tbl_główna_GRACZE[[#This Row],[3pa]]</f>
        <v>3</v>
      </c>
      <c r="AV118">
        <f>IF(tbl_główna_GRACZE[[#This Row],[min]]&gt;0,1,0)</f>
        <v>1</v>
      </c>
      <c r="AW118" s="58" t="str">
        <f>tbl_główna_GRACZE[[#This Row],[I. Nazwisko]]</f>
        <v>M. Karczmarczyk</v>
      </c>
    </row>
    <row r="119" spans="1:49" x14ac:dyDescent="0.35">
      <c r="A119" t="s">
        <v>52</v>
      </c>
      <c r="B119" t="s">
        <v>46</v>
      </c>
      <c r="C119" t="s">
        <v>58</v>
      </c>
      <c r="D119" t="str">
        <f>IF(C119="H",VLOOKUP($A119,tab_nazwy_zespołów[],2,0)&amp;VLOOKUP($B119,tab_nazwy_zespołów[],2,0),VLOOKUP($B119,tab_nazwy_zespołów[],2,0)&amp;VLOOKUP($A119,tab_nazwy_zespołów[],2,0))</f>
        <v>BYPWIL</v>
      </c>
      <c r="E119">
        <v>3</v>
      </c>
      <c r="F119">
        <f>COUNTIF(tbl_zawodnicy_sumy[I. Nazwisko],tbl_główna_GRACZE[[#This Row],[I. Nazwisko]])</f>
        <v>1</v>
      </c>
      <c r="G119" s="58" t="str">
        <f>RIGHT(tbl_główna_GRACZE[[#This Row],[Kolumna1]],LEN(tbl_główna_GRACZE[[#This Row],[Kolumna1]])-FIND(" ",tbl_główna_GRACZE[[#This Row],[Kolumna1]]))</f>
        <v>J. Karolczuk</v>
      </c>
      <c r="H119" s="2" t="s">
        <v>97</v>
      </c>
      <c r="I119" s="10">
        <v>1</v>
      </c>
      <c r="J119" s="10">
        <v>6</v>
      </c>
      <c r="K119" s="10">
        <v>0</v>
      </c>
      <c r="L119" s="10">
        <v>0</v>
      </c>
      <c r="M119" s="10">
        <v>0</v>
      </c>
      <c r="N119" s="10">
        <v>0</v>
      </c>
      <c r="O119" s="10">
        <v>1</v>
      </c>
      <c r="P119" s="10">
        <v>2</v>
      </c>
      <c r="Q119" s="10">
        <v>0</v>
      </c>
      <c r="R119" s="10">
        <v>1</v>
      </c>
      <c r="S119" s="10">
        <v>0</v>
      </c>
      <c r="T119" s="10">
        <v>1</v>
      </c>
      <c r="U119" s="10">
        <v>0</v>
      </c>
      <c r="V119" s="10">
        <v>20</v>
      </c>
      <c r="W119" s="10">
        <v>2</v>
      </c>
      <c r="X119" s="57">
        <f t="shared" si="120"/>
        <v>3</v>
      </c>
      <c r="Y119" s="4">
        <f t="shared" si="121"/>
        <v>0.16666666666666666</v>
      </c>
      <c r="Z119" s="4">
        <f t="shared" si="122"/>
        <v>0</v>
      </c>
      <c r="AA119" s="4">
        <f t="shared" si="123"/>
        <v>0</v>
      </c>
      <c r="AB119" s="4">
        <f>IFERROR(tbl_główna_GRACZE[[#This Row],[2pm]]/tbl_główna_GRACZE[[#This Row],[2pa]],0)</f>
        <v>0.16666666666666666</v>
      </c>
      <c r="AC119" s="4">
        <f t="shared" si="124"/>
        <v>0.16666666666666666</v>
      </c>
      <c r="AD119" s="4">
        <f t="shared" si="125"/>
        <v>0.16666666666666666</v>
      </c>
      <c r="AE119" s="11">
        <f t="shared" si="126"/>
        <v>2</v>
      </c>
      <c r="AF119" s="4">
        <f t="shared" si="127"/>
        <v>0</v>
      </c>
      <c r="AG119" s="4">
        <f t="shared" si="128"/>
        <v>0</v>
      </c>
      <c r="AH11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7.2709646146388751E-2</v>
      </c>
      <c r="AI119" s="25">
        <f>tbl_główna_GRACZE[[#This Row],[pts]]*(40/tbl_główna_GRACZE[[#This Row],[min]])</f>
        <v>4</v>
      </c>
      <c r="AJ119" s="30">
        <f>tbl_główna_GRACZE[[#This Row],[reb total]]*(40/tbl_główna_GRACZE[[#This Row],[min]])</f>
        <v>6</v>
      </c>
      <c r="AK119" s="30">
        <f>tbl_główna_GRACZE[[#This Row],[asst]]*(40/tbl_główna_GRACZE[[#This Row],[min]])</f>
        <v>0</v>
      </c>
      <c r="AL119" s="5">
        <f t="shared" si="129"/>
        <v>0.33333333333333331</v>
      </c>
      <c r="AM119" s="5">
        <f>(tbl_główna_GRACZE[[#This Row],[stl]]+tbl_główna_GRACZE[[#This Row],[blk]])*(40/tbl_główna_GRACZE[[#This Row],[min]])</f>
        <v>4</v>
      </c>
      <c r="AN11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0.18181818181818182</v>
      </c>
      <c r="AO119" s="25">
        <f>tbl_główna_GRACZE[[#This Row],[stl]]+tbl_główna_GRACZE[[#This Row],[blk]]+(tbl_główna_GRACZE[[#This Row],[dreb]]*0.5)</f>
        <v>3</v>
      </c>
      <c r="AP119" s="29">
        <f>(tbl_główna_GRACZE[[#This Row],[stl]]+tbl_główna_GRACZE[[#This Row],[blk]]+0.5*tbl_główna_GRACZE[[#This Row],[dreb]])/tbl_główna_GRACZE[[#This Row],[min]]</f>
        <v>0.15</v>
      </c>
      <c r="AQ119" s="6">
        <f t="shared" si="130"/>
        <v>1.2000000000000006</v>
      </c>
      <c r="AR119" s="6">
        <f>tbl_główna_GRACZE[[#This Row],[GmSc]]*(40/tbl_główna_GRACZE[[#This Row],[min]])</f>
        <v>2.4000000000000012</v>
      </c>
      <c r="AS119" s="6">
        <f>tbl_główna_GRACZE[[#This Row],[EVAL]]*(40/tbl_główna_GRACZE[[#This Row],[min]])</f>
        <v>4</v>
      </c>
      <c r="AT119" s="11">
        <f>tbl_główna_GRACZE[[#This Row],[fgm]]-tbl_główna_GRACZE[[#This Row],[3pm]]</f>
        <v>1</v>
      </c>
      <c r="AU119" s="11">
        <f>tbl_główna_GRACZE[[#This Row],[fga]]-tbl_główna_GRACZE[[#This Row],[3pa]]</f>
        <v>6</v>
      </c>
      <c r="AV119">
        <f>IF(tbl_główna_GRACZE[[#This Row],[min]]&gt;0,1,0)</f>
        <v>1</v>
      </c>
      <c r="AW119" s="58" t="str">
        <f>tbl_główna_GRACZE[[#This Row],[I. Nazwisko]]</f>
        <v>J. Karolczuk</v>
      </c>
    </row>
    <row r="120" spans="1:49" x14ac:dyDescent="0.35">
      <c r="A120" t="s">
        <v>52</v>
      </c>
      <c r="B120" t="s">
        <v>46</v>
      </c>
      <c r="C120" t="s">
        <v>58</v>
      </c>
      <c r="D120" t="str">
        <f>IF(C120="H",VLOOKUP($A120,tab_nazwy_zespołów[],2,0)&amp;VLOOKUP($B120,tab_nazwy_zespołów[],2,0),VLOOKUP($B120,tab_nazwy_zespołów[],2,0)&amp;VLOOKUP($A120,tab_nazwy_zespołów[],2,0))</f>
        <v>BYPWIL</v>
      </c>
      <c r="E120">
        <v>3</v>
      </c>
      <c r="F120">
        <f>COUNTIF(tbl_zawodnicy_sumy[I. Nazwisko],tbl_główna_GRACZE[[#This Row],[I. Nazwisko]])</f>
        <v>1</v>
      </c>
      <c r="G120" s="58" t="str">
        <f>RIGHT(tbl_główna_GRACZE[[#This Row],[Kolumna1]],LEN(tbl_główna_GRACZE[[#This Row],[Kolumna1]])-FIND(" ",tbl_główna_GRACZE[[#This Row],[Kolumna1]]))</f>
        <v>G. Jusiński</v>
      </c>
      <c r="H120" s="2" t="s">
        <v>387</v>
      </c>
      <c r="I120" s="10">
        <v>0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  <c r="O120" s="10">
        <v>1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3</v>
      </c>
      <c r="W120" s="10">
        <v>0</v>
      </c>
      <c r="X120" s="57">
        <f t="shared" si="120"/>
        <v>1</v>
      </c>
      <c r="Y120" s="4">
        <f t="shared" si="121"/>
        <v>0</v>
      </c>
      <c r="Z120" s="4">
        <f t="shared" si="122"/>
        <v>0</v>
      </c>
      <c r="AA120" s="4">
        <f t="shared" si="123"/>
        <v>0</v>
      </c>
      <c r="AB120" s="4">
        <f>IFERROR(tbl_główna_GRACZE[[#This Row],[2pm]]/tbl_główna_GRACZE[[#This Row],[2pa]],0)</f>
        <v>0</v>
      </c>
      <c r="AC120" s="4">
        <f t="shared" si="124"/>
        <v>0</v>
      </c>
      <c r="AD120" s="4">
        <f t="shared" si="125"/>
        <v>0</v>
      </c>
      <c r="AE120" s="11">
        <f t="shared" si="126"/>
        <v>-1</v>
      </c>
      <c r="AF120" s="4">
        <f t="shared" si="127"/>
        <v>0</v>
      </c>
      <c r="AG120" s="4">
        <f t="shared" si="128"/>
        <v>0</v>
      </c>
      <c r="AH12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2.4236548715462918E-2</v>
      </c>
      <c r="AI120" s="25">
        <f>tbl_główna_GRACZE[[#This Row],[pts]]*(40/tbl_główna_GRACZE[[#This Row],[min]])</f>
        <v>0</v>
      </c>
      <c r="AJ120" s="30">
        <f>tbl_główna_GRACZE[[#This Row],[reb total]]*(40/tbl_główna_GRACZE[[#This Row],[min]])</f>
        <v>13.333333333333334</v>
      </c>
      <c r="AK120" s="30">
        <f>tbl_główna_GRACZE[[#This Row],[asst]]*(40/tbl_główna_GRACZE[[#This Row],[min]])</f>
        <v>0</v>
      </c>
      <c r="AL120" s="5">
        <f t="shared" si="129"/>
        <v>0</v>
      </c>
      <c r="AM120" s="5">
        <f>(tbl_główna_GRACZE[[#This Row],[stl]]+tbl_główna_GRACZE[[#This Row],[blk]])*(40/tbl_główna_GRACZE[[#This Row],[min]])</f>
        <v>0</v>
      </c>
      <c r="AN12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20" s="25">
        <f>tbl_główna_GRACZE[[#This Row],[stl]]+tbl_główna_GRACZE[[#This Row],[blk]]+(tbl_główna_GRACZE[[#This Row],[dreb]]*0.5)</f>
        <v>0</v>
      </c>
      <c r="AP120" s="29">
        <f>(tbl_główna_GRACZE[[#This Row],[stl]]+tbl_główna_GRACZE[[#This Row],[blk]]+0.5*tbl_główna_GRACZE[[#This Row],[dreb]])/tbl_główna_GRACZE[[#This Row],[min]]</f>
        <v>0</v>
      </c>
      <c r="AQ120" s="6">
        <f t="shared" si="130"/>
        <v>-0.7</v>
      </c>
      <c r="AR120" s="6">
        <f>tbl_główna_GRACZE[[#This Row],[GmSc]]*(40/tbl_główna_GRACZE[[#This Row],[min]])</f>
        <v>-9.3333333333333339</v>
      </c>
      <c r="AS120" s="6">
        <f>tbl_główna_GRACZE[[#This Row],[EVAL]]*(40/tbl_główna_GRACZE[[#This Row],[min]])</f>
        <v>-13.333333333333334</v>
      </c>
      <c r="AT120" s="11">
        <f>tbl_główna_GRACZE[[#This Row],[fgm]]-tbl_główna_GRACZE[[#This Row],[3pm]]</f>
        <v>0</v>
      </c>
      <c r="AU120" s="11">
        <f>tbl_główna_GRACZE[[#This Row],[fga]]-tbl_główna_GRACZE[[#This Row],[3pa]]</f>
        <v>2</v>
      </c>
      <c r="AV120">
        <f>IF(tbl_główna_GRACZE[[#This Row],[min]]&gt;0,1,0)</f>
        <v>1</v>
      </c>
      <c r="AW120" s="58" t="str">
        <f>tbl_główna_GRACZE[[#This Row],[I. Nazwisko]]</f>
        <v>G. Jusiński</v>
      </c>
    </row>
    <row r="121" spans="1:49" x14ac:dyDescent="0.35">
      <c r="A121" t="s">
        <v>48</v>
      </c>
      <c r="B121" t="s">
        <v>19</v>
      </c>
      <c r="C121" t="s">
        <v>57</v>
      </c>
      <c r="D121" t="str">
        <f>IF(C121="H",VLOOKUP($A121,tab_nazwy_zespołów[],2,0)&amp;VLOOKUP($B121,tab_nazwy_zespołów[],2,0),VLOOKUP($B121,tab_nazwy_zespołów[],2,0)&amp;VLOOKUP($A121,tab_nazwy_zespołów[],2,0))</f>
        <v>ŁODSTA</v>
      </c>
      <c r="E121">
        <v>3</v>
      </c>
      <c r="F121">
        <f>COUNTIF(tbl_zawodnicy_sumy[I. Nazwisko],tbl_główna_GRACZE[[#This Row],[I. Nazwisko]])</f>
        <v>1</v>
      </c>
      <c r="G121" s="58" t="str">
        <f>RIGHT(tbl_główna_GRACZE[[#This Row],[Kolumna1]],LEN(tbl_główna_GRACZE[[#This Row],[Kolumna1]])-FIND(" ",tbl_główna_GRACZE[[#This Row],[Kolumna1]]))</f>
        <v>S. Gąsiorowski</v>
      </c>
      <c r="H121" s="2" t="s">
        <v>77</v>
      </c>
      <c r="I121" s="10">
        <v>8</v>
      </c>
      <c r="J121" s="10">
        <v>22</v>
      </c>
      <c r="K121" s="10">
        <v>0</v>
      </c>
      <c r="L121" s="10">
        <v>4</v>
      </c>
      <c r="M121" s="10">
        <v>5</v>
      </c>
      <c r="N121" s="10">
        <v>9</v>
      </c>
      <c r="O121" s="10">
        <v>1</v>
      </c>
      <c r="P121" s="10">
        <v>6</v>
      </c>
      <c r="Q121" s="10">
        <v>1</v>
      </c>
      <c r="R121" s="10">
        <v>4</v>
      </c>
      <c r="S121" s="10">
        <v>0</v>
      </c>
      <c r="T121" s="10">
        <v>2</v>
      </c>
      <c r="U121" s="10">
        <v>1</v>
      </c>
      <c r="V121" s="10">
        <v>33</v>
      </c>
      <c r="W121" s="10">
        <v>21</v>
      </c>
      <c r="X121" s="57">
        <f t="shared" ref="X121:X127" si="131">O121+P121</f>
        <v>7</v>
      </c>
      <c r="Y121" s="4">
        <f t="shared" ref="Y121:Y127" si="132">I121/J121</f>
        <v>0.36363636363636365</v>
      </c>
      <c r="Z121" s="4">
        <f t="shared" ref="Z121:Z127" si="133">IFERROR(K121/L121,0)</f>
        <v>0</v>
      </c>
      <c r="AA121" s="4">
        <f t="shared" ref="AA121:AA127" si="134">IFERROR(M121/N121,0)</f>
        <v>0.55555555555555558</v>
      </c>
      <c r="AB121" s="4">
        <f>IFERROR(tbl_główna_GRACZE[[#This Row],[2pm]]/tbl_główna_GRACZE[[#This Row],[2pa]],0)</f>
        <v>0.44444444444444442</v>
      </c>
      <c r="AC121" s="4">
        <f t="shared" ref="AC121:AC127" si="135">W121/(2*(J121+0.44*N121))</f>
        <v>0.40446841294298919</v>
      </c>
      <c r="AD121" s="4">
        <f t="shared" ref="AD121:AD127" si="136">(I121+0.5*K121)/J121</f>
        <v>0.36363636363636365</v>
      </c>
      <c r="AE121" s="11">
        <f t="shared" ref="AE121:AE127" si="137">R121+T121+U121+W121+X121-(J121-I121)-(N121-M121)</f>
        <v>17</v>
      </c>
      <c r="AF121" s="4">
        <f t="shared" ref="AF121:AF127" si="138">N121/J121</f>
        <v>0.40909090909090912</v>
      </c>
      <c r="AG121" s="4">
        <f t="shared" ref="AG121:AG127" si="139">L121/J121</f>
        <v>0.18181818181818182</v>
      </c>
      <c r="AH12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0.33557394002068253</v>
      </c>
      <c r="AI121" s="25">
        <f>tbl_główna_GRACZE[[#This Row],[pts]]*(40/tbl_główna_GRACZE[[#This Row],[min]])</f>
        <v>25.454545454545457</v>
      </c>
      <c r="AJ121" s="30">
        <f>tbl_główna_GRACZE[[#This Row],[reb total]]*(40/tbl_główna_GRACZE[[#This Row],[min]])</f>
        <v>8.4848484848484844</v>
      </c>
      <c r="AK121" s="30">
        <f>tbl_główna_GRACZE[[#This Row],[asst]]*(40/tbl_główna_GRACZE[[#This Row],[min]])</f>
        <v>1.2121212121212122</v>
      </c>
      <c r="AL121" s="5">
        <f t="shared" ref="AL121:AL127" si="140">W121/J121</f>
        <v>0.95454545454545459</v>
      </c>
      <c r="AM121" s="5">
        <f>(tbl_główna_GRACZE[[#This Row],[stl]]+tbl_główna_GRACZE[[#This Row],[blk]])*(40/tbl_główna_GRACZE[[#This Row],[min]])</f>
        <v>7.2727272727272734</v>
      </c>
      <c r="AN12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0.2608695652173913</v>
      </c>
      <c r="AO121" s="25">
        <f>tbl_główna_GRACZE[[#This Row],[stl]]+tbl_główna_GRACZE[[#This Row],[blk]]+(tbl_główna_GRACZE[[#This Row],[dreb]]*0.5)</f>
        <v>9</v>
      </c>
      <c r="AP121" s="29">
        <f>(tbl_główna_GRACZE[[#This Row],[stl]]+tbl_główna_GRACZE[[#This Row],[blk]]+0.5*tbl_główna_GRACZE[[#This Row],[dreb]])/tbl_główna_GRACZE[[#This Row],[min]]</f>
        <v>0.27272727272727271</v>
      </c>
      <c r="AQ121" s="6">
        <f t="shared" ref="AQ121:AQ127" si="141">W121+0.4*I121-0.7*J121-0.4*(N121-M121)+0.7*O121+0.3*P121+R121+0.7*U121+0.7*T121</f>
        <v>15.8</v>
      </c>
      <c r="AR121" s="6">
        <f>tbl_główna_GRACZE[[#This Row],[GmSc]]*(40/tbl_główna_GRACZE[[#This Row],[min]])</f>
        <v>19.151515151515152</v>
      </c>
      <c r="AS121" s="6">
        <f>tbl_główna_GRACZE[[#This Row],[EVAL]]*(40/tbl_główna_GRACZE[[#This Row],[min]])</f>
        <v>20.606060606060606</v>
      </c>
      <c r="AT121" s="11">
        <f>tbl_główna_GRACZE[[#This Row],[fgm]]-tbl_główna_GRACZE[[#This Row],[3pm]]</f>
        <v>8</v>
      </c>
      <c r="AU121" s="11">
        <f>tbl_główna_GRACZE[[#This Row],[fga]]-tbl_główna_GRACZE[[#This Row],[3pa]]</f>
        <v>18</v>
      </c>
      <c r="AV121">
        <f>IF(tbl_główna_GRACZE[[#This Row],[min]]&gt;0,1,0)</f>
        <v>1</v>
      </c>
      <c r="AW121" s="58" t="str">
        <f>tbl_główna_GRACZE[[#This Row],[I. Nazwisko]]</f>
        <v>S. Gąsiorowski</v>
      </c>
    </row>
    <row r="122" spans="1:49" x14ac:dyDescent="0.35">
      <c r="A122" t="s">
        <v>48</v>
      </c>
      <c r="B122" t="s">
        <v>19</v>
      </c>
      <c r="C122" t="s">
        <v>57</v>
      </c>
      <c r="D122" t="str">
        <f>IF(C122="H",VLOOKUP($A122,tab_nazwy_zespołów[],2,0)&amp;VLOOKUP($B122,tab_nazwy_zespołów[],2,0),VLOOKUP($B122,tab_nazwy_zespołów[],2,0)&amp;VLOOKUP($A122,tab_nazwy_zespołów[],2,0))</f>
        <v>ŁODSTA</v>
      </c>
      <c r="E122">
        <v>3</v>
      </c>
      <c r="F122">
        <f>COUNTIF(tbl_zawodnicy_sumy[I. Nazwisko],tbl_główna_GRACZE[[#This Row],[I. Nazwisko]])</f>
        <v>1</v>
      </c>
      <c r="G122" s="58" t="str">
        <f>RIGHT(tbl_główna_GRACZE[[#This Row],[Kolumna1]],LEN(tbl_główna_GRACZE[[#This Row],[Kolumna1]])-FIND(" ",tbl_główna_GRACZE[[#This Row],[Kolumna1]]))</f>
        <v>F. Siemiątkowski</v>
      </c>
      <c r="H122" s="2" t="s">
        <v>388</v>
      </c>
      <c r="I122" s="10">
        <v>4</v>
      </c>
      <c r="J122" s="10">
        <v>12</v>
      </c>
      <c r="K122" s="10">
        <v>1</v>
      </c>
      <c r="L122" s="10">
        <v>6</v>
      </c>
      <c r="M122" s="10">
        <v>1</v>
      </c>
      <c r="N122" s="10">
        <v>2</v>
      </c>
      <c r="O122" s="10">
        <v>4</v>
      </c>
      <c r="P122" s="10">
        <v>1</v>
      </c>
      <c r="Q122" s="10">
        <v>3</v>
      </c>
      <c r="R122" s="10">
        <v>4</v>
      </c>
      <c r="S122" s="10">
        <v>0</v>
      </c>
      <c r="T122" s="10">
        <v>1</v>
      </c>
      <c r="U122" s="10">
        <v>1</v>
      </c>
      <c r="V122" s="10">
        <v>26</v>
      </c>
      <c r="W122" s="10">
        <v>10</v>
      </c>
      <c r="X122" s="57">
        <f t="shared" si="131"/>
        <v>5</v>
      </c>
      <c r="Y122" s="4">
        <f t="shared" si="132"/>
        <v>0.33333333333333331</v>
      </c>
      <c r="Z122" s="4">
        <f t="shared" si="133"/>
        <v>0.16666666666666666</v>
      </c>
      <c r="AA122" s="4">
        <f t="shared" si="134"/>
        <v>0.5</v>
      </c>
      <c r="AB122" s="4">
        <f>IFERROR(tbl_główna_GRACZE[[#This Row],[2pm]]/tbl_główna_GRACZE[[#This Row],[2pa]],0)</f>
        <v>0.5</v>
      </c>
      <c r="AC122" s="4">
        <f t="shared" si="135"/>
        <v>0.38819875776397511</v>
      </c>
      <c r="AD122" s="4">
        <f t="shared" si="136"/>
        <v>0.375</v>
      </c>
      <c r="AE122" s="11">
        <f t="shared" si="137"/>
        <v>12</v>
      </c>
      <c r="AF122" s="4">
        <f t="shared" si="138"/>
        <v>0.16666666666666666</v>
      </c>
      <c r="AG122" s="4">
        <f t="shared" si="139"/>
        <v>0.5</v>
      </c>
      <c r="AH12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0.16649431230610134</v>
      </c>
      <c r="AI122" s="25">
        <f>tbl_główna_GRACZE[[#This Row],[pts]]*(40/tbl_główna_GRACZE[[#This Row],[min]])</f>
        <v>15.384615384615385</v>
      </c>
      <c r="AJ122" s="30">
        <f>tbl_główna_GRACZE[[#This Row],[reb total]]*(40/tbl_główna_GRACZE[[#This Row],[min]])</f>
        <v>7.6923076923076925</v>
      </c>
      <c r="AK122" s="30">
        <f>tbl_główna_GRACZE[[#This Row],[asst]]*(40/tbl_główna_GRACZE[[#This Row],[min]])</f>
        <v>1.5384615384615385</v>
      </c>
      <c r="AL122" s="5">
        <f t="shared" si="140"/>
        <v>0.83333333333333337</v>
      </c>
      <c r="AM122" s="5">
        <f>(tbl_główna_GRACZE[[#This Row],[stl]]+tbl_główna_GRACZE[[#This Row],[blk]])*(40/tbl_główna_GRACZE[[#This Row],[min]])</f>
        <v>7.6923076923076925</v>
      </c>
      <c r="AN12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0.21739130434782608</v>
      </c>
      <c r="AO122" s="25">
        <f>tbl_główna_GRACZE[[#This Row],[stl]]+tbl_główna_GRACZE[[#This Row],[blk]]+(tbl_główna_GRACZE[[#This Row],[dreb]]*0.5)</f>
        <v>5.5</v>
      </c>
      <c r="AP122" s="29">
        <f>(tbl_główna_GRACZE[[#This Row],[stl]]+tbl_główna_GRACZE[[#This Row],[blk]]+0.5*tbl_główna_GRACZE[[#This Row],[dreb]])/tbl_główna_GRACZE[[#This Row],[min]]</f>
        <v>0.21153846153846154</v>
      </c>
      <c r="AQ122" s="6">
        <f t="shared" si="141"/>
        <v>11.3</v>
      </c>
      <c r="AR122" s="6">
        <f>tbl_główna_GRACZE[[#This Row],[GmSc]]*(40/tbl_główna_GRACZE[[#This Row],[min]])</f>
        <v>17.384615384615387</v>
      </c>
      <c r="AS122" s="6">
        <f>tbl_główna_GRACZE[[#This Row],[EVAL]]*(40/tbl_główna_GRACZE[[#This Row],[min]])</f>
        <v>18.461538461538463</v>
      </c>
      <c r="AT122" s="11">
        <f>tbl_główna_GRACZE[[#This Row],[fgm]]-tbl_główna_GRACZE[[#This Row],[3pm]]</f>
        <v>3</v>
      </c>
      <c r="AU122" s="11">
        <f>tbl_główna_GRACZE[[#This Row],[fga]]-tbl_główna_GRACZE[[#This Row],[3pa]]</f>
        <v>6</v>
      </c>
      <c r="AV122">
        <f>IF(tbl_główna_GRACZE[[#This Row],[min]]&gt;0,1,0)</f>
        <v>1</v>
      </c>
      <c r="AW122" s="58" t="str">
        <f>tbl_główna_GRACZE[[#This Row],[I. Nazwisko]]</f>
        <v>F. Siemiątkowski</v>
      </c>
    </row>
    <row r="123" spans="1:49" x14ac:dyDescent="0.35">
      <c r="A123" t="s">
        <v>48</v>
      </c>
      <c r="B123" t="s">
        <v>19</v>
      </c>
      <c r="C123" t="s">
        <v>57</v>
      </c>
      <c r="D123" t="str">
        <f>IF(C123="H",VLOOKUP($A123,tab_nazwy_zespołów[],2,0)&amp;VLOOKUP($B123,tab_nazwy_zespołów[],2,0),VLOOKUP($B123,tab_nazwy_zespołów[],2,0)&amp;VLOOKUP($A123,tab_nazwy_zespołów[],2,0))</f>
        <v>ŁODSTA</v>
      </c>
      <c r="E123">
        <v>3</v>
      </c>
      <c r="F123">
        <f>COUNTIF(tbl_zawodnicy_sumy[I. Nazwisko],tbl_główna_GRACZE[[#This Row],[I. Nazwisko]])</f>
        <v>1</v>
      </c>
      <c r="G123" s="58" t="str">
        <f>RIGHT(tbl_główna_GRACZE[[#This Row],[Kolumna1]],LEN(tbl_główna_GRACZE[[#This Row],[Kolumna1]])-FIND(" ",tbl_główna_GRACZE[[#This Row],[Kolumna1]]))</f>
        <v>T. Prażmowski</v>
      </c>
      <c r="H123" s="2" t="s">
        <v>79</v>
      </c>
      <c r="I123" s="10">
        <v>2</v>
      </c>
      <c r="J123" s="10">
        <v>9</v>
      </c>
      <c r="K123" s="10">
        <v>1</v>
      </c>
      <c r="L123" s="10">
        <v>3</v>
      </c>
      <c r="M123" s="10">
        <v>4</v>
      </c>
      <c r="N123" s="10">
        <v>4</v>
      </c>
      <c r="O123" s="10">
        <v>2</v>
      </c>
      <c r="P123" s="10">
        <v>0</v>
      </c>
      <c r="Q123" s="10">
        <v>0</v>
      </c>
      <c r="R123" s="10">
        <v>2</v>
      </c>
      <c r="S123" s="10">
        <v>0</v>
      </c>
      <c r="T123" s="10">
        <v>0</v>
      </c>
      <c r="U123" s="10">
        <v>5</v>
      </c>
      <c r="V123" s="10">
        <v>27</v>
      </c>
      <c r="W123" s="10">
        <v>9</v>
      </c>
      <c r="X123" s="57">
        <f t="shared" si="131"/>
        <v>2</v>
      </c>
      <c r="Y123" s="4">
        <f t="shared" si="132"/>
        <v>0.22222222222222221</v>
      </c>
      <c r="Z123" s="4">
        <f t="shared" si="133"/>
        <v>0.33333333333333331</v>
      </c>
      <c r="AA123" s="4">
        <f t="shared" si="134"/>
        <v>1</v>
      </c>
      <c r="AB123" s="4">
        <f>IFERROR(tbl_główna_GRACZE[[#This Row],[2pm]]/tbl_główna_GRACZE[[#This Row],[2pa]],0)</f>
        <v>0.16666666666666666</v>
      </c>
      <c r="AC123" s="4">
        <f t="shared" si="135"/>
        <v>0.41821561338289964</v>
      </c>
      <c r="AD123" s="4">
        <f t="shared" si="136"/>
        <v>0.27777777777777779</v>
      </c>
      <c r="AE123" s="11">
        <f t="shared" si="137"/>
        <v>11</v>
      </c>
      <c r="AF123" s="4">
        <f t="shared" si="138"/>
        <v>0.44444444444444442</v>
      </c>
      <c r="AG123" s="4">
        <f t="shared" si="139"/>
        <v>0.33333333333333331</v>
      </c>
      <c r="AH12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0.13908996897621509</v>
      </c>
      <c r="AI123" s="25">
        <f>tbl_główna_GRACZE[[#This Row],[pts]]*(40/tbl_główna_GRACZE[[#This Row],[min]])</f>
        <v>13.333333333333332</v>
      </c>
      <c r="AJ123" s="30">
        <f>tbl_główna_GRACZE[[#This Row],[reb total]]*(40/tbl_główna_GRACZE[[#This Row],[min]])</f>
        <v>2.9629629629629628</v>
      </c>
      <c r="AK123" s="30">
        <f>tbl_główna_GRACZE[[#This Row],[asst]]*(40/tbl_główna_GRACZE[[#This Row],[min]])</f>
        <v>7.4074074074074066</v>
      </c>
      <c r="AL123" s="5">
        <f t="shared" si="140"/>
        <v>1</v>
      </c>
      <c r="AM123" s="5">
        <f>(tbl_główna_GRACZE[[#This Row],[stl]]+tbl_główna_GRACZE[[#This Row],[blk]])*(40/tbl_główna_GRACZE[[#This Row],[min]])</f>
        <v>2.9629629629629628</v>
      </c>
      <c r="AN12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8.6956521739130432E-2</v>
      </c>
      <c r="AO123" s="25">
        <f>tbl_główna_GRACZE[[#This Row],[stl]]+tbl_główna_GRACZE[[#This Row],[blk]]+(tbl_główna_GRACZE[[#This Row],[dreb]]*0.5)</f>
        <v>2</v>
      </c>
      <c r="AP123" s="29">
        <f>(tbl_główna_GRACZE[[#This Row],[stl]]+tbl_główna_GRACZE[[#This Row],[blk]]+0.5*tbl_główna_GRACZE[[#This Row],[dreb]])/tbl_główna_GRACZE[[#This Row],[min]]</f>
        <v>7.407407407407407E-2</v>
      </c>
      <c r="AQ123" s="6">
        <f t="shared" si="141"/>
        <v>10.4</v>
      </c>
      <c r="AR123" s="6">
        <f>tbl_główna_GRACZE[[#This Row],[GmSc]]*(40/tbl_główna_GRACZE[[#This Row],[min]])</f>
        <v>15.407407407407407</v>
      </c>
      <c r="AS123" s="6">
        <f>tbl_główna_GRACZE[[#This Row],[EVAL]]*(40/tbl_główna_GRACZE[[#This Row],[min]])</f>
        <v>16.296296296296294</v>
      </c>
      <c r="AT123" s="11">
        <f>tbl_główna_GRACZE[[#This Row],[fgm]]-tbl_główna_GRACZE[[#This Row],[3pm]]</f>
        <v>1</v>
      </c>
      <c r="AU123" s="11">
        <f>tbl_główna_GRACZE[[#This Row],[fga]]-tbl_główna_GRACZE[[#This Row],[3pa]]</f>
        <v>6</v>
      </c>
      <c r="AV123">
        <f>IF(tbl_główna_GRACZE[[#This Row],[min]]&gt;0,1,0)</f>
        <v>1</v>
      </c>
      <c r="AW123" s="58" t="str">
        <f>tbl_główna_GRACZE[[#This Row],[I. Nazwisko]]</f>
        <v>T. Prażmowski</v>
      </c>
    </row>
    <row r="124" spans="1:49" x14ac:dyDescent="0.35">
      <c r="A124" t="s">
        <v>48</v>
      </c>
      <c r="B124" t="s">
        <v>19</v>
      </c>
      <c r="C124" t="s">
        <v>57</v>
      </c>
      <c r="D124" t="str">
        <f>IF(C124="H",VLOOKUP($A124,tab_nazwy_zespołów[],2,0)&amp;VLOOKUP($B124,tab_nazwy_zespołów[],2,0),VLOOKUP($B124,tab_nazwy_zespołów[],2,0)&amp;VLOOKUP($A124,tab_nazwy_zespołów[],2,0))</f>
        <v>ŁODSTA</v>
      </c>
      <c r="E124">
        <v>3</v>
      </c>
      <c r="F124">
        <f>COUNTIF(tbl_zawodnicy_sumy[I. Nazwisko],tbl_główna_GRACZE[[#This Row],[I. Nazwisko]])</f>
        <v>1</v>
      </c>
      <c r="G124" s="58" t="str">
        <f>RIGHT(tbl_główna_GRACZE[[#This Row],[Kolumna1]],LEN(tbl_główna_GRACZE[[#This Row],[Kolumna1]])-FIND(" ",tbl_główna_GRACZE[[#This Row],[Kolumna1]]))</f>
        <v>M. Leśniak</v>
      </c>
      <c r="H124" s="2" t="s">
        <v>80</v>
      </c>
      <c r="I124" s="10">
        <v>3</v>
      </c>
      <c r="J124" s="10">
        <v>9</v>
      </c>
      <c r="K124" s="10">
        <v>2</v>
      </c>
      <c r="L124" s="10">
        <v>8</v>
      </c>
      <c r="M124" s="10">
        <v>0</v>
      </c>
      <c r="N124" s="10">
        <v>0</v>
      </c>
      <c r="O124" s="10">
        <v>0</v>
      </c>
      <c r="P124" s="10">
        <v>7</v>
      </c>
      <c r="Q124" s="10">
        <v>0</v>
      </c>
      <c r="R124" s="10">
        <v>4</v>
      </c>
      <c r="S124" s="10">
        <v>0</v>
      </c>
      <c r="T124" s="10">
        <v>0</v>
      </c>
      <c r="U124" s="10">
        <v>0</v>
      </c>
      <c r="V124" s="10">
        <v>39</v>
      </c>
      <c r="W124" s="10">
        <v>8</v>
      </c>
      <c r="X124" s="57">
        <f t="shared" si="131"/>
        <v>7</v>
      </c>
      <c r="Y124" s="4">
        <f t="shared" si="132"/>
        <v>0.33333333333333331</v>
      </c>
      <c r="Z124" s="4">
        <f t="shared" si="133"/>
        <v>0.25</v>
      </c>
      <c r="AA124" s="4">
        <f t="shared" si="134"/>
        <v>0</v>
      </c>
      <c r="AB124" s="4">
        <f>IFERROR(tbl_główna_GRACZE[[#This Row],[2pm]]/tbl_główna_GRACZE[[#This Row],[2pa]],0)</f>
        <v>1</v>
      </c>
      <c r="AC124" s="4">
        <f t="shared" si="135"/>
        <v>0.44444444444444442</v>
      </c>
      <c r="AD124" s="4">
        <f t="shared" si="136"/>
        <v>0.44444444444444442</v>
      </c>
      <c r="AE124" s="11">
        <f t="shared" si="137"/>
        <v>13</v>
      </c>
      <c r="AF124" s="4">
        <f t="shared" si="138"/>
        <v>0</v>
      </c>
      <c r="AG124" s="4">
        <f t="shared" si="139"/>
        <v>0.88888888888888884</v>
      </c>
      <c r="AH12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0.11633919338159256</v>
      </c>
      <c r="AI124" s="25">
        <f>tbl_główna_GRACZE[[#This Row],[pts]]*(40/tbl_główna_GRACZE[[#This Row],[min]])</f>
        <v>8.2051282051282044</v>
      </c>
      <c r="AJ124" s="30">
        <f>tbl_główna_GRACZE[[#This Row],[reb total]]*(40/tbl_główna_GRACZE[[#This Row],[min]])</f>
        <v>7.1794871794871788</v>
      </c>
      <c r="AK124" s="30">
        <f>tbl_główna_GRACZE[[#This Row],[asst]]*(40/tbl_główna_GRACZE[[#This Row],[min]])</f>
        <v>0</v>
      </c>
      <c r="AL124" s="5">
        <f t="shared" si="140"/>
        <v>0.88888888888888884</v>
      </c>
      <c r="AM124" s="5">
        <f>(tbl_główna_GRACZE[[#This Row],[stl]]+tbl_główna_GRACZE[[#This Row],[blk]])*(40/tbl_główna_GRACZE[[#This Row],[min]])</f>
        <v>4.1025641025641022</v>
      </c>
      <c r="AN12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0.17391304347826086</v>
      </c>
      <c r="AO124" s="25">
        <f>tbl_główna_GRACZE[[#This Row],[stl]]+tbl_główna_GRACZE[[#This Row],[blk]]+(tbl_główna_GRACZE[[#This Row],[dreb]]*0.5)</f>
        <v>7.5</v>
      </c>
      <c r="AP124" s="29">
        <f>(tbl_główna_GRACZE[[#This Row],[stl]]+tbl_główna_GRACZE[[#This Row],[blk]]+0.5*tbl_główna_GRACZE[[#This Row],[dreb]])/tbl_główna_GRACZE[[#This Row],[min]]</f>
        <v>0.19230769230769232</v>
      </c>
      <c r="AQ124" s="6">
        <f t="shared" si="141"/>
        <v>9</v>
      </c>
      <c r="AR124" s="6">
        <f>tbl_główna_GRACZE[[#This Row],[GmSc]]*(40/tbl_główna_GRACZE[[#This Row],[min]])</f>
        <v>9.2307692307692299</v>
      </c>
      <c r="AS124" s="6">
        <f>tbl_główna_GRACZE[[#This Row],[EVAL]]*(40/tbl_główna_GRACZE[[#This Row],[min]])</f>
        <v>13.333333333333332</v>
      </c>
      <c r="AT124" s="11">
        <f>tbl_główna_GRACZE[[#This Row],[fgm]]-tbl_główna_GRACZE[[#This Row],[3pm]]</f>
        <v>1</v>
      </c>
      <c r="AU124" s="11">
        <f>tbl_główna_GRACZE[[#This Row],[fga]]-tbl_główna_GRACZE[[#This Row],[3pa]]</f>
        <v>1</v>
      </c>
      <c r="AV124">
        <f>IF(tbl_główna_GRACZE[[#This Row],[min]]&gt;0,1,0)</f>
        <v>1</v>
      </c>
      <c r="AW124" s="58" t="str">
        <f>tbl_główna_GRACZE[[#This Row],[I. Nazwisko]]</f>
        <v>M. Leśniak</v>
      </c>
    </row>
    <row r="125" spans="1:49" x14ac:dyDescent="0.35">
      <c r="A125" t="s">
        <v>48</v>
      </c>
      <c r="B125" t="s">
        <v>19</v>
      </c>
      <c r="C125" t="s">
        <v>57</v>
      </c>
      <c r="D125" t="str">
        <f>IF(C125="H",VLOOKUP($A125,tab_nazwy_zespołów[],2,0)&amp;VLOOKUP($B125,tab_nazwy_zespołów[],2,0),VLOOKUP($B125,tab_nazwy_zespołów[],2,0)&amp;VLOOKUP($A125,tab_nazwy_zespołów[],2,0))</f>
        <v>ŁODSTA</v>
      </c>
      <c r="E125">
        <v>3</v>
      </c>
      <c r="F125">
        <f>COUNTIF(tbl_zawodnicy_sumy[I. Nazwisko],tbl_główna_GRACZE[[#This Row],[I. Nazwisko]])</f>
        <v>1</v>
      </c>
      <c r="G125" s="58" t="str">
        <f>RIGHT(tbl_główna_GRACZE[[#This Row],[Kolumna1]],LEN(tbl_główna_GRACZE[[#This Row],[Kolumna1]])-FIND(" ",tbl_główna_GRACZE[[#This Row],[Kolumna1]]))</f>
        <v>M. Mąkowski</v>
      </c>
      <c r="H125" s="2" t="s">
        <v>83</v>
      </c>
      <c r="I125" s="10">
        <v>3</v>
      </c>
      <c r="J125" s="10">
        <v>8</v>
      </c>
      <c r="K125" s="10">
        <v>0</v>
      </c>
      <c r="L125" s="10">
        <v>0</v>
      </c>
      <c r="M125" s="10">
        <v>2</v>
      </c>
      <c r="N125" s="10">
        <v>2</v>
      </c>
      <c r="O125" s="10">
        <v>3</v>
      </c>
      <c r="P125" s="10">
        <v>2</v>
      </c>
      <c r="Q125" s="10">
        <v>1</v>
      </c>
      <c r="R125" s="10">
        <v>1</v>
      </c>
      <c r="S125" s="10">
        <v>0</v>
      </c>
      <c r="T125" s="10">
        <v>1</v>
      </c>
      <c r="U125" s="10">
        <v>0</v>
      </c>
      <c r="V125" s="10">
        <v>26</v>
      </c>
      <c r="W125" s="10">
        <v>8</v>
      </c>
      <c r="X125" s="57">
        <f t="shared" si="131"/>
        <v>5</v>
      </c>
      <c r="Y125" s="4">
        <f t="shared" si="132"/>
        <v>0.375</v>
      </c>
      <c r="Z125" s="4">
        <f t="shared" si="133"/>
        <v>0</v>
      </c>
      <c r="AA125" s="4">
        <f t="shared" si="134"/>
        <v>1</v>
      </c>
      <c r="AB125" s="4">
        <f>IFERROR(tbl_główna_GRACZE[[#This Row],[2pm]]/tbl_główna_GRACZE[[#This Row],[2pa]],0)</f>
        <v>0.375</v>
      </c>
      <c r="AC125" s="4">
        <f t="shared" si="135"/>
        <v>0.4504504504504504</v>
      </c>
      <c r="AD125" s="4">
        <f t="shared" si="136"/>
        <v>0.375</v>
      </c>
      <c r="AE125" s="11">
        <f t="shared" si="137"/>
        <v>10</v>
      </c>
      <c r="AF125" s="4">
        <f t="shared" si="138"/>
        <v>0.25</v>
      </c>
      <c r="AG125" s="4">
        <f t="shared" si="139"/>
        <v>0</v>
      </c>
      <c r="AH12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0.11478800413650467</v>
      </c>
      <c r="AI125" s="25">
        <f>tbl_główna_GRACZE[[#This Row],[pts]]*(40/tbl_główna_GRACZE[[#This Row],[min]])</f>
        <v>12.307692307692308</v>
      </c>
      <c r="AJ125" s="30">
        <f>tbl_główna_GRACZE[[#This Row],[reb total]]*(40/tbl_główna_GRACZE[[#This Row],[min]])</f>
        <v>7.6923076923076925</v>
      </c>
      <c r="AK125" s="30">
        <f>tbl_główna_GRACZE[[#This Row],[asst]]*(40/tbl_główna_GRACZE[[#This Row],[min]])</f>
        <v>0</v>
      </c>
      <c r="AL125" s="5">
        <f t="shared" si="140"/>
        <v>1</v>
      </c>
      <c r="AM125" s="5">
        <f>(tbl_główna_GRACZE[[#This Row],[stl]]+tbl_główna_GRACZE[[#This Row],[blk]])*(40/tbl_główna_GRACZE[[#This Row],[min]])</f>
        <v>3.0769230769230771</v>
      </c>
      <c r="AN12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8.6956521739130432E-2</v>
      </c>
      <c r="AO125" s="25">
        <f>tbl_główna_GRACZE[[#This Row],[stl]]+tbl_główna_GRACZE[[#This Row],[blk]]+(tbl_główna_GRACZE[[#This Row],[dreb]]*0.5)</f>
        <v>3</v>
      </c>
      <c r="AP125" s="29">
        <f>(tbl_główna_GRACZE[[#This Row],[stl]]+tbl_główna_GRACZE[[#This Row],[blk]]+0.5*tbl_główna_GRACZE[[#This Row],[dreb]])/tbl_główna_GRACZE[[#This Row],[min]]</f>
        <v>0.11538461538461539</v>
      </c>
      <c r="AQ125" s="6">
        <f t="shared" si="141"/>
        <v>7.9999999999999991</v>
      </c>
      <c r="AR125" s="6">
        <f>tbl_główna_GRACZE[[#This Row],[GmSc]]*(40/tbl_główna_GRACZE[[#This Row],[min]])</f>
        <v>12.307692307692307</v>
      </c>
      <c r="AS125" s="6">
        <f>tbl_główna_GRACZE[[#This Row],[EVAL]]*(40/tbl_główna_GRACZE[[#This Row],[min]])</f>
        <v>15.384615384615385</v>
      </c>
      <c r="AT125" s="11">
        <f>tbl_główna_GRACZE[[#This Row],[fgm]]-tbl_główna_GRACZE[[#This Row],[3pm]]</f>
        <v>3</v>
      </c>
      <c r="AU125" s="11">
        <f>tbl_główna_GRACZE[[#This Row],[fga]]-tbl_główna_GRACZE[[#This Row],[3pa]]</f>
        <v>8</v>
      </c>
      <c r="AV125">
        <f>IF(tbl_główna_GRACZE[[#This Row],[min]]&gt;0,1,0)</f>
        <v>1</v>
      </c>
      <c r="AW125" s="58" t="str">
        <f>tbl_główna_GRACZE[[#This Row],[I. Nazwisko]]</f>
        <v>M. Mąkowski</v>
      </c>
    </row>
    <row r="126" spans="1:49" x14ac:dyDescent="0.35">
      <c r="A126" t="s">
        <v>48</v>
      </c>
      <c r="B126" t="s">
        <v>19</v>
      </c>
      <c r="C126" t="s">
        <v>57</v>
      </c>
      <c r="D126" t="str">
        <f>IF(C126="H",VLOOKUP($A126,tab_nazwy_zespołów[],2,0)&amp;VLOOKUP($B126,tab_nazwy_zespołów[],2,0),VLOOKUP($B126,tab_nazwy_zespołów[],2,0)&amp;VLOOKUP($A126,tab_nazwy_zespołów[],2,0))</f>
        <v>ŁODSTA</v>
      </c>
      <c r="E126">
        <v>3</v>
      </c>
      <c r="F126">
        <f>COUNTIF(tbl_zawodnicy_sumy[I. Nazwisko],tbl_główna_GRACZE[[#This Row],[I. Nazwisko]])</f>
        <v>1</v>
      </c>
      <c r="G126" s="58" t="str">
        <f>RIGHT(tbl_główna_GRACZE[[#This Row],[Kolumna1]],LEN(tbl_główna_GRACZE[[#This Row],[Kolumna1]])-FIND(" ",tbl_główna_GRACZE[[#This Row],[Kolumna1]]))</f>
        <v>M. Łukasiuk</v>
      </c>
      <c r="H126" s="2" t="s">
        <v>82</v>
      </c>
      <c r="I126" s="10">
        <v>1</v>
      </c>
      <c r="J126" s="10">
        <v>6</v>
      </c>
      <c r="K126" s="10">
        <v>0</v>
      </c>
      <c r="L126" s="10">
        <v>2</v>
      </c>
      <c r="M126" s="10">
        <v>0</v>
      </c>
      <c r="N126" s="10">
        <v>2</v>
      </c>
      <c r="O126" s="10">
        <v>0</v>
      </c>
      <c r="P126" s="10">
        <v>2</v>
      </c>
      <c r="Q126" s="10">
        <v>0</v>
      </c>
      <c r="R126" s="10">
        <v>4</v>
      </c>
      <c r="S126" s="10">
        <v>0</v>
      </c>
      <c r="T126" s="10">
        <v>0</v>
      </c>
      <c r="U126" s="10">
        <v>4</v>
      </c>
      <c r="V126" s="10">
        <v>20</v>
      </c>
      <c r="W126" s="10">
        <v>2</v>
      </c>
      <c r="X126" s="57">
        <f t="shared" si="131"/>
        <v>2</v>
      </c>
      <c r="Y126" s="4">
        <f t="shared" si="132"/>
        <v>0.16666666666666666</v>
      </c>
      <c r="Z126" s="4">
        <f t="shared" si="133"/>
        <v>0</v>
      </c>
      <c r="AA126" s="4">
        <f t="shared" si="134"/>
        <v>0</v>
      </c>
      <c r="AB126" s="4">
        <f>IFERROR(tbl_główna_GRACZE[[#This Row],[2pm]]/tbl_główna_GRACZE[[#This Row],[2pa]],0)</f>
        <v>0.25</v>
      </c>
      <c r="AC126" s="4">
        <f t="shared" si="135"/>
        <v>0.14534883720930233</v>
      </c>
      <c r="AD126" s="4">
        <f t="shared" si="136"/>
        <v>0.16666666666666666</v>
      </c>
      <c r="AE126" s="11">
        <f t="shared" si="137"/>
        <v>5</v>
      </c>
      <c r="AF126" s="4">
        <f t="shared" si="138"/>
        <v>0.33333333333333331</v>
      </c>
      <c r="AG126" s="4">
        <f t="shared" si="139"/>
        <v>0.33333333333333331</v>
      </c>
      <c r="AH12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8.8934850051706302E-2</v>
      </c>
      <c r="AI126" s="25">
        <f>tbl_główna_GRACZE[[#This Row],[pts]]*(40/tbl_główna_GRACZE[[#This Row],[min]])</f>
        <v>4</v>
      </c>
      <c r="AJ126" s="30">
        <f>tbl_główna_GRACZE[[#This Row],[reb total]]*(40/tbl_główna_GRACZE[[#This Row],[min]])</f>
        <v>4</v>
      </c>
      <c r="AK126" s="30">
        <f>tbl_główna_GRACZE[[#This Row],[asst]]*(40/tbl_główna_GRACZE[[#This Row],[min]])</f>
        <v>8</v>
      </c>
      <c r="AL126" s="5">
        <f t="shared" si="140"/>
        <v>0.33333333333333331</v>
      </c>
      <c r="AM126" s="5">
        <f>(tbl_główna_GRACZE[[#This Row],[stl]]+tbl_główna_GRACZE[[#This Row],[blk]])*(40/tbl_główna_GRACZE[[#This Row],[min]])</f>
        <v>8</v>
      </c>
      <c r="AN12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0.17391304347826086</v>
      </c>
      <c r="AO126" s="25">
        <f>tbl_główna_GRACZE[[#This Row],[stl]]+tbl_główna_GRACZE[[#This Row],[blk]]+(tbl_główna_GRACZE[[#This Row],[dreb]]*0.5)</f>
        <v>5</v>
      </c>
      <c r="AP126" s="29">
        <f>(tbl_główna_GRACZE[[#This Row],[stl]]+tbl_główna_GRACZE[[#This Row],[blk]]+0.5*tbl_główna_GRACZE[[#This Row],[dreb]])/tbl_główna_GRACZE[[#This Row],[min]]</f>
        <v>0.25</v>
      </c>
      <c r="AQ126" s="6">
        <f t="shared" si="141"/>
        <v>4.8000000000000007</v>
      </c>
      <c r="AR126" s="6">
        <f>tbl_główna_GRACZE[[#This Row],[GmSc]]*(40/tbl_główna_GRACZE[[#This Row],[min]])</f>
        <v>9.6000000000000014</v>
      </c>
      <c r="AS126" s="6">
        <f>tbl_główna_GRACZE[[#This Row],[EVAL]]*(40/tbl_główna_GRACZE[[#This Row],[min]])</f>
        <v>10</v>
      </c>
      <c r="AT126" s="11">
        <f>tbl_główna_GRACZE[[#This Row],[fgm]]-tbl_główna_GRACZE[[#This Row],[3pm]]</f>
        <v>1</v>
      </c>
      <c r="AU126" s="11">
        <f>tbl_główna_GRACZE[[#This Row],[fga]]-tbl_główna_GRACZE[[#This Row],[3pa]]</f>
        <v>4</v>
      </c>
      <c r="AV126">
        <f>IF(tbl_główna_GRACZE[[#This Row],[min]]&gt;0,1,0)</f>
        <v>1</v>
      </c>
      <c r="AW126" s="58" t="str">
        <f>tbl_główna_GRACZE[[#This Row],[I. Nazwisko]]</f>
        <v>M. Łukasiuk</v>
      </c>
    </row>
    <row r="127" spans="1:49" x14ac:dyDescent="0.35">
      <c r="A127" t="s">
        <v>48</v>
      </c>
      <c r="B127" t="s">
        <v>19</v>
      </c>
      <c r="C127" t="s">
        <v>57</v>
      </c>
      <c r="D127" t="str">
        <f>IF(C127="H",VLOOKUP($A127,tab_nazwy_zespołów[],2,0)&amp;VLOOKUP($B127,tab_nazwy_zespołów[],2,0),VLOOKUP($B127,tab_nazwy_zespołów[],2,0)&amp;VLOOKUP($A127,tab_nazwy_zespołów[],2,0))</f>
        <v>ŁODSTA</v>
      </c>
      <c r="E127">
        <v>3</v>
      </c>
      <c r="F127">
        <f>COUNTIF(tbl_zawodnicy_sumy[I. Nazwisko],tbl_główna_GRACZE[[#This Row],[I. Nazwisko]])</f>
        <v>1</v>
      </c>
      <c r="G127" s="58" t="str">
        <f>RIGHT(tbl_główna_GRACZE[[#This Row],[Kolumna1]],LEN(tbl_główna_GRACZE[[#This Row],[Kolumna1]])-FIND(" ",tbl_główna_GRACZE[[#This Row],[Kolumna1]]))</f>
        <v>F. Gąsiorowski</v>
      </c>
      <c r="H127" s="2" t="s">
        <v>78</v>
      </c>
      <c r="I127" s="10">
        <v>0</v>
      </c>
      <c r="J127" s="10">
        <v>3</v>
      </c>
      <c r="K127" s="10">
        <v>0</v>
      </c>
      <c r="L127" s="10">
        <v>1</v>
      </c>
      <c r="M127" s="10">
        <v>0</v>
      </c>
      <c r="N127" s="10">
        <v>0</v>
      </c>
      <c r="O127" s="10">
        <v>0</v>
      </c>
      <c r="P127" s="10">
        <v>3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20</v>
      </c>
      <c r="W127" s="10">
        <v>0</v>
      </c>
      <c r="X127" s="57">
        <f t="shared" si="131"/>
        <v>3</v>
      </c>
      <c r="Y127" s="4">
        <f t="shared" si="132"/>
        <v>0</v>
      </c>
      <c r="Z127" s="4">
        <f t="shared" si="133"/>
        <v>0</v>
      </c>
      <c r="AA127" s="4">
        <f t="shared" si="134"/>
        <v>0</v>
      </c>
      <c r="AB127" s="4">
        <f>IFERROR(tbl_główna_GRACZE[[#This Row],[2pm]]/tbl_główna_GRACZE[[#This Row],[2pa]],0)</f>
        <v>0</v>
      </c>
      <c r="AC127" s="4">
        <f t="shared" si="135"/>
        <v>0</v>
      </c>
      <c r="AD127" s="4">
        <f t="shared" si="136"/>
        <v>0</v>
      </c>
      <c r="AE127" s="11">
        <f t="shared" si="137"/>
        <v>0</v>
      </c>
      <c r="AF127" s="4">
        <f t="shared" si="138"/>
        <v>0</v>
      </c>
      <c r="AG127" s="4">
        <f t="shared" si="139"/>
        <v>0.33333333333333331</v>
      </c>
      <c r="AH12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3.8779731127197521E-2</v>
      </c>
      <c r="AI127" s="25">
        <f>tbl_główna_GRACZE[[#This Row],[pts]]*(40/tbl_główna_GRACZE[[#This Row],[min]])</f>
        <v>0</v>
      </c>
      <c r="AJ127" s="30">
        <f>tbl_główna_GRACZE[[#This Row],[reb total]]*(40/tbl_główna_GRACZE[[#This Row],[min]])</f>
        <v>6</v>
      </c>
      <c r="AK127" s="30">
        <f>tbl_główna_GRACZE[[#This Row],[asst]]*(40/tbl_główna_GRACZE[[#This Row],[min]])</f>
        <v>0</v>
      </c>
      <c r="AL127" s="5">
        <f t="shared" si="140"/>
        <v>0</v>
      </c>
      <c r="AM127" s="5">
        <f>(tbl_główna_GRACZE[[#This Row],[stl]]+tbl_główna_GRACZE[[#This Row],[blk]])*(40/tbl_główna_GRACZE[[#This Row],[min]])</f>
        <v>0</v>
      </c>
      <c r="AN12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27" s="25">
        <f>tbl_główna_GRACZE[[#This Row],[stl]]+tbl_główna_GRACZE[[#This Row],[blk]]+(tbl_główna_GRACZE[[#This Row],[dreb]]*0.5)</f>
        <v>1.5</v>
      </c>
      <c r="AP127" s="29">
        <f>(tbl_główna_GRACZE[[#This Row],[stl]]+tbl_główna_GRACZE[[#This Row],[blk]]+0.5*tbl_główna_GRACZE[[#This Row],[dreb]])/tbl_główna_GRACZE[[#This Row],[min]]</f>
        <v>7.4999999999999997E-2</v>
      </c>
      <c r="AQ127" s="6">
        <f t="shared" si="141"/>
        <v>-1.1999999999999997</v>
      </c>
      <c r="AR127" s="6">
        <f>tbl_główna_GRACZE[[#This Row],[GmSc]]*(40/tbl_główna_GRACZE[[#This Row],[min]])</f>
        <v>-2.3999999999999995</v>
      </c>
      <c r="AS127" s="6">
        <f>tbl_główna_GRACZE[[#This Row],[EVAL]]*(40/tbl_główna_GRACZE[[#This Row],[min]])</f>
        <v>0</v>
      </c>
      <c r="AT127" s="11">
        <f>tbl_główna_GRACZE[[#This Row],[fgm]]-tbl_główna_GRACZE[[#This Row],[3pm]]</f>
        <v>0</v>
      </c>
      <c r="AU127" s="11">
        <f>tbl_główna_GRACZE[[#This Row],[fga]]-tbl_główna_GRACZE[[#This Row],[3pa]]</f>
        <v>2</v>
      </c>
      <c r="AV127">
        <f>IF(tbl_główna_GRACZE[[#This Row],[min]]&gt;0,1,0)</f>
        <v>1</v>
      </c>
      <c r="AW127" s="58" t="str">
        <f>tbl_główna_GRACZE[[#This Row],[I. Nazwisko]]</f>
        <v>F. Gąsiorowski</v>
      </c>
    </row>
    <row r="128" spans="1:49" x14ac:dyDescent="0.35">
      <c r="A128" t="s">
        <v>19</v>
      </c>
      <c r="B128" t="s">
        <v>48</v>
      </c>
      <c r="C128" t="s">
        <v>58</v>
      </c>
      <c r="D128" t="str">
        <f>IF(C128="H",VLOOKUP($A128,tab_nazwy_zespołów[],2,0)&amp;VLOOKUP($B128,tab_nazwy_zespołów[],2,0),VLOOKUP($B128,tab_nazwy_zespołów[],2,0)&amp;VLOOKUP($A128,tab_nazwy_zespołów[],2,0))</f>
        <v>ŁODSTA</v>
      </c>
      <c r="E128">
        <v>3</v>
      </c>
      <c r="F128">
        <f>COUNTIF(tbl_zawodnicy_sumy[I. Nazwisko],tbl_główna_GRACZE[[#This Row],[I. Nazwisko]])</f>
        <v>1</v>
      </c>
      <c r="G128" s="58" t="str">
        <f>RIGHT(tbl_główna_GRACZE[[#This Row],[Kolumna1]],LEN(tbl_główna_GRACZE[[#This Row],[Kolumna1]])-FIND(" ",tbl_główna_GRACZE[[#This Row],[Kolumna1]]))</f>
        <v>B. Konwicki</v>
      </c>
      <c r="H128" s="2" t="s">
        <v>389</v>
      </c>
      <c r="I128" s="10">
        <v>5</v>
      </c>
      <c r="J128" s="10">
        <v>11</v>
      </c>
      <c r="K128" s="10">
        <v>2</v>
      </c>
      <c r="L128" s="10">
        <v>5</v>
      </c>
      <c r="M128" s="10">
        <v>1</v>
      </c>
      <c r="N128" s="10">
        <v>2</v>
      </c>
      <c r="O128" s="10">
        <v>1</v>
      </c>
      <c r="P128" s="10">
        <v>5</v>
      </c>
      <c r="Q128" s="10">
        <v>2</v>
      </c>
      <c r="R128" s="10">
        <v>3</v>
      </c>
      <c r="S128" s="10">
        <v>0</v>
      </c>
      <c r="T128" s="10">
        <v>1</v>
      </c>
      <c r="U128" s="10">
        <v>4</v>
      </c>
      <c r="V128" s="10">
        <v>23</v>
      </c>
      <c r="W128" s="10">
        <v>13</v>
      </c>
      <c r="X128" s="57">
        <f t="shared" ref="X128:X137" si="142">O128+P128</f>
        <v>6</v>
      </c>
      <c r="Y128" s="4">
        <f t="shared" ref="Y128:Y137" si="143">I128/J128</f>
        <v>0.45454545454545453</v>
      </c>
      <c r="Z128" s="4">
        <f t="shared" ref="Z128:Z137" si="144">IFERROR(K128/L128,0)</f>
        <v>0.4</v>
      </c>
      <c r="AA128" s="4">
        <f t="shared" ref="AA128:AA137" si="145">IFERROR(M128/N128,0)</f>
        <v>0.5</v>
      </c>
      <c r="AB128" s="4">
        <f>IFERROR(tbl_główna_GRACZE[[#This Row],[2pm]]/tbl_główna_GRACZE[[#This Row],[2pa]],0)</f>
        <v>0.5</v>
      </c>
      <c r="AC128" s="4">
        <f t="shared" ref="AC128:AC137" si="146">W128/(2*(J128+0.44*N128))</f>
        <v>0.54713804713804715</v>
      </c>
      <c r="AD128" s="4">
        <f t="shared" ref="AD128:AD137" si="147">(I128+0.5*K128)/J128</f>
        <v>0.54545454545454541</v>
      </c>
      <c r="AE128" s="11">
        <f t="shared" ref="AE128:AE137" si="148">R128+T128+U128+W128+X128-(J128-I128)-(N128-M128)</f>
        <v>20</v>
      </c>
      <c r="AF128" s="4">
        <f t="shared" ref="AF128:AF137" si="149">N128/J128</f>
        <v>0.18181818181818182</v>
      </c>
      <c r="AG128" s="4">
        <f t="shared" ref="AG128:AG137" si="150">L128/J128</f>
        <v>0.45454545454545453</v>
      </c>
      <c r="AH12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0.167607223476298</v>
      </c>
      <c r="AI128" s="25">
        <f>tbl_główna_GRACZE[[#This Row],[pts]]*(40/tbl_główna_GRACZE[[#This Row],[min]])</f>
        <v>22.608695652173914</v>
      </c>
      <c r="AJ128" s="30">
        <f>tbl_główna_GRACZE[[#This Row],[reb total]]*(40/tbl_główna_GRACZE[[#This Row],[min]])</f>
        <v>10.434782608695652</v>
      </c>
      <c r="AK128" s="30">
        <f>tbl_główna_GRACZE[[#This Row],[asst]]*(40/tbl_główna_GRACZE[[#This Row],[min]])</f>
        <v>6.9565217391304346</v>
      </c>
      <c r="AL128" s="5">
        <f t="shared" ref="AL128:AL137" si="151">W128/J128</f>
        <v>1.1818181818181819</v>
      </c>
      <c r="AM128" s="5">
        <f>(tbl_główna_GRACZE[[#This Row],[stl]]+tbl_główna_GRACZE[[#This Row],[blk]])*(40/tbl_główna_GRACZE[[#This Row],[min]])</f>
        <v>6.9565217391304346</v>
      </c>
      <c r="AN12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0.26666666666666666</v>
      </c>
      <c r="AO128" s="25">
        <f>tbl_główna_GRACZE[[#This Row],[stl]]+tbl_główna_GRACZE[[#This Row],[blk]]+(tbl_główna_GRACZE[[#This Row],[dreb]]*0.5)</f>
        <v>6.5</v>
      </c>
      <c r="AP128" s="29">
        <f>(tbl_główna_GRACZE[[#This Row],[stl]]+tbl_główna_GRACZE[[#This Row],[blk]]+0.5*tbl_główna_GRACZE[[#This Row],[dreb]])/tbl_główna_GRACZE[[#This Row],[min]]</f>
        <v>0.28260869565217389</v>
      </c>
      <c r="AQ128" s="6">
        <f t="shared" ref="AQ128:AQ137" si="152">W128+0.4*I128-0.7*J128-0.4*(N128-M128)+0.7*O128+0.3*P128+R128+0.7*U128+0.7*T128</f>
        <v>15.600000000000001</v>
      </c>
      <c r="AR128" s="6">
        <f>tbl_główna_GRACZE[[#This Row],[GmSc]]*(40/tbl_główna_GRACZE[[#This Row],[min]])</f>
        <v>27.130434782608699</v>
      </c>
      <c r="AS128" s="6">
        <f>tbl_główna_GRACZE[[#This Row],[EVAL]]*(40/tbl_główna_GRACZE[[#This Row],[min]])</f>
        <v>34.782608695652172</v>
      </c>
      <c r="AT128" s="11">
        <f>tbl_główna_GRACZE[[#This Row],[fgm]]-tbl_główna_GRACZE[[#This Row],[3pm]]</f>
        <v>3</v>
      </c>
      <c r="AU128" s="11">
        <f>tbl_główna_GRACZE[[#This Row],[fga]]-tbl_główna_GRACZE[[#This Row],[3pa]]</f>
        <v>6</v>
      </c>
      <c r="AV128">
        <f>IF(tbl_główna_GRACZE[[#This Row],[min]]&gt;0,1,0)</f>
        <v>1</v>
      </c>
      <c r="AW128" s="58" t="str">
        <f>tbl_główna_GRACZE[[#This Row],[I. Nazwisko]]</f>
        <v>B. Konwicki</v>
      </c>
    </row>
    <row r="129" spans="1:49" x14ac:dyDescent="0.35">
      <c r="A129" t="s">
        <v>19</v>
      </c>
      <c r="B129" t="s">
        <v>48</v>
      </c>
      <c r="C129" t="s">
        <v>58</v>
      </c>
      <c r="D129" t="str">
        <f>IF(C129="H",VLOOKUP($A129,tab_nazwy_zespołów[],2,0)&amp;VLOOKUP($B129,tab_nazwy_zespołów[],2,0),VLOOKUP($B129,tab_nazwy_zespołów[],2,0)&amp;VLOOKUP($A129,tab_nazwy_zespołów[],2,0))</f>
        <v>ŁODSTA</v>
      </c>
      <c r="E129">
        <v>3</v>
      </c>
      <c r="F129">
        <f>COUNTIF(tbl_zawodnicy_sumy[I. Nazwisko],tbl_główna_GRACZE[[#This Row],[I. Nazwisko]])</f>
        <v>1</v>
      </c>
      <c r="G129" s="58" t="str">
        <f>RIGHT(tbl_główna_GRACZE[[#This Row],[Kolumna1]],LEN(tbl_główna_GRACZE[[#This Row],[Kolumna1]])-FIND(" ",tbl_główna_GRACZE[[#This Row],[Kolumna1]]))</f>
        <v>G. Bańkowski</v>
      </c>
      <c r="H129" s="2" t="s">
        <v>11</v>
      </c>
      <c r="I129" s="10">
        <v>4</v>
      </c>
      <c r="J129" s="10">
        <v>9</v>
      </c>
      <c r="K129" s="10">
        <v>1</v>
      </c>
      <c r="L129" s="10">
        <v>1</v>
      </c>
      <c r="M129" s="10">
        <v>0</v>
      </c>
      <c r="N129" s="10">
        <v>0</v>
      </c>
      <c r="O129" s="10">
        <v>4</v>
      </c>
      <c r="P129" s="10">
        <v>3</v>
      </c>
      <c r="Q129" s="10">
        <v>1</v>
      </c>
      <c r="R129" s="10">
        <v>0</v>
      </c>
      <c r="S129" s="10">
        <v>0</v>
      </c>
      <c r="T129" s="10">
        <v>2</v>
      </c>
      <c r="U129" s="10">
        <v>0</v>
      </c>
      <c r="V129" s="10">
        <v>20</v>
      </c>
      <c r="W129" s="10">
        <v>9</v>
      </c>
      <c r="X129" s="57">
        <f t="shared" si="142"/>
        <v>7</v>
      </c>
      <c r="Y129" s="4">
        <f t="shared" si="143"/>
        <v>0.44444444444444442</v>
      </c>
      <c r="Z129" s="4">
        <f t="shared" si="144"/>
        <v>1</v>
      </c>
      <c r="AA129" s="4">
        <f t="shared" si="145"/>
        <v>0</v>
      </c>
      <c r="AB129" s="4">
        <f>IFERROR(tbl_główna_GRACZE[[#This Row],[2pm]]/tbl_główna_GRACZE[[#This Row],[2pa]],0)</f>
        <v>0.375</v>
      </c>
      <c r="AC129" s="4">
        <f t="shared" si="146"/>
        <v>0.5</v>
      </c>
      <c r="AD129" s="4">
        <f t="shared" si="147"/>
        <v>0.5</v>
      </c>
      <c r="AE129" s="11">
        <f t="shared" si="148"/>
        <v>13</v>
      </c>
      <c r="AF129" s="4">
        <f t="shared" si="149"/>
        <v>0</v>
      </c>
      <c r="AG129" s="4">
        <f t="shared" si="150"/>
        <v>0.1111111111111111</v>
      </c>
      <c r="AH12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0.12697516930022573</v>
      </c>
      <c r="AI129" s="25">
        <f>tbl_główna_GRACZE[[#This Row],[pts]]*(40/tbl_główna_GRACZE[[#This Row],[min]])</f>
        <v>18</v>
      </c>
      <c r="AJ129" s="30">
        <f>tbl_główna_GRACZE[[#This Row],[reb total]]*(40/tbl_główna_GRACZE[[#This Row],[min]])</f>
        <v>14</v>
      </c>
      <c r="AK129" s="30">
        <f>tbl_główna_GRACZE[[#This Row],[asst]]*(40/tbl_główna_GRACZE[[#This Row],[min]])</f>
        <v>0</v>
      </c>
      <c r="AL129" s="5">
        <f t="shared" si="151"/>
        <v>1</v>
      </c>
      <c r="AM129" s="5">
        <f>(tbl_główna_GRACZE[[#This Row],[stl]]+tbl_główna_GRACZE[[#This Row],[blk]])*(40/tbl_główna_GRACZE[[#This Row],[min]])</f>
        <v>4</v>
      </c>
      <c r="AN12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29" s="25">
        <f>tbl_główna_GRACZE[[#This Row],[stl]]+tbl_główna_GRACZE[[#This Row],[blk]]+(tbl_główna_GRACZE[[#This Row],[dreb]]*0.5)</f>
        <v>3.5</v>
      </c>
      <c r="AP129" s="29">
        <f>(tbl_główna_GRACZE[[#This Row],[stl]]+tbl_główna_GRACZE[[#This Row],[blk]]+0.5*tbl_główna_GRACZE[[#This Row],[dreb]])/tbl_główna_GRACZE[[#This Row],[min]]</f>
        <v>0.17499999999999999</v>
      </c>
      <c r="AQ129" s="6">
        <f t="shared" si="152"/>
        <v>9.4</v>
      </c>
      <c r="AR129" s="6">
        <f>tbl_główna_GRACZE[[#This Row],[GmSc]]*(40/tbl_główna_GRACZE[[#This Row],[min]])</f>
        <v>18.8</v>
      </c>
      <c r="AS129" s="6">
        <f>tbl_główna_GRACZE[[#This Row],[EVAL]]*(40/tbl_główna_GRACZE[[#This Row],[min]])</f>
        <v>26</v>
      </c>
      <c r="AT129" s="11">
        <f>tbl_główna_GRACZE[[#This Row],[fgm]]-tbl_główna_GRACZE[[#This Row],[3pm]]</f>
        <v>3</v>
      </c>
      <c r="AU129" s="11">
        <f>tbl_główna_GRACZE[[#This Row],[fga]]-tbl_główna_GRACZE[[#This Row],[3pa]]</f>
        <v>8</v>
      </c>
      <c r="AV129">
        <f>IF(tbl_główna_GRACZE[[#This Row],[min]]&gt;0,1,0)</f>
        <v>1</v>
      </c>
      <c r="AW129" s="58" t="str">
        <f>tbl_główna_GRACZE[[#This Row],[I. Nazwisko]]</f>
        <v>G. Bańkowski</v>
      </c>
    </row>
    <row r="130" spans="1:49" x14ac:dyDescent="0.35">
      <c r="A130" t="s">
        <v>19</v>
      </c>
      <c r="B130" t="s">
        <v>48</v>
      </c>
      <c r="C130" t="s">
        <v>58</v>
      </c>
      <c r="D130" t="str">
        <f>IF(C130="H",VLOOKUP($A130,tab_nazwy_zespołów[],2,0)&amp;VLOOKUP($B130,tab_nazwy_zespołów[],2,0),VLOOKUP($B130,tab_nazwy_zespołów[],2,0)&amp;VLOOKUP($A130,tab_nazwy_zespołów[],2,0))</f>
        <v>ŁODSTA</v>
      </c>
      <c r="E130">
        <v>3</v>
      </c>
      <c r="F130">
        <f>COUNTIF(tbl_zawodnicy_sumy[I. Nazwisko],tbl_główna_GRACZE[[#This Row],[I. Nazwisko]])</f>
        <v>1</v>
      </c>
      <c r="G130" s="58" t="str">
        <f>RIGHT(tbl_główna_GRACZE[[#This Row],[Kolumna1]],LEN(tbl_główna_GRACZE[[#This Row],[Kolumna1]])-FIND(" ",tbl_główna_GRACZE[[#This Row],[Kolumna1]]))</f>
        <v>K. Walaszczyk</v>
      </c>
      <c r="H130" s="2" t="s">
        <v>226</v>
      </c>
      <c r="I130" s="10">
        <v>3</v>
      </c>
      <c r="J130" s="10">
        <v>13</v>
      </c>
      <c r="K130" s="10">
        <v>0</v>
      </c>
      <c r="L130" s="10">
        <v>5</v>
      </c>
      <c r="M130" s="10">
        <v>0</v>
      </c>
      <c r="N130" s="10">
        <v>0</v>
      </c>
      <c r="O130" s="10">
        <v>3</v>
      </c>
      <c r="P130" s="10">
        <v>6</v>
      </c>
      <c r="Q130" s="10">
        <v>3</v>
      </c>
      <c r="R130" s="10">
        <v>3</v>
      </c>
      <c r="S130" s="10">
        <v>0</v>
      </c>
      <c r="T130" s="10">
        <v>0</v>
      </c>
      <c r="U130" s="10">
        <v>1</v>
      </c>
      <c r="V130" s="10">
        <v>25</v>
      </c>
      <c r="W130" s="10">
        <v>6</v>
      </c>
      <c r="X130" s="57">
        <f t="shared" si="142"/>
        <v>9</v>
      </c>
      <c r="Y130" s="4">
        <f t="shared" si="143"/>
        <v>0.23076923076923078</v>
      </c>
      <c r="Z130" s="4">
        <f t="shared" si="144"/>
        <v>0</v>
      </c>
      <c r="AA130" s="4">
        <f t="shared" si="145"/>
        <v>0</v>
      </c>
      <c r="AB130" s="4">
        <f>IFERROR(tbl_główna_GRACZE[[#This Row],[2pm]]/tbl_główna_GRACZE[[#This Row],[2pa]],0)</f>
        <v>0.375</v>
      </c>
      <c r="AC130" s="4">
        <f t="shared" si="146"/>
        <v>0.23076923076923078</v>
      </c>
      <c r="AD130" s="4">
        <f t="shared" si="147"/>
        <v>0.23076923076923078</v>
      </c>
      <c r="AE130" s="11">
        <f t="shared" si="148"/>
        <v>9</v>
      </c>
      <c r="AF130" s="4">
        <f t="shared" si="149"/>
        <v>0</v>
      </c>
      <c r="AG130" s="4">
        <f t="shared" si="150"/>
        <v>0.38461538461538464</v>
      </c>
      <c r="AH13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0.18340857787810386</v>
      </c>
      <c r="AI130" s="25">
        <f>tbl_główna_GRACZE[[#This Row],[pts]]*(40/tbl_główna_GRACZE[[#This Row],[min]])</f>
        <v>9.6000000000000014</v>
      </c>
      <c r="AJ130" s="30">
        <f>tbl_główna_GRACZE[[#This Row],[reb total]]*(40/tbl_główna_GRACZE[[#This Row],[min]])</f>
        <v>14.4</v>
      </c>
      <c r="AK130" s="30">
        <f>tbl_główna_GRACZE[[#This Row],[asst]]*(40/tbl_główna_GRACZE[[#This Row],[min]])</f>
        <v>1.6</v>
      </c>
      <c r="AL130" s="5">
        <f t="shared" si="151"/>
        <v>0.46153846153846156</v>
      </c>
      <c r="AM130" s="5">
        <f>(tbl_główna_GRACZE[[#This Row],[stl]]+tbl_główna_GRACZE[[#This Row],[blk]])*(40/tbl_główna_GRACZE[[#This Row],[min]])</f>
        <v>4.8000000000000007</v>
      </c>
      <c r="AN13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30" s="25">
        <f>tbl_główna_GRACZE[[#This Row],[stl]]+tbl_główna_GRACZE[[#This Row],[blk]]+(tbl_główna_GRACZE[[#This Row],[dreb]]*0.5)</f>
        <v>6</v>
      </c>
      <c r="AP130" s="29">
        <f>(tbl_główna_GRACZE[[#This Row],[stl]]+tbl_główna_GRACZE[[#This Row],[blk]]+0.5*tbl_główna_GRACZE[[#This Row],[dreb]])/tbl_główna_GRACZE[[#This Row],[min]]</f>
        <v>0.24</v>
      </c>
      <c r="AQ130" s="6">
        <f t="shared" si="152"/>
        <v>5.7</v>
      </c>
      <c r="AR130" s="6">
        <f>tbl_główna_GRACZE[[#This Row],[GmSc]]*(40/tbl_główna_GRACZE[[#This Row],[min]])</f>
        <v>9.120000000000001</v>
      </c>
      <c r="AS130" s="6">
        <f>tbl_główna_GRACZE[[#This Row],[EVAL]]*(40/tbl_główna_GRACZE[[#This Row],[min]])</f>
        <v>14.4</v>
      </c>
      <c r="AT130" s="11">
        <f>tbl_główna_GRACZE[[#This Row],[fgm]]-tbl_główna_GRACZE[[#This Row],[3pm]]</f>
        <v>3</v>
      </c>
      <c r="AU130" s="11">
        <f>tbl_główna_GRACZE[[#This Row],[fga]]-tbl_główna_GRACZE[[#This Row],[3pa]]</f>
        <v>8</v>
      </c>
      <c r="AV130">
        <f>IF(tbl_główna_GRACZE[[#This Row],[min]]&gt;0,1,0)</f>
        <v>1</v>
      </c>
      <c r="AW130" s="58" t="str">
        <f>tbl_główna_GRACZE[[#This Row],[I. Nazwisko]]</f>
        <v>K. Walaszczyk</v>
      </c>
    </row>
    <row r="131" spans="1:49" x14ac:dyDescent="0.35">
      <c r="A131" t="s">
        <v>19</v>
      </c>
      <c r="B131" t="s">
        <v>48</v>
      </c>
      <c r="C131" t="s">
        <v>58</v>
      </c>
      <c r="D131" t="str">
        <f>IF(C131="H",VLOOKUP($A131,tab_nazwy_zespołów[],2,0)&amp;VLOOKUP($B131,tab_nazwy_zespołów[],2,0),VLOOKUP($B131,tab_nazwy_zespołów[],2,0)&amp;VLOOKUP($A131,tab_nazwy_zespołów[],2,0))</f>
        <v>ŁODSTA</v>
      </c>
      <c r="E131">
        <v>3</v>
      </c>
      <c r="F131">
        <f>COUNTIF(tbl_zawodnicy_sumy[I. Nazwisko],tbl_główna_GRACZE[[#This Row],[I. Nazwisko]])</f>
        <v>1</v>
      </c>
      <c r="G131" s="58" t="str">
        <f>RIGHT(tbl_główna_GRACZE[[#This Row],[Kolumna1]],LEN(tbl_główna_GRACZE[[#This Row],[Kolumna1]])-FIND(" ",tbl_główna_GRACZE[[#This Row],[Kolumna1]]))</f>
        <v>F. Firas</v>
      </c>
      <c r="H131" s="2" t="s">
        <v>227</v>
      </c>
      <c r="I131" s="10">
        <v>2</v>
      </c>
      <c r="J131" s="10">
        <v>6</v>
      </c>
      <c r="K131" s="10">
        <v>0</v>
      </c>
      <c r="L131" s="10">
        <v>1</v>
      </c>
      <c r="M131" s="10">
        <v>0</v>
      </c>
      <c r="N131" s="10">
        <v>0</v>
      </c>
      <c r="O131" s="10">
        <v>1</v>
      </c>
      <c r="P131" s="10">
        <v>4</v>
      </c>
      <c r="Q131" s="10">
        <v>1</v>
      </c>
      <c r="R131" s="10">
        <v>1</v>
      </c>
      <c r="S131" s="10">
        <v>0</v>
      </c>
      <c r="T131" s="10">
        <v>1</v>
      </c>
      <c r="U131" s="10">
        <v>0</v>
      </c>
      <c r="V131" s="10">
        <v>22</v>
      </c>
      <c r="W131" s="10">
        <v>4</v>
      </c>
      <c r="X131" s="57">
        <f t="shared" si="142"/>
        <v>5</v>
      </c>
      <c r="Y131" s="4">
        <f t="shared" si="143"/>
        <v>0.33333333333333331</v>
      </c>
      <c r="Z131" s="4">
        <f t="shared" si="144"/>
        <v>0</v>
      </c>
      <c r="AA131" s="4">
        <f t="shared" si="145"/>
        <v>0</v>
      </c>
      <c r="AB131" s="4">
        <f>IFERROR(tbl_główna_GRACZE[[#This Row],[2pm]]/tbl_główna_GRACZE[[#This Row],[2pa]],0)</f>
        <v>0.4</v>
      </c>
      <c r="AC131" s="4">
        <f t="shared" si="146"/>
        <v>0.33333333333333331</v>
      </c>
      <c r="AD131" s="4">
        <f t="shared" si="147"/>
        <v>0.33333333333333331</v>
      </c>
      <c r="AE131" s="11">
        <f t="shared" si="148"/>
        <v>7</v>
      </c>
      <c r="AF131" s="4">
        <f t="shared" si="149"/>
        <v>0</v>
      </c>
      <c r="AG131" s="4">
        <f t="shared" si="150"/>
        <v>0.16666666666666666</v>
      </c>
      <c r="AH13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8.4650112866817159E-2</v>
      </c>
      <c r="AI131" s="25">
        <f>tbl_główna_GRACZE[[#This Row],[pts]]*(40/tbl_główna_GRACZE[[#This Row],[min]])</f>
        <v>7.2727272727272725</v>
      </c>
      <c r="AJ131" s="30">
        <f>tbl_główna_GRACZE[[#This Row],[reb total]]*(40/tbl_główna_GRACZE[[#This Row],[min]])</f>
        <v>9.0909090909090899</v>
      </c>
      <c r="AK131" s="30">
        <f>tbl_główna_GRACZE[[#This Row],[asst]]*(40/tbl_główna_GRACZE[[#This Row],[min]])</f>
        <v>0</v>
      </c>
      <c r="AL131" s="5">
        <f t="shared" si="151"/>
        <v>0.66666666666666663</v>
      </c>
      <c r="AM131" s="5">
        <f>(tbl_główna_GRACZE[[#This Row],[stl]]+tbl_główna_GRACZE[[#This Row],[blk]])*(40/tbl_główna_GRACZE[[#This Row],[min]])</f>
        <v>3.6363636363636362</v>
      </c>
      <c r="AN13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31" s="25">
        <f>tbl_główna_GRACZE[[#This Row],[stl]]+tbl_główna_GRACZE[[#This Row],[blk]]+(tbl_główna_GRACZE[[#This Row],[dreb]]*0.5)</f>
        <v>4</v>
      </c>
      <c r="AP131" s="29">
        <f>(tbl_główna_GRACZE[[#This Row],[stl]]+tbl_główna_GRACZE[[#This Row],[blk]]+0.5*tbl_główna_GRACZE[[#This Row],[dreb]])/tbl_główna_GRACZE[[#This Row],[min]]</f>
        <v>0.18181818181818182</v>
      </c>
      <c r="AQ131" s="6">
        <f t="shared" si="152"/>
        <v>4.2</v>
      </c>
      <c r="AR131" s="6">
        <f>tbl_główna_GRACZE[[#This Row],[GmSc]]*(40/tbl_główna_GRACZE[[#This Row],[min]])</f>
        <v>7.6363636363636367</v>
      </c>
      <c r="AS131" s="6">
        <f>tbl_główna_GRACZE[[#This Row],[EVAL]]*(40/tbl_główna_GRACZE[[#This Row],[min]])</f>
        <v>12.727272727272727</v>
      </c>
      <c r="AT131" s="11">
        <f>tbl_główna_GRACZE[[#This Row],[fgm]]-tbl_główna_GRACZE[[#This Row],[3pm]]</f>
        <v>2</v>
      </c>
      <c r="AU131" s="11">
        <f>tbl_główna_GRACZE[[#This Row],[fga]]-tbl_główna_GRACZE[[#This Row],[3pa]]</f>
        <v>5</v>
      </c>
      <c r="AV131">
        <f>IF(tbl_główna_GRACZE[[#This Row],[min]]&gt;0,1,0)</f>
        <v>1</v>
      </c>
      <c r="AW131" s="58" t="str">
        <f>tbl_główna_GRACZE[[#This Row],[I. Nazwisko]]</f>
        <v>F. Firas</v>
      </c>
    </row>
    <row r="132" spans="1:49" x14ac:dyDescent="0.35">
      <c r="A132" t="s">
        <v>19</v>
      </c>
      <c r="B132" t="s">
        <v>48</v>
      </c>
      <c r="C132" t="s">
        <v>58</v>
      </c>
      <c r="D132" t="str">
        <f>IF(C132="H",VLOOKUP($A132,tab_nazwy_zespołów[],2,0)&amp;VLOOKUP($B132,tab_nazwy_zespołów[],2,0),VLOOKUP($B132,tab_nazwy_zespołów[],2,0)&amp;VLOOKUP($A132,tab_nazwy_zespołów[],2,0))</f>
        <v>ŁODSTA</v>
      </c>
      <c r="E132">
        <v>3</v>
      </c>
      <c r="F132">
        <f>COUNTIF(tbl_zawodnicy_sumy[I. Nazwisko],tbl_główna_GRACZE[[#This Row],[I. Nazwisko]])</f>
        <v>1</v>
      </c>
      <c r="G132" s="58" t="str">
        <f>RIGHT(tbl_główna_GRACZE[[#This Row],[Kolumna1]],LEN(tbl_główna_GRACZE[[#This Row],[Kolumna1]])-FIND(" ",tbl_główna_GRACZE[[#This Row],[Kolumna1]]))</f>
        <v>R. Kielczyk</v>
      </c>
      <c r="H132" s="2" t="s">
        <v>17</v>
      </c>
      <c r="I132" s="10">
        <v>2</v>
      </c>
      <c r="J132" s="10">
        <v>11</v>
      </c>
      <c r="K132" s="10">
        <v>0</v>
      </c>
      <c r="L132" s="10">
        <v>3</v>
      </c>
      <c r="M132" s="10">
        <v>0</v>
      </c>
      <c r="N132" s="10">
        <v>0</v>
      </c>
      <c r="O132" s="10">
        <v>1</v>
      </c>
      <c r="P132" s="10">
        <v>1</v>
      </c>
      <c r="Q132" s="10">
        <v>0</v>
      </c>
      <c r="R132" s="10">
        <v>1</v>
      </c>
      <c r="S132" s="10">
        <v>0</v>
      </c>
      <c r="T132" s="10">
        <v>0</v>
      </c>
      <c r="U132" s="10">
        <v>1</v>
      </c>
      <c r="V132" s="10">
        <v>25</v>
      </c>
      <c r="W132" s="10">
        <v>4</v>
      </c>
      <c r="X132" s="57">
        <f t="shared" si="142"/>
        <v>2</v>
      </c>
      <c r="Y132" s="4">
        <f t="shared" si="143"/>
        <v>0.18181818181818182</v>
      </c>
      <c r="Z132" s="4">
        <f t="shared" si="144"/>
        <v>0</v>
      </c>
      <c r="AA132" s="4">
        <f t="shared" si="145"/>
        <v>0</v>
      </c>
      <c r="AB132" s="4">
        <f>IFERROR(tbl_główna_GRACZE[[#This Row],[2pm]]/tbl_główna_GRACZE[[#This Row],[2pa]],0)</f>
        <v>0.25</v>
      </c>
      <c r="AC132" s="4">
        <f t="shared" si="146"/>
        <v>0.18181818181818182</v>
      </c>
      <c r="AD132" s="4">
        <f t="shared" si="147"/>
        <v>0.18181818181818182</v>
      </c>
      <c r="AE132" s="11">
        <f t="shared" si="148"/>
        <v>-1</v>
      </c>
      <c r="AF132" s="4">
        <f t="shared" si="149"/>
        <v>0</v>
      </c>
      <c r="AG132" s="4">
        <f t="shared" si="150"/>
        <v>0.27272727272727271</v>
      </c>
      <c r="AH13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0.15519187358916481</v>
      </c>
      <c r="AI132" s="25">
        <f>tbl_główna_GRACZE[[#This Row],[pts]]*(40/tbl_główna_GRACZE[[#This Row],[min]])</f>
        <v>6.4</v>
      </c>
      <c r="AJ132" s="30">
        <f>tbl_główna_GRACZE[[#This Row],[reb total]]*(40/tbl_główna_GRACZE[[#This Row],[min]])</f>
        <v>3.2</v>
      </c>
      <c r="AK132" s="30">
        <f>tbl_główna_GRACZE[[#This Row],[asst]]*(40/tbl_główna_GRACZE[[#This Row],[min]])</f>
        <v>1.6</v>
      </c>
      <c r="AL132" s="5">
        <f t="shared" si="151"/>
        <v>0.36363636363636365</v>
      </c>
      <c r="AM132" s="5">
        <f>(tbl_główna_GRACZE[[#This Row],[stl]]+tbl_główna_GRACZE[[#This Row],[blk]])*(40/tbl_główna_GRACZE[[#This Row],[min]])</f>
        <v>1.6</v>
      </c>
      <c r="AN13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132" s="25">
        <f>tbl_główna_GRACZE[[#This Row],[stl]]+tbl_główna_GRACZE[[#This Row],[blk]]+(tbl_główna_GRACZE[[#This Row],[dreb]]*0.5)</f>
        <v>1.5</v>
      </c>
      <c r="AP132" s="29">
        <f>(tbl_główna_GRACZE[[#This Row],[stl]]+tbl_główna_GRACZE[[#This Row],[blk]]+0.5*tbl_główna_GRACZE[[#This Row],[dreb]])/tbl_główna_GRACZE[[#This Row],[min]]</f>
        <v>0.06</v>
      </c>
      <c r="AQ132" s="6">
        <f t="shared" si="152"/>
        <v>-0.19999999999999929</v>
      </c>
      <c r="AR132" s="6">
        <f>tbl_główna_GRACZE[[#This Row],[GmSc]]*(40/tbl_główna_GRACZE[[#This Row],[min]])</f>
        <v>-0.3199999999999989</v>
      </c>
      <c r="AS132" s="6">
        <f>tbl_główna_GRACZE[[#This Row],[EVAL]]*(40/tbl_główna_GRACZE[[#This Row],[min]])</f>
        <v>-1.6</v>
      </c>
      <c r="AT132" s="11">
        <f>tbl_główna_GRACZE[[#This Row],[fgm]]-tbl_główna_GRACZE[[#This Row],[3pm]]</f>
        <v>2</v>
      </c>
      <c r="AU132" s="11">
        <f>tbl_główna_GRACZE[[#This Row],[fga]]-tbl_główna_GRACZE[[#This Row],[3pa]]</f>
        <v>8</v>
      </c>
      <c r="AV132">
        <f>IF(tbl_główna_GRACZE[[#This Row],[min]]&gt;0,1,0)</f>
        <v>1</v>
      </c>
      <c r="AW132" s="58" t="str">
        <f>tbl_główna_GRACZE[[#This Row],[I. Nazwisko]]</f>
        <v>R. Kielczyk</v>
      </c>
    </row>
    <row r="133" spans="1:49" x14ac:dyDescent="0.35">
      <c r="A133" t="s">
        <v>19</v>
      </c>
      <c r="B133" t="s">
        <v>48</v>
      </c>
      <c r="C133" t="s">
        <v>58</v>
      </c>
      <c r="D133" t="str">
        <f>IF(C133="H",VLOOKUP($A133,tab_nazwy_zespołów[],2,0)&amp;VLOOKUP($B133,tab_nazwy_zespołów[],2,0),VLOOKUP($B133,tab_nazwy_zespołów[],2,0)&amp;VLOOKUP($A133,tab_nazwy_zespołów[],2,0))</f>
        <v>ŁODSTA</v>
      </c>
      <c r="E133">
        <v>3</v>
      </c>
      <c r="F133">
        <f>COUNTIF(tbl_zawodnicy_sumy[I. Nazwisko],tbl_główna_GRACZE[[#This Row],[I. Nazwisko]])</f>
        <v>1</v>
      </c>
      <c r="G133" s="58" t="str">
        <f>RIGHT(tbl_główna_GRACZE[[#This Row],[Kolumna1]],LEN(tbl_główna_GRACZE[[#This Row],[Kolumna1]])-FIND(" ",tbl_główna_GRACZE[[#This Row],[Kolumna1]]))</f>
        <v>M. Burczyński</v>
      </c>
      <c r="H133" s="2" t="s">
        <v>16</v>
      </c>
      <c r="I133" s="10">
        <v>2</v>
      </c>
      <c r="J133" s="10">
        <v>7</v>
      </c>
      <c r="K133" s="10">
        <v>0</v>
      </c>
      <c r="L133" s="10">
        <v>2</v>
      </c>
      <c r="M133" s="10">
        <v>0</v>
      </c>
      <c r="N133" s="10">
        <v>0</v>
      </c>
      <c r="O133" s="10">
        <v>4</v>
      </c>
      <c r="P133" s="10">
        <v>3</v>
      </c>
      <c r="Q133" s="10">
        <v>1</v>
      </c>
      <c r="R133" s="10">
        <v>0</v>
      </c>
      <c r="S133" s="10">
        <v>0</v>
      </c>
      <c r="T133" s="10">
        <v>1</v>
      </c>
      <c r="U133" s="10">
        <v>2</v>
      </c>
      <c r="V133" s="10">
        <v>19</v>
      </c>
      <c r="W133" s="10">
        <v>4</v>
      </c>
      <c r="X133" s="57">
        <f t="shared" si="142"/>
        <v>7</v>
      </c>
      <c r="Y133" s="4">
        <f t="shared" si="143"/>
        <v>0.2857142857142857</v>
      </c>
      <c r="Z133" s="4">
        <f t="shared" si="144"/>
        <v>0</v>
      </c>
      <c r="AA133" s="4">
        <f t="shared" si="145"/>
        <v>0</v>
      </c>
      <c r="AB133" s="4">
        <f>IFERROR(tbl_główna_GRACZE[[#This Row],[2pm]]/tbl_główna_GRACZE[[#This Row],[2pa]],0)</f>
        <v>0.4</v>
      </c>
      <c r="AC133" s="4">
        <f t="shared" si="146"/>
        <v>0.2857142857142857</v>
      </c>
      <c r="AD133" s="4">
        <f t="shared" si="147"/>
        <v>0.2857142857142857</v>
      </c>
      <c r="AE133" s="11">
        <f t="shared" si="148"/>
        <v>9</v>
      </c>
      <c r="AF133" s="4">
        <f t="shared" si="149"/>
        <v>0</v>
      </c>
      <c r="AG133" s="4">
        <f t="shared" si="150"/>
        <v>0.2857142857142857</v>
      </c>
      <c r="AH13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9.8758465011286684E-2</v>
      </c>
      <c r="AI133" s="25">
        <f>tbl_główna_GRACZE[[#This Row],[pts]]*(40/tbl_główna_GRACZE[[#This Row],[min]])</f>
        <v>8.4210526315789469</v>
      </c>
      <c r="AJ133" s="30">
        <f>tbl_główna_GRACZE[[#This Row],[reb total]]*(40/tbl_główna_GRACZE[[#This Row],[min]])</f>
        <v>14.736842105263158</v>
      </c>
      <c r="AK133" s="30">
        <f>tbl_główna_GRACZE[[#This Row],[asst]]*(40/tbl_główna_GRACZE[[#This Row],[min]])</f>
        <v>4.2105263157894735</v>
      </c>
      <c r="AL133" s="5">
        <f t="shared" si="151"/>
        <v>0.5714285714285714</v>
      </c>
      <c r="AM133" s="5">
        <f>(tbl_główna_GRACZE[[#This Row],[stl]]+tbl_główna_GRACZE[[#This Row],[blk]])*(40/tbl_główna_GRACZE[[#This Row],[min]])</f>
        <v>2.1052631578947367</v>
      </c>
      <c r="AN13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133" s="25">
        <f>tbl_główna_GRACZE[[#This Row],[stl]]+tbl_główna_GRACZE[[#This Row],[blk]]+(tbl_główna_GRACZE[[#This Row],[dreb]]*0.5)</f>
        <v>2.5</v>
      </c>
      <c r="AP133" s="29">
        <f>(tbl_główna_GRACZE[[#This Row],[stl]]+tbl_główna_GRACZE[[#This Row],[blk]]+0.5*tbl_główna_GRACZE[[#This Row],[dreb]])/tbl_główna_GRACZE[[#This Row],[min]]</f>
        <v>0.13157894736842105</v>
      </c>
      <c r="AQ133" s="6">
        <f t="shared" si="152"/>
        <v>5.7</v>
      </c>
      <c r="AR133" s="6">
        <f>tbl_główna_GRACZE[[#This Row],[GmSc]]*(40/tbl_główna_GRACZE[[#This Row],[min]])</f>
        <v>12</v>
      </c>
      <c r="AS133" s="6">
        <f>tbl_główna_GRACZE[[#This Row],[EVAL]]*(40/tbl_główna_GRACZE[[#This Row],[min]])</f>
        <v>18.94736842105263</v>
      </c>
      <c r="AT133" s="11">
        <f>tbl_główna_GRACZE[[#This Row],[fgm]]-tbl_główna_GRACZE[[#This Row],[3pm]]</f>
        <v>2</v>
      </c>
      <c r="AU133" s="11">
        <f>tbl_główna_GRACZE[[#This Row],[fga]]-tbl_główna_GRACZE[[#This Row],[3pa]]</f>
        <v>5</v>
      </c>
      <c r="AV133">
        <f>IF(tbl_główna_GRACZE[[#This Row],[min]]&gt;0,1,0)</f>
        <v>1</v>
      </c>
      <c r="AW133" s="58" t="str">
        <f>tbl_główna_GRACZE[[#This Row],[I. Nazwisko]]</f>
        <v>M. Burczyński</v>
      </c>
    </row>
    <row r="134" spans="1:49" x14ac:dyDescent="0.35">
      <c r="A134" t="s">
        <v>19</v>
      </c>
      <c r="B134" t="s">
        <v>48</v>
      </c>
      <c r="C134" t="s">
        <v>58</v>
      </c>
      <c r="D134" t="str">
        <f>IF(C134="H",VLOOKUP($A134,tab_nazwy_zespołów[],2,0)&amp;VLOOKUP($B134,tab_nazwy_zespołów[],2,0),VLOOKUP($B134,tab_nazwy_zespołów[],2,0)&amp;VLOOKUP($A134,tab_nazwy_zespołów[],2,0))</f>
        <v>ŁODSTA</v>
      </c>
      <c r="E134">
        <v>3</v>
      </c>
      <c r="F134">
        <f>COUNTIF(tbl_zawodnicy_sumy[I. Nazwisko],tbl_główna_GRACZE[[#This Row],[I. Nazwisko]])</f>
        <v>1</v>
      </c>
      <c r="G134" s="58" t="str">
        <f>RIGHT(tbl_główna_GRACZE[[#This Row],[Kolumna1]],LEN(tbl_główna_GRACZE[[#This Row],[Kolumna1]])-FIND(" ",tbl_główna_GRACZE[[#This Row],[Kolumna1]]))</f>
        <v>J. Olszewski</v>
      </c>
      <c r="H134" s="2" t="s">
        <v>14</v>
      </c>
      <c r="I134" s="10">
        <v>1</v>
      </c>
      <c r="J134" s="10">
        <v>3</v>
      </c>
      <c r="K134" s="10">
        <v>0</v>
      </c>
      <c r="L134" s="10">
        <v>1</v>
      </c>
      <c r="M134" s="10">
        <v>0</v>
      </c>
      <c r="N134" s="10">
        <v>0</v>
      </c>
      <c r="O134" s="10">
        <v>0</v>
      </c>
      <c r="P134" s="10">
        <v>3</v>
      </c>
      <c r="Q134" s="10">
        <v>4</v>
      </c>
      <c r="R134" s="10">
        <v>0</v>
      </c>
      <c r="S134" s="10">
        <v>0</v>
      </c>
      <c r="T134" s="10">
        <v>0</v>
      </c>
      <c r="U134" s="10">
        <v>0</v>
      </c>
      <c r="V134" s="10">
        <v>16</v>
      </c>
      <c r="W134" s="10">
        <v>2</v>
      </c>
      <c r="X134" s="57">
        <f t="shared" si="142"/>
        <v>3</v>
      </c>
      <c r="Y134" s="4">
        <f t="shared" si="143"/>
        <v>0.33333333333333331</v>
      </c>
      <c r="Z134" s="4">
        <f t="shared" si="144"/>
        <v>0</v>
      </c>
      <c r="AA134" s="4">
        <f t="shared" si="145"/>
        <v>0</v>
      </c>
      <c r="AB134" s="4">
        <f>IFERROR(tbl_główna_GRACZE[[#This Row],[2pm]]/tbl_główna_GRACZE[[#This Row],[2pa]],0)</f>
        <v>0.5</v>
      </c>
      <c r="AC134" s="4">
        <f t="shared" si="146"/>
        <v>0.33333333333333331</v>
      </c>
      <c r="AD134" s="4">
        <f t="shared" si="147"/>
        <v>0.33333333333333331</v>
      </c>
      <c r="AE134" s="11">
        <f t="shared" si="148"/>
        <v>3</v>
      </c>
      <c r="AF134" s="4">
        <f t="shared" si="149"/>
        <v>0</v>
      </c>
      <c r="AG134" s="4">
        <f t="shared" si="150"/>
        <v>0.33333333333333331</v>
      </c>
      <c r="AH13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4.232505643340858E-2</v>
      </c>
      <c r="AI134" s="25">
        <f>tbl_główna_GRACZE[[#This Row],[pts]]*(40/tbl_główna_GRACZE[[#This Row],[min]])</f>
        <v>5</v>
      </c>
      <c r="AJ134" s="30">
        <f>tbl_główna_GRACZE[[#This Row],[reb total]]*(40/tbl_główna_GRACZE[[#This Row],[min]])</f>
        <v>7.5</v>
      </c>
      <c r="AK134" s="30">
        <f>tbl_główna_GRACZE[[#This Row],[asst]]*(40/tbl_główna_GRACZE[[#This Row],[min]])</f>
        <v>0</v>
      </c>
      <c r="AL134" s="5">
        <f t="shared" si="151"/>
        <v>0.66666666666666663</v>
      </c>
      <c r="AM134" s="5">
        <f>(tbl_główna_GRACZE[[#This Row],[stl]]+tbl_główna_GRACZE[[#This Row],[blk]])*(40/tbl_główna_GRACZE[[#This Row],[min]])</f>
        <v>0</v>
      </c>
      <c r="AN13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34" s="25">
        <f>tbl_główna_GRACZE[[#This Row],[stl]]+tbl_główna_GRACZE[[#This Row],[blk]]+(tbl_główna_GRACZE[[#This Row],[dreb]]*0.5)</f>
        <v>1.5</v>
      </c>
      <c r="AP134" s="29">
        <f>(tbl_główna_GRACZE[[#This Row],[stl]]+tbl_główna_GRACZE[[#This Row],[blk]]+0.5*tbl_główna_GRACZE[[#This Row],[dreb]])/tbl_główna_GRACZE[[#This Row],[min]]</f>
        <v>9.375E-2</v>
      </c>
      <c r="AQ134" s="6">
        <f t="shared" si="152"/>
        <v>1.2000000000000002</v>
      </c>
      <c r="AR134" s="6">
        <f>tbl_główna_GRACZE[[#This Row],[GmSc]]*(40/tbl_główna_GRACZE[[#This Row],[min]])</f>
        <v>3.0000000000000004</v>
      </c>
      <c r="AS134" s="6">
        <f>tbl_główna_GRACZE[[#This Row],[EVAL]]*(40/tbl_główna_GRACZE[[#This Row],[min]])</f>
        <v>7.5</v>
      </c>
      <c r="AT134" s="11">
        <f>tbl_główna_GRACZE[[#This Row],[fgm]]-tbl_główna_GRACZE[[#This Row],[3pm]]</f>
        <v>1</v>
      </c>
      <c r="AU134" s="11">
        <f>tbl_główna_GRACZE[[#This Row],[fga]]-tbl_główna_GRACZE[[#This Row],[3pa]]</f>
        <v>2</v>
      </c>
      <c r="AV134">
        <f>IF(tbl_główna_GRACZE[[#This Row],[min]]&gt;0,1,0)</f>
        <v>1</v>
      </c>
      <c r="AW134" s="58" t="str">
        <f>tbl_główna_GRACZE[[#This Row],[I. Nazwisko]]</f>
        <v>J. Olszewski</v>
      </c>
    </row>
    <row r="135" spans="1:49" x14ac:dyDescent="0.35">
      <c r="A135" t="s">
        <v>19</v>
      </c>
      <c r="B135" t="s">
        <v>48</v>
      </c>
      <c r="C135" t="s">
        <v>58</v>
      </c>
      <c r="D135" t="str">
        <f>IF(C135="H",VLOOKUP($A135,tab_nazwy_zespołów[],2,0)&amp;VLOOKUP($B135,tab_nazwy_zespołów[],2,0),VLOOKUP($B135,tab_nazwy_zespołów[],2,0)&amp;VLOOKUP($A135,tab_nazwy_zespołów[],2,0))</f>
        <v>ŁODSTA</v>
      </c>
      <c r="E135">
        <v>3</v>
      </c>
      <c r="F135">
        <f>COUNTIF(tbl_zawodnicy_sumy[I. Nazwisko],tbl_główna_GRACZE[[#This Row],[I. Nazwisko]])</f>
        <v>1</v>
      </c>
      <c r="G135" s="58" t="str">
        <f>RIGHT(tbl_główna_GRACZE[[#This Row],[Kolumna1]],LEN(tbl_główna_GRACZE[[#This Row],[Kolumna1]])-FIND(" ",tbl_główna_GRACZE[[#This Row],[Kolumna1]]))</f>
        <v>S. Mrożek</v>
      </c>
      <c r="H135" s="2" t="s">
        <v>15</v>
      </c>
      <c r="I135" s="10">
        <v>1</v>
      </c>
      <c r="J135" s="10">
        <v>7</v>
      </c>
      <c r="K135" s="10">
        <v>0</v>
      </c>
      <c r="L135" s="10">
        <v>3</v>
      </c>
      <c r="M135" s="10">
        <v>0</v>
      </c>
      <c r="N135" s="10">
        <v>0</v>
      </c>
      <c r="O135" s="10">
        <v>1</v>
      </c>
      <c r="P135" s="10">
        <v>0</v>
      </c>
      <c r="Q135" s="10">
        <v>0</v>
      </c>
      <c r="R135" s="10">
        <v>1</v>
      </c>
      <c r="S135" s="10">
        <v>0</v>
      </c>
      <c r="T135" s="10">
        <v>1</v>
      </c>
      <c r="U135" s="10">
        <v>0</v>
      </c>
      <c r="V135" s="10">
        <v>14</v>
      </c>
      <c r="W135" s="10">
        <v>2</v>
      </c>
      <c r="X135" s="57">
        <f t="shared" si="142"/>
        <v>1</v>
      </c>
      <c r="Y135" s="4">
        <f t="shared" si="143"/>
        <v>0.14285714285714285</v>
      </c>
      <c r="Z135" s="4">
        <f t="shared" si="144"/>
        <v>0</v>
      </c>
      <c r="AA135" s="4">
        <f t="shared" si="145"/>
        <v>0</v>
      </c>
      <c r="AB135" s="4">
        <f>IFERROR(tbl_główna_GRACZE[[#This Row],[2pm]]/tbl_główna_GRACZE[[#This Row],[2pa]],0)</f>
        <v>0.25</v>
      </c>
      <c r="AC135" s="4">
        <f t="shared" si="146"/>
        <v>0.14285714285714285</v>
      </c>
      <c r="AD135" s="4">
        <f t="shared" si="147"/>
        <v>0.14285714285714285</v>
      </c>
      <c r="AE135" s="11">
        <f t="shared" si="148"/>
        <v>-1</v>
      </c>
      <c r="AF135" s="4">
        <f t="shared" si="149"/>
        <v>0</v>
      </c>
      <c r="AG135" s="4">
        <f t="shared" si="150"/>
        <v>0.42857142857142855</v>
      </c>
      <c r="AH13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9.8758465011286684E-2</v>
      </c>
      <c r="AI135" s="25">
        <f>tbl_główna_GRACZE[[#This Row],[pts]]*(40/tbl_główna_GRACZE[[#This Row],[min]])</f>
        <v>5.7142857142857144</v>
      </c>
      <c r="AJ135" s="30">
        <f>tbl_główna_GRACZE[[#This Row],[reb total]]*(40/tbl_główna_GRACZE[[#This Row],[min]])</f>
        <v>2.8571428571428572</v>
      </c>
      <c r="AK135" s="30">
        <f>tbl_główna_GRACZE[[#This Row],[asst]]*(40/tbl_główna_GRACZE[[#This Row],[min]])</f>
        <v>0</v>
      </c>
      <c r="AL135" s="5">
        <f t="shared" si="151"/>
        <v>0.2857142857142857</v>
      </c>
      <c r="AM135" s="5">
        <f>(tbl_główna_GRACZE[[#This Row],[stl]]+tbl_główna_GRACZE[[#This Row],[blk]])*(40/tbl_główna_GRACZE[[#This Row],[min]])</f>
        <v>5.7142857142857144</v>
      </c>
      <c r="AN13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35" s="25">
        <f>tbl_główna_GRACZE[[#This Row],[stl]]+tbl_główna_GRACZE[[#This Row],[blk]]+(tbl_główna_GRACZE[[#This Row],[dreb]]*0.5)</f>
        <v>2</v>
      </c>
      <c r="AP135" s="29">
        <f>(tbl_główna_GRACZE[[#This Row],[stl]]+tbl_główna_GRACZE[[#This Row],[blk]]+0.5*tbl_główna_GRACZE[[#This Row],[dreb]])/tbl_główna_GRACZE[[#This Row],[min]]</f>
        <v>0.14285714285714285</v>
      </c>
      <c r="AQ135" s="6">
        <f t="shared" si="152"/>
        <v>-9.9999999999999645E-2</v>
      </c>
      <c r="AR135" s="6">
        <f>tbl_główna_GRACZE[[#This Row],[GmSc]]*(40/tbl_główna_GRACZE[[#This Row],[min]])</f>
        <v>-0.2857142857142847</v>
      </c>
      <c r="AS135" s="6">
        <f>tbl_główna_GRACZE[[#This Row],[EVAL]]*(40/tbl_główna_GRACZE[[#This Row],[min]])</f>
        <v>-2.8571428571428572</v>
      </c>
      <c r="AT135" s="11">
        <f>tbl_główna_GRACZE[[#This Row],[fgm]]-tbl_główna_GRACZE[[#This Row],[3pm]]</f>
        <v>1</v>
      </c>
      <c r="AU135" s="11">
        <f>tbl_główna_GRACZE[[#This Row],[fga]]-tbl_główna_GRACZE[[#This Row],[3pa]]</f>
        <v>4</v>
      </c>
      <c r="AV135">
        <f>IF(tbl_główna_GRACZE[[#This Row],[min]]&gt;0,1,0)</f>
        <v>1</v>
      </c>
      <c r="AW135" s="58" t="str">
        <f>tbl_główna_GRACZE[[#This Row],[I. Nazwisko]]</f>
        <v>S. Mrożek</v>
      </c>
    </row>
    <row r="136" spans="1:49" x14ac:dyDescent="0.35">
      <c r="A136" t="s">
        <v>19</v>
      </c>
      <c r="B136" t="s">
        <v>48</v>
      </c>
      <c r="C136" t="s">
        <v>58</v>
      </c>
      <c r="D136" t="str">
        <f>IF(C136="H",VLOOKUP($A136,tab_nazwy_zespołów[],2,0)&amp;VLOOKUP($B136,tab_nazwy_zespołów[],2,0),VLOOKUP($B136,tab_nazwy_zespołów[],2,0)&amp;VLOOKUP($A136,tab_nazwy_zespołów[],2,0))</f>
        <v>ŁODSTA</v>
      </c>
      <c r="E136">
        <v>3</v>
      </c>
      <c r="F136">
        <f>COUNTIF(tbl_zawodnicy_sumy[I. Nazwisko],tbl_główna_GRACZE[[#This Row],[I. Nazwisko]])</f>
        <v>1</v>
      </c>
      <c r="G136" s="58" t="str">
        <f>RIGHT(tbl_główna_GRACZE[[#This Row],[Kolumna1]],LEN(tbl_główna_GRACZE[[#This Row],[Kolumna1]])-FIND(" ",tbl_główna_GRACZE[[#This Row],[Kolumna1]]))</f>
        <v>T. Kowalczyk</v>
      </c>
      <c r="H136" s="2" t="s">
        <v>18</v>
      </c>
      <c r="I136" s="10">
        <v>0</v>
      </c>
      <c r="J136" s="10">
        <v>2</v>
      </c>
      <c r="K136" s="10">
        <v>0</v>
      </c>
      <c r="L136" s="10">
        <v>0</v>
      </c>
      <c r="M136" s="10">
        <v>0</v>
      </c>
      <c r="N136" s="10">
        <v>0</v>
      </c>
      <c r="O136" s="10">
        <v>1</v>
      </c>
      <c r="P136" s="10">
        <v>1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14</v>
      </c>
      <c r="W136" s="10">
        <v>0</v>
      </c>
      <c r="X136" s="57">
        <f t="shared" si="142"/>
        <v>2</v>
      </c>
      <c r="Y136" s="4">
        <f t="shared" si="143"/>
        <v>0</v>
      </c>
      <c r="Z136" s="4">
        <f t="shared" si="144"/>
        <v>0</v>
      </c>
      <c r="AA136" s="4">
        <f t="shared" si="145"/>
        <v>0</v>
      </c>
      <c r="AB136" s="4">
        <f>IFERROR(tbl_główna_GRACZE[[#This Row],[2pm]]/tbl_główna_GRACZE[[#This Row],[2pa]],0)</f>
        <v>0</v>
      </c>
      <c r="AC136" s="4">
        <f t="shared" si="146"/>
        <v>0</v>
      </c>
      <c r="AD136" s="4">
        <f t="shared" si="147"/>
        <v>0</v>
      </c>
      <c r="AE136" s="11">
        <f t="shared" si="148"/>
        <v>0</v>
      </c>
      <c r="AF136" s="4">
        <f t="shared" si="149"/>
        <v>0</v>
      </c>
      <c r="AG136" s="4">
        <f t="shared" si="150"/>
        <v>0</v>
      </c>
      <c r="AH13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2.8216704288939055E-2</v>
      </c>
      <c r="AI136" s="25">
        <f>tbl_główna_GRACZE[[#This Row],[pts]]*(40/tbl_główna_GRACZE[[#This Row],[min]])</f>
        <v>0</v>
      </c>
      <c r="AJ136" s="30">
        <f>tbl_główna_GRACZE[[#This Row],[reb total]]*(40/tbl_główna_GRACZE[[#This Row],[min]])</f>
        <v>5.7142857142857144</v>
      </c>
      <c r="AK136" s="30">
        <f>tbl_główna_GRACZE[[#This Row],[asst]]*(40/tbl_główna_GRACZE[[#This Row],[min]])</f>
        <v>0</v>
      </c>
      <c r="AL136" s="5">
        <f t="shared" si="151"/>
        <v>0</v>
      </c>
      <c r="AM136" s="5">
        <f>(tbl_główna_GRACZE[[#This Row],[stl]]+tbl_główna_GRACZE[[#This Row],[blk]])*(40/tbl_główna_GRACZE[[#This Row],[min]])</f>
        <v>0</v>
      </c>
      <c r="AN13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36" s="25">
        <f>tbl_główna_GRACZE[[#This Row],[stl]]+tbl_główna_GRACZE[[#This Row],[blk]]+(tbl_główna_GRACZE[[#This Row],[dreb]]*0.5)</f>
        <v>0.5</v>
      </c>
      <c r="AP136" s="29">
        <f>(tbl_główna_GRACZE[[#This Row],[stl]]+tbl_główna_GRACZE[[#This Row],[blk]]+0.5*tbl_główna_GRACZE[[#This Row],[dreb]])/tbl_główna_GRACZE[[#This Row],[min]]</f>
        <v>3.5714285714285712E-2</v>
      </c>
      <c r="AQ136" s="6">
        <f t="shared" si="152"/>
        <v>-0.39999999999999997</v>
      </c>
      <c r="AR136" s="6">
        <f>tbl_główna_GRACZE[[#This Row],[GmSc]]*(40/tbl_główna_GRACZE[[#This Row],[min]])</f>
        <v>-1.1428571428571428</v>
      </c>
      <c r="AS136" s="6">
        <f>tbl_główna_GRACZE[[#This Row],[EVAL]]*(40/tbl_główna_GRACZE[[#This Row],[min]])</f>
        <v>0</v>
      </c>
      <c r="AT136" s="11">
        <f>tbl_główna_GRACZE[[#This Row],[fgm]]-tbl_główna_GRACZE[[#This Row],[3pm]]</f>
        <v>0</v>
      </c>
      <c r="AU136" s="11">
        <f>tbl_główna_GRACZE[[#This Row],[fga]]-tbl_główna_GRACZE[[#This Row],[3pa]]</f>
        <v>2</v>
      </c>
      <c r="AV136">
        <f>IF(tbl_główna_GRACZE[[#This Row],[min]]&gt;0,1,0)</f>
        <v>1</v>
      </c>
      <c r="AW136" s="58" t="str">
        <f>tbl_główna_GRACZE[[#This Row],[I. Nazwisko]]</f>
        <v>T. Kowalczyk</v>
      </c>
    </row>
    <row r="137" spans="1:49" x14ac:dyDescent="0.35">
      <c r="A137" t="s">
        <v>19</v>
      </c>
      <c r="B137" t="s">
        <v>48</v>
      </c>
      <c r="C137" t="s">
        <v>58</v>
      </c>
      <c r="D137" t="str">
        <f>IF(C137="H",VLOOKUP($A137,tab_nazwy_zespołów[],2,0)&amp;VLOOKUP($B137,tab_nazwy_zespołów[],2,0),VLOOKUP($B137,tab_nazwy_zespołów[],2,0)&amp;VLOOKUP($A137,tab_nazwy_zespołów[],2,0))</f>
        <v>ŁODSTA</v>
      </c>
      <c r="E137">
        <v>3</v>
      </c>
      <c r="F137">
        <f>COUNTIF(tbl_zawodnicy_sumy[I. Nazwisko],tbl_główna_GRACZE[[#This Row],[I. Nazwisko]])</f>
        <v>1</v>
      </c>
      <c r="G137" s="58" t="str">
        <f>RIGHT(tbl_główna_GRACZE[[#This Row],[Kolumna1]],LEN(tbl_główna_GRACZE[[#This Row],[Kolumna1]])-FIND(" ",tbl_główna_GRACZE[[#This Row],[Kolumna1]]))</f>
        <v>P. Roguski</v>
      </c>
      <c r="H137" s="2" t="s">
        <v>412</v>
      </c>
      <c r="I137" s="10">
        <v>0</v>
      </c>
      <c r="J137" s="10">
        <v>1</v>
      </c>
      <c r="K137" s="10">
        <v>0</v>
      </c>
      <c r="L137" s="10">
        <v>1</v>
      </c>
      <c r="M137" s="10">
        <v>0</v>
      </c>
      <c r="N137" s="10">
        <v>0</v>
      </c>
      <c r="O137" s="10">
        <v>2</v>
      </c>
      <c r="P137" s="10">
        <v>1</v>
      </c>
      <c r="Q137" s="10">
        <v>2</v>
      </c>
      <c r="R137" s="10">
        <v>0</v>
      </c>
      <c r="S137" s="10">
        <v>0</v>
      </c>
      <c r="T137" s="10">
        <v>0</v>
      </c>
      <c r="U137" s="10">
        <v>1</v>
      </c>
      <c r="V137" s="10">
        <v>17</v>
      </c>
      <c r="W137" s="10">
        <v>0</v>
      </c>
      <c r="X137" s="57">
        <f t="shared" si="142"/>
        <v>3</v>
      </c>
      <c r="Y137" s="4">
        <f t="shared" si="143"/>
        <v>0</v>
      </c>
      <c r="Z137" s="4">
        <f t="shared" si="144"/>
        <v>0</v>
      </c>
      <c r="AA137" s="4">
        <f t="shared" si="145"/>
        <v>0</v>
      </c>
      <c r="AB137" s="4">
        <f>IFERROR(tbl_główna_GRACZE[[#This Row],[2pm]]/tbl_główna_GRACZE[[#This Row],[2pa]],0)</f>
        <v>0</v>
      </c>
      <c r="AC137" s="4">
        <f t="shared" si="146"/>
        <v>0</v>
      </c>
      <c r="AD137" s="4">
        <f t="shared" si="147"/>
        <v>0</v>
      </c>
      <c r="AE137" s="11">
        <f t="shared" si="148"/>
        <v>3</v>
      </c>
      <c r="AF137" s="4">
        <f t="shared" si="149"/>
        <v>0</v>
      </c>
      <c r="AG137" s="4">
        <f t="shared" si="150"/>
        <v>1</v>
      </c>
      <c r="AH13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1.4108352144469528E-2</v>
      </c>
      <c r="AI137" s="25">
        <f>tbl_główna_GRACZE[[#This Row],[pts]]*(40/tbl_główna_GRACZE[[#This Row],[min]])</f>
        <v>0</v>
      </c>
      <c r="AJ137" s="30">
        <f>tbl_główna_GRACZE[[#This Row],[reb total]]*(40/tbl_główna_GRACZE[[#This Row],[min]])</f>
        <v>7.0588235294117645</v>
      </c>
      <c r="AK137" s="30">
        <f>tbl_główna_GRACZE[[#This Row],[asst]]*(40/tbl_główna_GRACZE[[#This Row],[min]])</f>
        <v>2.3529411764705883</v>
      </c>
      <c r="AL137" s="5">
        <f t="shared" si="151"/>
        <v>0</v>
      </c>
      <c r="AM137" s="5">
        <f>(tbl_główna_GRACZE[[#This Row],[stl]]+tbl_główna_GRACZE[[#This Row],[blk]])*(40/tbl_główna_GRACZE[[#This Row],[min]])</f>
        <v>0</v>
      </c>
      <c r="AN13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37" s="25">
        <f>tbl_główna_GRACZE[[#This Row],[stl]]+tbl_główna_GRACZE[[#This Row],[blk]]+(tbl_główna_GRACZE[[#This Row],[dreb]]*0.5)</f>
        <v>0.5</v>
      </c>
      <c r="AP137" s="29">
        <f>(tbl_główna_GRACZE[[#This Row],[stl]]+tbl_główna_GRACZE[[#This Row],[blk]]+0.5*tbl_główna_GRACZE[[#This Row],[dreb]])/tbl_główna_GRACZE[[#This Row],[min]]</f>
        <v>2.9411764705882353E-2</v>
      </c>
      <c r="AQ137" s="6">
        <f t="shared" si="152"/>
        <v>1.7</v>
      </c>
      <c r="AR137" s="6">
        <f>tbl_główna_GRACZE[[#This Row],[GmSc]]*(40/tbl_główna_GRACZE[[#This Row],[min]])</f>
        <v>4</v>
      </c>
      <c r="AS137" s="6">
        <f>tbl_główna_GRACZE[[#This Row],[EVAL]]*(40/tbl_główna_GRACZE[[#This Row],[min]])</f>
        <v>7.0588235294117645</v>
      </c>
      <c r="AT137" s="11">
        <f>tbl_główna_GRACZE[[#This Row],[fgm]]-tbl_główna_GRACZE[[#This Row],[3pm]]</f>
        <v>0</v>
      </c>
      <c r="AU137" s="11">
        <f>tbl_główna_GRACZE[[#This Row],[fga]]-tbl_główna_GRACZE[[#This Row],[3pa]]</f>
        <v>0</v>
      </c>
      <c r="AV137">
        <f>IF(tbl_główna_GRACZE[[#This Row],[min]]&gt;0,1,0)</f>
        <v>1</v>
      </c>
      <c r="AW137" s="58" t="str">
        <f>tbl_główna_GRACZE[[#This Row],[I. Nazwisko]]</f>
        <v>P. Roguski</v>
      </c>
    </row>
    <row r="138" spans="1:49" x14ac:dyDescent="0.35">
      <c r="A138" t="s">
        <v>50</v>
      </c>
      <c r="B138" t="s">
        <v>25</v>
      </c>
      <c r="C138" t="s">
        <v>57</v>
      </c>
      <c r="D138" t="str">
        <f>IF(C138="H",VLOOKUP($A138,tab_nazwy_zespołów[],2,0)&amp;VLOOKUP($B138,tab_nazwy_zespołów[],2,0),VLOOKUP($B138,tab_nazwy_zespołów[],2,0)&amp;VLOOKUP($A138,tab_nazwy_zespołów[],2,0))</f>
        <v>KONHUT</v>
      </c>
      <c r="E138">
        <v>3</v>
      </c>
      <c r="F138">
        <f>COUNTIF(tbl_zawodnicy_sumy[I. Nazwisko],tbl_główna_GRACZE[[#This Row],[I. Nazwisko]])</f>
        <v>1</v>
      </c>
      <c r="G138" s="58" t="str">
        <f>RIGHT(tbl_główna_GRACZE[[#This Row],[Kolumna1]],LEN(tbl_główna_GRACZE[[#This Row],[Kolumna1]])-FIND(" ",tbl_główna_GRACZE[[#This Row],[Kolumna1]]))</f>
        <v>D. Hentosz</v>
      </c>
      <c r="H138" s="2" t="s">
        <v>84</v>
      </c>
      <c r="I138" s="10">
        <v>10</v>
      </c>
      <c r="J138" s="10">
        <v>26</v>
      </c>
      <c r="K138" s="10">
        <v>3</v>
      </c>
      <c r="L138" s="10">
        <v>15</v>
      </c>
      <c r="M138" s="10">
        <v>3</v>
      </c>
      <c r="N138" s="10">
        <v>6</v>
      </c>
      <c r="O138" s="10">
        <v>0</v>
      </c>
      <c r="P138" s="10">
        <v>5</v>
      </c>
      <c r="Q138" s="10">
        <v>4</v>
      </c>
      <c r="R138" s="10">
        <v>3</v>
      </c>
      <c r="S138" s="10">
        <v>0</v>
      </c>
      <c r="T138" s="10">
        <v>1</v>
      </c>
      <c r="U138" s="10">
        <v>2</v>
      </c>
      <c r="V138" s="10">
        <v>40</v>
      </c>
      <c r="W138" s="10">
        <v>26</v>
      </c>
      <c r="X138" s="57">
        <f t="shared" ref="X138:X145" si="153">O138+P138</f>
        <v>5</v>
      </c>
      <c r="Y138" s="4">
        <f t="shared" ref="Y138:Y145" si="154">I138/J138</f>
        <v>0.38461538461538464</v>
      </c>
      <c r="Z138" s="4">
        <f t="shared" ref="Z138:Z145" si="155">IFERROR(K138/L138,0)</f>
        <v>0.2</v>
      </c>
      <c r="AA138" s="4">
        <f t="shared" ref="AA138:AA145" si="156">IFERROR(M138/N138,0)</f>
        <v>0.5</v>
      </c>
      <c r="AB138" s="4">
        <f>IFERROR(tbl_główna_GRACZE[[#This Row],[2pm]]/tbl_główna_GRACZE[[#This Row],[2pa]],0)</f>
        <v>0.63636363636363635</v>
      </c>
      <c r="AC138" s="4">
        <f t="shared" ref="AC138:AC145" si="157">W138/(2*(J138+0.44*N138))</f>
        <v>0.45391061452513964</v>
      </c>
      <c r="AD138" s="4">
        <f t="shared" ref="AD138:AD145" si="158">(I138+0.5*K138)/J138</f>
        <v>0.44230769230769229</v>
      </c>
      <c r="AE138" s="11">
        <f t="shared" ref="AE138:AE145" si="159">R138+T138+U138+W138+X138-(J138-I138)-(N138-M138)</f>
        <v>18</v>
      </c>
      <c r="AF138" s="4">
        <f t="shared" ref="AF138:AF145" si="160">N138/J138</f>
        <v>0.23076923076923078</v>
      </c>
      <c r="AG138" s="4">
        <f t="shared" ref="AG138:AG145" si="161">L138/J138</f>
        <v>0.57692307692307687</v>
      </c>
      <c r="AH13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0.37943826179120294</v>
      </c>
      <c r="AI138" s="25">
        <f>tbl_główna_GRACZE[[#This Row],[pts]]*(40/tbl_główna_GRACZE[[#This Row],[min]])</f>
        <v>26</v>
      </c>
      <c r="AJ138" s="30">
        <f>tbl_główna_GRACZE[[#This Row],[reb total]]*(40/tbl_główna_GRACZE[[#This Row],[min]])</f>
        <v>5</v>
      </c>
      <c r="AK138" s="30">
        <f>tbl_główna_GRACZE[[#This Row],[asst]]*(40/tbl_główna_GRACZE[[#This Row],[min]])</f>
        <v>2</v>
      </c>
      <c r="AL138" s="5">
        <f t="shared" ref="AL138:AL145" si="162">W138/J138</f>
        <v>1</v>
      </c>
      <c r="AM138" s="5">
        <f>(tbl_główna_GRACZE[[#This Row],[stl]]+tbl_główna_GRACZE[[#This Row],[blk]])*(40/tbl_główna_GRACZE[[#This Row],[min]])</f>
        <v>4</v>
      </c>
      <c r="AN13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0.25</v>
      </c>
      <c r="AO138" s="25">
        <f>tbl_główna_GRACZE[[#This Row],[stl]]+tbl_główna_GRACZE[[#This Row],[blk]]+(tbl_główna_GRACZE[[#This Row],[dreb]]*0.5)</f>
        <v>6.5</v>
      </c>
      <c r="AP138" s="29">
        <f>(tbl_główna_GRACZE[[#This Row],[stl]]+tbl_główna_GRACZE[[#This Row],[blk]]+0.5*tbl_główna_GRACZE[[#This Row],[dreb]])/tbl_główna_GRACZE[[#This Row],[min]]</f>
        <v>0.16250000000000001</v>
      </c>
      <c r="AQ138" s="6">
        <f t="shared" ref="AQ138:AQ145" si="163">W138+0.4*I138-0.7*J138-0.4*(N138-M138)+0.7*O138+0.3*P138+R138+0.7*U138+0.7*T138</f>
        <v>17.2</v>
      </c>
      <c r="AR138" s="6">
        <f>tbl_główna_GRACZE[[#This Row],[GmSc]]*(40/tbl_główna_GRACZE[[#This Row],[min]])</f>
        <v>17.2</v>
      </c>
      <c r="AS138" s="6">
        <f>tbl_główna_GRACZE[[#This Row],[EVAL]]*(40/tbl_główna_GRACZE[[#This Row],[min]])</f>
        <v>18</v>
      </c>
      <c r="AT138" s="11">
        <f>tbl_główna_GRACZE[[#This Row],[fgm]]-tbl_główna_GRACZE[[#This Row],[3pm]]</f>
        <v>7</v>
      </c>
      <c r="AU138" s="11">
        <f>tbl_główna_GRACZE[[#This Row],[fga]]-tbl_główna_GRACZE[[#This Row],[3pa]]</f>
        <v>11</v>
      </c>
      <c r="AV138">
        <f>IF(tbl_główna_GRACZE[[#This Row],[min]]&gt;0,1,0)</f>
        <v>1</v>
      </c>
      <c r="AW138" s="58" t="str">
        <f>tbl_główna_GRACZE[[#This Row],[I. Nazwisko]]</f>
        <v>D. Hentosz</v>
      </c>
    </row>
    <row r="139" spans="1:49" x14ac:dyDescent="0.35">
      <c r="A139" t="s">
        <v>50</v>
      </c>
      <c r="B139" t="s">
        <v>25</v>
      </c>
      <c r="C139" t="s">
        <v>57</v>
      </c>
      <c r="D139" t="str">
        <f>IF(C139="H",VLOOKUP($A139,tab_nazwy_zespołów[],2,0)&amp;VLOOKUP($B139,tab_nazwy_zespołów[],2,0),VLOOKUP($B139,tab_nazwy_zespołów[],2,0)&amp;VLOOKUP($A139,tab_nazwy_zespołów[],2,0))</f>
        <v>KONHUT</v>
      </c>
      <c r="E139">
        <v>3</v>
      </c>
      <c r="F139">
        <f>COUNTIF(tbl_zawodnicy_sumy[I. Nazwisko],tbl_główna_GRACZE[[#This Row],[I. Nazwisko]])</f>
        <v>1</v>
      </c>
      <c r="G139" s="58" t="str">
        <f>RIGHT(tbl_główna_GRACZE[[#This Row],[Kolumna1]],LEN(tbl_główna_GRACZE[[#This Row],[Kolumna1]])-FIND(" ",tbl_główna_GRACZE[[#This Row],[Kolumna1]]))</f>
        <v>L. Prokopczuk</v>
      </c>
      <c r="H139" s="2" t="s">
        <v>327</v>
      </c>
      <c r="I139" s="10">
        <v>4</v>
      </c>
      <c r="J139" s="10">
        <v>8</v>
      </c>
      <c r="K139" s="10">
        <v>2</v>
      </c>
      <c r="L139" s="10">
        <v>6</v>
      </c>
      <c r="M139" s="10">
        <v>0</v>
      </c>
      <c r="N139" s="10">
        <v>0</v>
      </c>
      <c r="O139" s="10">
        <v>0</v>
      </c>
      <c r="P139" s="10">
        <v>5</v>
      </c>
      <c r="Q139" s="10">
        <v>0</v>
      </c>
      <c r="R139" s="10">
        <v>4</v>
      </c>
      <c r="S139" s="10">
        <v>0</v>
      </c>
      <c r="T139" s="10">
        <v>0</v>
      </c>
      <c r="U139" s="10">
        <v>2</v>
      </c>
      <c r="V139" s="10">
        <v>37</v>
      </c>
      <c r="W139" s="10">
        <v>10</v>
      </c>
      <c r="X139" s="57">
        <f t="shared" si="153"/>
        <v>5</v>
      </c>
      <c r="Y139" s="4">
        <f t="shared" si="154"/>
        <v>0.5</v>
      </c>
      <c r="Z139" s="4">
        <f t="shared" si="155"/>
        <v>0.33333333333333331</v>
      </c>
      <c r="AA139" s="4">
        <f t="shared" si="156"/>
        <v>0</v>
      </c>
      <c r="AB139" s="4">
        <f>IFERROR(tbl_główna_GRACZE[[#This Row],[2pm]]/tbl_główna_GRACZE[[#This Row],[2pa]],0)</f>
        <v>1</v>
      </c>
      <c r="AC139" s="4">
        <f t="shared" si="157"/>
        <v>0.625</v>
      </c>
      <c r="AD139" s="4">
        <f t="shared" si="158"/>
        <v>0.625</v>
      </c>
      <c r="AE139" s="11">
        <f t="shared" si="159"/>
        <v>17</v>
      </c>
      <c r="AF139" s="4">
        <f t="shared" si="160"/>
        <v>0</v>
      </c>
      <c r="AG139" s="4">
        <f t="shared" si="161"/>
        <v>0.75</v>
      </c>
      <c r="AH13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0.10598834128245892</v>
      </c>
      <c r="AI139" s="25">
        <f>tbl_główna_GRACZE[[#This Row],[pts]]*(40/tbl_główna_GRACZE[[#This Row],[min]])</f>
        <v>10.810810810810811</v>
      </c>
      <c r="AJ139" s="30">
        <f>tbl_główna_GRACZE[[#This Row],[reb total]]*(40/tbl_główna_GRACZE[[#This Row],[min]])</f>
        <v>5.4054054054054053</v>
      </c>
      <c r="AK139" s="30">
        <f>tbl_główna_GRACZE[[#This Row],[asst]]*(40/tbl_główna_GRACZE[[#This Row],[min]])</f>
        <v>2.1621621621621623</v>
      </c>
      <c r="AL139" s="5">
        <f t="shared" si="162"/>
        <v>1.25</v>
      </c>
      <c r="AM139" s="5">
        <f>(tbl_główna_GRACZE[[#This Row],[stl]]+tbl_główna_GRACZE[[#This Row],[blk]])*(40/tbl_główna_GRACZE[[#This Row],[min]])</f>
        <v>4.3243243243243246</v>
      </c>
      <c r="AN13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0.25</v>
      </c>
      <c r="AO139" s="25">
        <f>tbl_główna_GRACZE[[#This Row],[stl]]+tbl_główna_GRACZE[[#This Row],[blk]]+(tbl_główna_GRACZE[[#This Row],[dreb]]*0.5)</f>
        <v>6.5</v>
      </c>
      <c r="AP139" s="29">
        <f>(tbl_główna_GRACZE[[#This Row],[stl]]+tbl_główna_GRACZE[[#This Row],[blk]]+0.5*tbl_główna_GRACZE[[#This Row],[dreb]])/tbl_główna_GRACZE[[#This Row],[min]]</f>
        <v>0.17567567567567569</v>
      </c>
      <c r="AQ139" s="6">
        <f t="shared" si="163"/>
        <v>12.9</v>
      </c>
      <c r="AR139" s="6">
        <f>tbl_główna_GRACZE[[#This Row],[GmSc]]*(40/tbl_główna_GRACZE[[#This Row],[min]])</f>
        <v>13.945945945945947</v>
      </c>
      <c r="AS139" s="6">
        <f>tbl_główna_GRACZE[[#This Row],[EVAL]]*(40/tbl_główna_GRACZE[[#This Row],[min]])</f>
        <v>18.378378378378379</v>
      </c>
      <c r="AT139" s="11">
        <f>tbl_główna_GRACZE[[#This Row],[fgm]]-tbl_główna_GRACZE[[#This Row],[3pm]]</f>
        <v>2</v>
      </c>
      <c r="AU139" s="11">
        <f>tbl_główna_GRACZE[[#This Row],[fga]]-tbl_główna_GRACZE[[#This Row],[3pa]]</f>
        <v>2</v>
      </c>
      <c r="AV139">
        <f>IF(tbl_główna_GRACZE[[#This Row],[min]]&gt;0,1,0)</f>
        <v>1</v>
      </c>
      <c r="AW139" s="58" t="str">
        <f>tbl_główna_GRACZE[[#This Row],[I. Nazwisko]]</f>
        <v>L. Prokopczuk</v>
      </c>
    </row>
    <row r="140" spans="1:49" x14ac:dyDescent="0.35">
      <c r="A140" t="s">
        <v>50</v>
      </c>
      <c r="B140" t="s">
        <v>25</v>
      </c>
      <c r="C140" t="s">
        <v>57</v>
      </c>
      <c r="D140" t="str">
        <f>IF(C140="H",VLOOKUP($A140,tab_nazwy_zespołów[],2,0)&amp;VLOOKUP($B140,tab_nazwy_zespołów[],2,0),VLOOKUP($B140,tab_nazwy_zespołów[],2,0)&amp;VLOOKUP($A140,tab_nazwy_zespołów[],2,0))</f>
        <v>KONHUT</v>
      </c>
      <c r="E140">
        <v>3</v>
      </c>
      <c r="F140">
        <f>COUNTIF(tbl_zawodnicy_sumy[I. Nazwisko],tbl_główna_GRACZE[[#This Row],[I. Nazwisko]])</f>
        <v>1</v>
      </c>
      <c r="G140" s="58" t="str">
        <f>RIGHT(tbl_główna_GRACZE[[#This Row],[Kolumna1]],LEN(tbl_główna_GRACZE[[#This Row],[Kolumna1]])-FIND(" ",tbl_główna_GRACZE[[#This Row],[Kolumna1]]))</f>
        <v>D. Więcław</v>
      </c>
      <c r="H140" s="2" t="s">
        <v>87</v>
      </c>
      <c r="I140" s="10">
        <v>3</v>
      </c>
      <c r="J140" s="10">
        <v>7</v>
      </c>
      <c r="K140" s="10">
        <v>0</v>
      </c>
      <c r="L140" s="10">
        <v>0</v>
      </c>
      <c r="M140" s="10">
        <v>2</v>
      </c>
      <c r="N140" s="10">
        <v>3</v>
      </c>
      <c r="O140" s="10">
        <v>1</v>
      </c>
      <c r="P140" s="10">
        <v>5</v>
      </c>
      <c r="Q140" s="10">
        <v>0</v>
      </c>
      <c r="R140" s="10">
        <v>0</v>
      </c>
      <c r="S140" s="10">
        <v>0</v>
      </c>
      <c r="T140" s="10">
        <v>0</v>
      </c>
      <c r="U140" s="10">
        <v>1</v>
      </c>
      <c r="V140" s="10">
        <v>20</v>
      </c>
      <c r="W140" s="10">
        <v>8</v>
      </c>
      <c r="X140" s="57">
        <f t="shared" si="153"/>
        <v>6</v>
      </c>
      <c r="Y140" s="4">
        <f t="shared" si="154"/>
        <v>0.42857142857142855</v>
      </c>
      <c r="Z140" s="4">
        <f t="shared" si="155"/>
        <v>0</v>
      </c>
      <c r="AA140" s="4">
        <f t="shared" si="156"/>
        <v>0.66666666666666663</v>
      </c>
      <c r="AB140" s="4">
        <f>IFERROR(tbl_główna_GRACZE[[#This Row],[2pm]]/tbl_główna_GRACZE[[#This Row],[2pa]],0)</f>
        <v>0.42857142857142855</v>
      </c>
      <c r="AC140" s="4">
        <f t="shared" si="157"/>
        <v>0.48076923076923073</v>
      </c>
      <c r="AD140" s="4">
        <f t="shared" si="158"/>
        <v>0.42857142857142855</v>
      </c>
      <c r="AE140" s="11">
        <f t="shared" si="159"/>
        <v>10</v>
      </c>
      <c r="AF140" s="4">
        <f t="shared" si="160"/>
        <v>0.42857142857142855</v>
      </c>
      <c r="AG140" s="4">
        <f t="shared" si="161"/>
        <v>0</v>
      </c>
      <c r="AH14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0.11022787493375728</v>
      </c>
      <c r="AI140" s="25">
        <f>tbl_główna_GRACZE[[#This Row],[pts]]*(40/tbl_główna_GRACZE[[#This Row],[min]])</f>
        <v>16</v>
      </c>
      <c r="AJ140" s="30">
        <f>tbl_główna_GRACZE[[#This Row],[reb total]]*(40/tbl_główna_GRACZE[[#This Row],[min]])</f>
        <v>12</v>
      </c>
      <c r="AK140" s="30">
        <f>tbl_główna_GRACZE[[#This Row],[asst]]*(40/tbl_główna_GRACZE[[#This Row],[min]])</f>
        <v>2</v>
      </c>
      <c r="AL140" s="5">
        <f t="shared" si="162"/>
        <v>1.1428571428571428</v>
      </c>
      <c r="AM140" s="5">
        <f>(tbl_główna_GRACZE[[#This Row],[stl]]+tbl_główna_GRACZE[[#This Row],[blk]])*(40/tbl_główna_GRACZE[[#This Row],[min]])</f>
        <v>0</v>
      </c>
      <c r="AN14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40" s="25">
        <f>tbl_główna_GRACZE[[#This Row],[stl]]+tbl_główna_GRACZE[[#This Row],[blk]]+(tbl_główna_GRACZE[[#This Row],[dreb]]*0.5)</f>
        <v>2.5</v>
      </c>
      <c r="AP140" s="29">
        <f>(tbl_główna_GRACZE[[#This Row],[stl]]+tbl_główna_GRACZE[[#This Row],[blk]]+0.5*tbl_główna_GRACZE[[#This Row],[dreb]])/tbl_główna_GRACZE[[#This Row],[min]]</f>
        <v>0.125</v>
      </c>
      <c r="AQ140" s="6">
        <f t="shared" si="163"/>
        <v>6.8</v>
      </c>
      <c r="AR140" s="6">
        <f>tbl_główna_GRACZE[[#This Row],[GmSc]]*(40/tbl_główna_GRACZE[[#This Row],[min]])</f>
        <v>13.6</v>
      </c>
      <c r="AS140" s="6">
        <f>tbl_główna_GRACZE[[#This Row],[EVAL]]*(40/tbl_główna_GRACZE[[#This Row],[min]])</f>
        <v>20</v>
      </c>
      <c r="AT140" s="11">
        <f>tbl_główna_GRACZE[[#This Row],[fgm]]-tbl_główna_GRACZE[[#This Row],[3pm]]</f>
        <v>3</v>
      </c>
      <c r="AU140" s="11">
        <f>tbl_główna_GRACZE[[#This Row],[fga]]-tbl_główna_GRACZE[[#This Row],[3pa]]</f>
        <v>7</v>
      </c>
      <c r="AV140">
        <f>IF(tbl_główna_GRACZE[[#This Row],[min]]&gt;0,1,0)</f>
        <v>1</v>
      </c>
      <c r="AW140" s="58" t="str">
        <f>tbl_główna_GRACZE[[#This Row],[I. Nazwisko]]</f>
        <v>D. Więcław</v>
      </c>
    </row>
    <row r="141" spans="1:49" x14ac:dyDescent="0.35">
      <c r="A141" t="s">
        <v>50</v>
      </c>
      <c r="B141" t="s">
        <v>25</v>
      </c>
      <c r="C141" t="s">
        <v>57</v>
      </c>
      <c r="D141" t="str">
        <f>IF(C141="H",VLOOKUP($A141,tab_nazwy_zespołów[],2,0)&amp;VLOOKUP($B141,tab_nazwy_zespołów[],2,0),VLOOKUP($B141,tab_nazwy_zespołów[],2,0)&amp;VLOOKUP($A141,tab_nazwy_zespołów[],2,0))</f>
        <v>KONHUT</v>
      </c>
      <c r="E141">
        <v>3</v>
      </c>
      <c r="F141">
        <f>COUNTIF(tbl_zawodnicy_sumy[I. Nazwisko],tbl_główna_GRACZE[[#This Row],[I. Nazwisko]])</f>
        <v>1</v>
      </c>
      <c r="G141" s="58" t="str">
        <f>RIGHT(tbl_główna_GRACZE[[#This Row],[Kolumna1]],LEN(tbl_główna_GRACZE[[#This Row],[Kolumna1]])-FIND(" ",tbl_główna_GRACZE[[#This Row],[Kolumna1]]))</f>
        <v>M. Matusik</v>
      </c>
      <c r="H141" s="2" t="s">
        <v>86</v>
      </c>
      <c r="I141" s="10">
        <v>2</v>
      </c>
      <c r="J141" s="10">
        <v>8</v>
      </c>
      <c r="K141" s="10">
        <v>1</v>
      </c>
      <c r="L141" s="10">
        <v>6</v>
      </c>
      <c r="M141" s="10">
        <v>2</v>
      </c>
      <c r="N141" s="10">
        <v>2</v>
      </c>
      <c r="O141" s="10">
        <v>1</v>
      </c>
      <c r="P141" s="10">
        <v>5</v>
      </c>
      <c r="Q141" s="10">
        <v>1</v>
      </c>
      <c r="R141" s="10">
        <v>2</v>
      </c>
      <c r="S141" s="10">
        <v>0</v>
      </c>
      <c r="T141" s="10">
        <v>0</v>
      </c>
      <c r="U141" s="10">
        <v>6</v>
      </c>
      <c r="V141" s="10">
        <v>27</v>
      </c>
      <c r="W141" s="10">
        <v>7</v>
      </c>
      <c r="X141" s="57">
        <f t="shared" si="153"/>
        <v>6</v>
      </c>
      <c r="Y141" s="4">
        <f t="shared" si="154"/>
        <v>0.25</v>
      </c>
      <c r="Z141" s="4">
        <f t="shared" si="155"/>
        <v>0.16666666666666666</v>
      </c>
      <c r="AA141" s="4">
        <f t="shared" si="156"/>
        <v>1</v>
      </c>
      <c r="AB141" s="4">
        <f>IFERROR(tbl_główna_GRACZE[[#This Row],[2pm]]/tbl_główna_GRACZE[[#This Row],[2pa]],0)</f>
        <v>0.5</v>
      </c>
      <c r="AC141" s="4">
        <f t="shared" si="157"/>
        <v>0.39414414414414412</v>
      </c>
      <c r="AD141" s="4">
        <f t="shared" si="158"/>
        <v>0.3125</v>
      </c>
      <c r="AE141" s="11">
        <f t="shared" si="159"/>
        <v>15</v>
      </c>
      <c r="AF141" s="4">
        <f t="shared" si="160"/>
        <v>0.25</v>
      </c>
      <c r="AG141" s="4">
        <f t="shared" si="161"/>
        <v>0.75</v>
      </c>
      <c r="AH14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0.11764705882352941</v>
      </c>
      <c r="AI141" s="25">
        <f>tbl_główna_GRACZE[[#This Row],[pts]]*(40/tbl_główna_GRACZE[[#This Row],[min]])</f>
        <v>10.37037037037037</v>
      </c>
      <c r="AJ141" s="30">
        <f>tbl_główna_GRACZE[[#This Row],[reb total]]*(40/tbl_główna_GRACZE[[#This Row],[min]])</f>
        <v>8.8888888888888893</v>
      </c>
      <c r="AK141" s="30">
        <f>tbl_główna_GRACZE[[#This Row],[asst]]*(40/tbl_główna_GRACZE[[#This Row],[min]])</f>
        <v>8.8888888888888893</v>
      </c>
      <c r="AL141" s="5">
        <f t="shared" si="162"/>
        <v>0.875</v>
      </c>
      <c r="AM141" s="5">
        <f>(tbl_główna_GRACZE[[#This Row],[stl]]+tbl_główna_GRACZE[[#This Row],[blk]])*(40/tbl_główna_GRACZE[[#This Row],[min]])</f>
        <v>2.9629629629629628</v>
      </c>
      <c r="AN14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141" s="25">
        <f>tbl_główna_GRACZE[[#This Row],[stl]]+tbl_główna_GRACZE[[#This Row],[blk]]+(tbl_główna_GRACZE[[#This Row],[dreb]]*0.5)</f>
        <v>4.5</v>
      </c>
      <c r="AP141" s="29">
        <f>(tbl_główna_GRACZE[[#This Row],[stl]]+tbl_główna_GRACZE[[#This Row],[blk]]+0.5*tbl_główna_GRACZE[[#This Row],[dreb]])/tbl_główna_GRACZE[[#This Row],[min]]</f>
        <v>0.16666666666666666</v>
      </c>
      <c r="AQ141" s="6">
        <f t="shared" si="163"/>
        <v>10.6</v>
      </c>
      <c r="AR141" s="6">
        <f>tbl_główna_GRACZE[[#This Row],[GmSc]]*(40/tbl_główna_GRACZE[[#This Row],[min]])</f>
        <v>15.703703703703702</v>
      </c>
      <c r="AS141" s="6">
        <f>tbl_główna_GRACZE[[#This Row],[EVAL]]*(40/tbl_główna_GRACZE[[#This Row],[min]])</f>
        <v>22.222222222222221</v>
      </c>
      <c r="AT141" s="11">
        <f>tbl_główna_GRACZE[[#This Row],[fgm]]-tbl_główna_GRACZE[[#This Row],[3pm]]</f>
        <v>1</v>
      </c>
      <c r="AU141" s="11">
        <f>tbl_główna_GRACZE[[#This Row],[fga]]-tbl_główna_GRACZE[[#This Row],[3pa]]</f>
        <v>2</v>
      </c>
      <c r="AV141">
        <f>IF(tbl_główna_GRACZE[[#This Row],[min]]&gt;0,1,0)</f>
        <v>1</v>
      </c>
      <c r="AW141" s="58" t="str">
        <f>tbl_główna_GRACZE[[#This Row],[I. Nazwisko]]</f>
        <v>M. Matusik</v>
      </c>
    </row>
    <row r="142" spans="1:49" x14ac:dyDescent="0.35">
      <c r="A142" t="s">
        <v>50</v>
      </c>
      <c r="B142" t="s">
        <v>25</v>
      </c>
      <c r="C142" t="s">
        <v>57</v>
      </c>
      <c r="D142" t="str">
        <f>IF(C142="H",VLOOKUP($A142,tab_nazwy_zespołów[],2,0)&amp;VLOOKUP($B142,tab_nazwy_zespołów[],2,0),VLOOKUP($B142,tab_nazwy_zespołów[],2,0)&amp;VLOOKUP($A142,tab_nazwy_zespołów[],2,0))</f>
        <v>KONHUT</v>
      </c>
      <c r="E142">
        <v>3</v>
      </c>
      <c r="F142">
        <f>COUNTIF(tbl_zawodnicy_sumy[I. Nazwisko],tbl_główna_GRACZE[[#This Row],[I. Nazwisko]])</f>
        <v>1</v>
      </c>
      <c r="G142" s="58" t="str">
        <f>RIGHT(tbl_główna_GRACZE[[#This Row],[Kolumna1]],LEN(tbl_główna_GRACZE[[#This Row],[Kolumna1]])-FIND(" ",tbl_główna_GRACZE[[#This Row],[Kolumna1]]))</f>
        <v>P. Makieła</v>
      </c>
      <c r="H142" s="2" t="s">
        <v>90</v>
      </c>
      <c r="I142" s="10">
        <v>2</v>
      </c>
      <c r="J142" s="10">
        <v>5</v>
      </c>
      <c r="K142" s="10">
        <v>0</v>
      </c>
      <c r="L142" s="10">
        <v>1</v>
      </c>
      <c r="M142" s="10">
        <v>1</v>
      </c>
      <c r="N142" s="10">
        <v>2</v>
      </c>
      <c r="O142" s="10">
        <v>0</v>
      </c>
      <c r="P142" s="10">
        <v>1</v>
      </c>
      <c r="Q142" s="10">
        <v>1</v>
      </c>
      <c r="R142" s="10">
        <v>1</v>
      </c>
      <c r="S142" s="10">
        <v>0</v>
      </c>
      <c r="T142" s="10">
        <v>0</v>
      </c>
      <c r="U142" s="10">
        <v>1</v>
      </c>
      <c r="V142" s="10">
        <v>19</v>
      </c>
      <c r="W142" s="10">
        <v>5</v>
      </c>
      <c r="X142" s="57">
        <f t="shared" si="153"/>
        <v>1</v>
      </c>
      <c r="Y142" s="4">
        <f t="shared" si="154"/>
        <v>0.4</v>
      </c>
      <c r="Z142" s="4">
        <f t="shared" si="155"/>
        <v>0</v>
      </c>
      <c r="AA142" s="4">
        <f t="shared" si="156"/>
        <v>0.5</v>
      </c>
      <c r="AB142" s="4">
        <f>IFERROR(tbl_główna_GRACZE[[#This Row],[2pm]]/tbl_główna_GRACZE[[#This Row],[2pa]],0)</f>
        <v>0.5</v>
      </c>
      <c r="AC142" s="4">
        <f t="shared" si="157"/>
        <v>0.42517006802721091</v>
      </c>
      <c r="AD142" s="4">
        <f t="shared" si="158"/>
        <v>0.4</v>
      </c>
      <c r="AE142" s="11">
        <f t="shared" si="159"/>
        <v>4</v>
      </c>
      <c r="AF142" s="4">
        <f t="shared" si="160"/>
        <v>0.4</v>
      </c>
      <c r="AG142" s="4">
        <f t="shared" si="161"/>
        <v>0.2</v>
      </c>
      <c r="AH14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7.7901430842607311E-2</v>
      </c>
      <c r="AI142" s="25">
        <f>tbl_główna_GRACZE[[#This Row],[pts]]*(40/tbl_główna_GRACZE[[#This Row],[min]])</f>
        <v>10.526315789473683</v>
      </c>
      <c r="AJ142" s="30">
        <f>tbl_główna_GRACZE[[#This Row],[reb total]]*(40/tbl_główna_GRACZE[[#This Row],[min]])</f>
        <v>2.1052631578947367</v>
      </c>
      <c r="AK142" s="30">
        <f>tbl_główna_GRACZE[[#This Row],[asst]]*(40/tbl_główna_GRACZE[[#This Row],[min]])</f>
        <v>2.1052631578947367</v>
      </c>
      <c r="AL142" s="5">
        <f t="shared" si="162"/>
        <v>1</v>
      </c>
      <c r="AM142" s="5">
        <f>(tbl_główna_GRACZE[[#This Row],[stl]]+tbl_główna_GRACZE[[#This Row],[blk]])*(40/tbl_główna_GRACZE[[#This Row],[min]])</f>
        <v>2.1052631578947367</v>
      </c>
      <c r="AN14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142" s="25">
        <f>tbl_główna_GRACZE[[#This Row],[stl]]+tbl_główna_GRACZE[[#This Row],[blk]]+(tbl_główna_GRACZE[[#This Row],[dreb]]*0.5)</f>
        <v>1.5</v>
      </c>
      <c r="AP142" s="29">
        <f>(tbl_główna_GRACZE[[#This Row],[stl]]+tbl_główna_GRACZE[[#This Row],[blk]]+0.5*tbl_główna_GRACZE[[#This Row],[dreb]])/tbl_główna_GRACZE[[#This Row],[min]]</f>
        <v>7.8947368421052627E-2</v>
      </c>
      <c r="AQ142" s="6">
        <f t="shared" si="163"/>
        <v>3.8999999999999995</v>
      </c>
      <c r="AR142" s="6">
        <f>tbl_główna_GRACZE[[#This Row],[GmSc]]*(40/tbl_główna_GRACZE[[#This Row],[min]])</f>
        <v>8.2105263157894726</v>
      </c>
      <c r="AS142" s="6">
        <f>tbl_główna_GRACZE[[#This Row],[EVAL]]*(40/tbl_główna_GRACZE[[#This Row],[min]])</f>
        <v>8.4210526315789469</v>
      </c>
      <c r="AT142" s="11">
        <f>tbl_główna_GRACZE[[#This Row],[fgm]]-tbl_główna_GRACZE[[#This Row],[3pm]]</f>
        <v>2</v>
      </c>
      <c r="AU142" s="11">
        <f>tbl_główna_GRACZE[[#This Row],[fga]]-tbl_główna_GRACZE[[#This Row],[3pa]]</f>
        <v>4</v>
      </c>
      <c r="AV142">
        <f>IF(tbl_główna_GRACZE[[#This Row],[min]]&gt;0,1,0)</f>
        <v>1</v>
      </c>
      <c r="AW142" s="58" t="str">
        <f>tbl_główna_GRACZE[[#This Row],[I. Nazwisko]]</f>
        <v>P. Makieła</v>
      </c>
    </row>
    <row r="143" spans="1:49" x14ac:dyDescent="0.35">
      <c r="A143" t="s">
        <v>50</v>
      </c>
      <c r="B143" t="s">
        <v>25</v>
      </c>
      <c r="C143" t="s">
        <v>57</v>
      </c>
      <c r="D143" t="str">
        <f>IF(C143="H",VLOOKUP($A143,tab_nazwy_zespołów[],2,0)&amp;VLOOKUP($B143,tab_nazwy_zespołów[],2,0),VLOOKUP($B143,tab_nazwy_zespołów[],2,0)&amp;VLOOKUP($A143,tab_nazwy_zespołów[],2,0))</f>
        <v>KONHUT</v>
      </c>
      <c r="E143">
        <v>3</v>
      </c>
      <c r="F143">
        <f>COUNTIF(tbl_zawodnicy_sumy[I. Nazwisko],tbl_główna_GRACZE[[#This Row],[I. Nazwisko]])</f>
        <v>1</v>
      </c>
      <c r="G143" s="58" t="str">
        <f>RIGHT(tbl_główna_GRACZE[[#This Row],[Kolumna1]],LEN(tbl_główna_GRACZE[[#This Row],[Kolumna1]])-FIND(" ",tbl_główna_GRACZE[[#This Row],[Kolumna1]]))</f>
        <v>A. Franko</v>
      </c>
      <c r="H143" s="2" t="s">
        <v>85</v>
      </c>
      <c r="I143" s="10">
        <v>2</v>
      </c>
      <c r="J143" s="10">
        <v>6</v>
      </c>
      <c r="K143" s="10">
        <v>0</v>
      </c>
      <c r="L143" s="10">
        <v>1</v>
      </c>
      <c r="M143" s="10">
        <v>1</v>
      </c>
      <c r="N143" s="10">
        <v>2</v>
      </c>
      <c r="O143" s="10">
        <v>1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12</v>
      </c>
      <c r="W143" s="10">
        <v>4</v>
      </c>
      <c r="X143" s="57">
        <f t="shared" si="153"/>
        <v>1</v>
      </c>
      <c r="Y143" s="4">
        <f t="shared" si="154"/>
        <v>0.33333333333333331</v>
      </c>
      <c r="Z143" s="4">
        <f t="shared" si="155"/>
        <v>0</v>
      </c>
      <c r="AA143" s="4">
        <f t="shared" si="156"/>
        <v>0.5</v>
      </c>
      <c r="AB143" s="4">
        <f>IFERROR(tbl_główna_GRACZE[[#This Row],[2pm]]/tbl_główna_GRACZE[[#This Row],[2pa]],0)</f>
        <v>0.4</v>
      </c>
      <c r="AC143" s="4">
        <f t="shared" si="157"/>
        <v>0.29069767441860467</v>
      </c>
      <c r="AD143" s="4">
        <f t="shared" si="158"/>
        <v>0.33333333333333331</v>
      </c>
      <c r="AE143" s="11">
        <f t="shared" si="159"/>
        <v>0</v>
      </c>
      <c r="AF143" s="4">
        <f t="shared" si="160"/>
        <v>0.33333333333333331</v>
      </c>
      <c r="AG143" s="4">
        <f t="shared" si="161"/>
        <v>0.16666666666666666</v>
      </c>
      <c r="AH14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9.1149973502914677E-2</v>
      </c>
      <c r="AI143" s="25">
        <f>tbl_główna_GRACZE[[#This Row],[pts]]*(40/tbl_główna_GRACZE[[#This Row],[min]])</f>
        <v>13.333333333333334</v>
      </c>
      <c r="AJ143" s="30">
        <f>tbl_główna_GRACZE[[#This Row],[reb total]]*(40/tbl_główna_GRACZE[[#This Row],[min]])</f>
        <v>3.3333333333333335</v>
      </c>
      <c r="AK143" s="30">
        <f>tbl_główna_GRACZE[[#This Row],[asst]]*(40/tbl_główna_GRACZE[[#This Row],[min]])</f>
        <v>0</v>
      </c>
      <c r="AL143" s="5">
        <f t="shared" si="162"/>
        <v>0.66666666666666663</v>
      </c>
      <c r="AM143" s="5">
        <f>(tbl_główna_GRACZE[[#This Row],[stl]]+tbl_główna_GRACZE[[#This Row],[blk]])*(40/tbl_główna_GRACZE[[#This Row],[min]])</f>
        <v>0</v>
      </c>
      <c r="AN14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43" s="25">
        <f>tbl_główna_GRACZE[[#This Row],[stl]]+tbl_główna_GRACZE[[#This Row],[blk]]+(tbl_główna_GRACZE[[#This Row],[dreb]]*0.5)</f>
        <v>0</v>
      </c>
      <c r="AP143" s="29">
        <f>(tbl_główna_GRACZE[[#This Row],[stl]]+tbl_główna_GRACZE[[#This Row],[blk]]+0.5*tbl_główna_GRACZE[[#This Row],[dreb]])/tbl_główna_GRACZE[[#This Row],[min]]</f>
        <v>0</v>
      </c>
      <c r="AQ143" s="6">
        <f t="shared" si="163"/>
        <v>0.90000000000000047</v>
      </c>
      <c r="AR143" s="6">
        <f>tbl_główna_GRACZE[[#This Row],[GmSc]]*(40/tbl_główna_GRACZE[[#This Row],[min]])</f>
        <v>3.0000000000000018</v>
      </c>
      <c r="AS143" s="6">
        <f>tbl_główna_GRACZE[[#This Row],[EVAL]]*(40/tbl_główna_GRACZE[[#This Row],[min]])</f>
        <v>0</v>
      </c>
      <c r="AT143" s="11">
        <f>tbl_główna_GRACZE[[#This Row],[fgm]]-tbl_główna_GRACZE[[#This Row],[3pm]]</f>
        <v>2</v>
      </c>
      <c r="AU143" s="11">
        <f>tbl_główna_GRACZE[[#This Row],[fga]]-tbl_główna_GRACZE[[#This Row],[3pa]]</f>
        <v>5</v>
      </c>
      <c r="AV143">
        <f>IF(tbl_główna_GRACZE[[#This Row],[min]]&gt;0,1,0)</f>
        <v>1</v>
      </c>
      <c r="AW143" s="58" t="str">
        <f>tbl_główna_GRACZE[[#This Row],[I. Nazwisko]]</f>
        <v>A. Franko</v>
      </c>
    </row>
    <row r="144" spans="1:49" x14ac:dyDescent="0.35">
      <c r="A144" t="s">
        <v>50</v>
      </c>
      <c r="B144" t="s">
        <v>25</v>
      </c>
      <c r="C144" t="s">
        <v>57</v>
      </c>
      <c r="D144" t="str">
        <f>IF(C144="H",VLOOKUP($A144,tab_nazwy_zespołów[],2,0)&amp;VLOOKUP($B144,tab_nazwy_zespołów[],2,0),VLOOKUP($B144,tab_nazwy_zespołów[],2,0)&amp;VLOOKUP($A144,tab_nazwy_zespołów[],2,0))</f>
        <v>KONHUT</v>
      </c>
      <c r="E144">
        <v>3</v>
      </c>
      <c r="F144">
        <f>COUNTIF(tbl_zawodnicy_sumy[I. Nazwisko],tbl_główna_GRACZE[[#This Row],[I. Nazwisko]])</f>
        <v>1</v>
      </c>
      <c r="G144" s="58" t="str">
        <f>RIGHT(tbl_główna_GRACZE[[#This Row],[Kolumna1]],LEN(tbl_główna_GRACZE[[#This Row],[Kolumna1]])-FIND(" ",tbl_główna_GRACZE[[#This Row],[Kolumna1]]))</f>
        <v>D. Wardak</v>
      </c>
      <c r="H144" s="2" t="s">
        <v>88</v>
      </c>
      <c r="I144" s="10">
        <v>1</v>
      </c>
      <c r="J144" s="10">
        <v>2</v>
      </c>
      <c r="K144" s="10">
        <v>0</v>
      </c>
      <c r="L144" s="10">
        <v>0</v>
      </c>
      <c r="M144" s="10">
        <v>0</v>
      </c>
      <c r="N144" s="10">
        <v>2</v>
      </c>
      <c r="O144" s="10">
        <v>2</v>
      </c>
      <c r="P144" s="10">
        <v>7</v>
      </c>
      <c r="Q144" s="10">
        <v>3</v>
      </c>
      <c r="R144" s="10">
        <v>3</v>
      </c>
      <c r="S144" s="10">
        <v>0</v>
      </c>
      <c r="T144" s="10">
        <v>0</v>
      </c>
      <c r="U144" s="10">
        <v>1</v>
      </c>
      <c r="V144" s="10">
        <v>25</v>
      </c>
      <c r="W144" s="10">
        <v>2</v>
      </c>
      <c r="X144" s="57">
        <f t="shared" si="153"/>
        <v>9</v>
      </c>
      <c r="Y144" s="4">
        <f t="shared" si="154"/>
        <v>0.5</v>
      </c>
      <c r="Z144" s="4">
        <f t="shared" si="155"/>
        <v>0</v>
      </c>
      <c r="AA144" s="4">
        <f t="shared" si="156"/>
        <v>0</v>
      </c>
      <c r="AB144" s="4">
        <f>IFERROR(tbl_główna_GRACZE[[#This Row],[2pm]]/tbl_główna_GRACZE[[#This Row],[2pa]],0)</f>
        <v>0.5</v>
      </c>
      <c r="AC144" s="4">
        <f t="shared" si="157"/>
        <v>0.34722222222222221</v>
      </c>
      <c r="AD144" s="4">
        <f t="shared" si="158"/>
        <v>0.5</v>
      </c>
      <c r="AE144" s="11">
        <f t="shared" si="159"/>
        <v>12</v>
      </c>
      <c r="AF144" s="4">
        <f t="shared" si="160"/>
        <v>1</v>
      </c>
      <c r="AG144" s="4">
        <f t="shared" si="161"/>
        <v>0</v>
      </c>
      <c r="AH14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3.8155802861685212E-2</v>
      </c>
      <c r="AI144" s="25">
        <f>tbl_główna_GRACZE[[#This Row],[pts]]*(40/tbl_główna_GRACZE[[#This Row],[min]])</f>
        <v>3.2</v>
      </c>
      <c r="AJ144" s="30">
        <f>tbl_główna_GRACZE[[#This Row],[reb total]]*(40/tbl_główna_GRACZE[[#This Row],[min]])</f>
        <v>14.4</v>
      </c>
      <c r="AK144" s="30">
        <f>tbl_główna_GRACZE[[#This Row],[asst]]*(40/tbl_główna_GRACZE[[#This Row],[min]])</f>
        <v>1.6</v>
      </c>
      <c r="AL144" s="5">
        <f t="shared" si="162"/>
        <v>1</v>
      </c>
      <c r="AM144" s="5">
        <f>(tbl_główna_GRACZE[[#This Row],[stl]]+tbl_główna_GRACZE[[#This Row],[blk]])*(40/tbl_główna_GRACZE[[#This Row],[min]])</f>
        <v>4.8000000000000007</v>
      </c>
      <c r="AN14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0.1875</v>
      </c>
      <c r="AO144" s="25">
        <f>tbl_główna_GRACZE[[#This Row],[stl]]+tbl_główna_GRACZE[[#This Row],[blk]]+(tbl_główna_GRACZE[[#This Row],[dreb]]*0.5)</f>
        <v>6.5</v>
      </c>
      <c r="AP144" s="29">
        <f>(tbl_główna_GRACZE[[#This Row],[stl]]+tbl_główna_GRACZE[[#This Row],[blk]]+0.5*tbl_główna_GRACZE[[#This Row],[dreb]])/tbl_główna_GRACZE[[#This Row],[min]]</f>
        <v>0.26</v>
      </c>
      <c r="AQ144" s="6">
        <f t="shared" si="163"/>
        <v>7.4</v>
      </c>
      <c r="AR144" s="6">
        <f>tbl_główna_GRACZE[[#This Row],[GmSc]]*(40/tbl_główna_GRACZE[[#This Row],[min]])</f>
        <v>11.840000000000002</v>
      </c>
      <c r="AS144" s="6">
        <f>tbl_główna_GRACZE[[#This Row],[EVAL]]*(40/tbl_główna_GRACZE[[#This Row],[min]])</f>
        <v>19.200000000000003</v>
      </c>
      <c r="AT144" s="11">
        <f>tbl_główna_GRACZE[[#This Row],[fgm]]-tbl_główna_GRACZE[[#This Row],[3pm]]</f>
        <v>1</v>
      </c>
      <c r="AU144" s="11">
        <f>tbl_główna_GRACZE[[#This Row],[fga]]-tbl_główna_GRACZE[[#This Row],[3pa]]</f>
        <v>2</v>
      </c>
      <c r="AV144">
        <f>IF(tbl_główna_GRACZE[[#This Row],[min]]&gt;0,1,0)</f>
        <v>1</v>
      </c>
      <c r="AW144" s="58" t="str">
        <f>tbl_główna_GRACZE[[#This Row],[I. Nazwisko]]</f>
        <v>D. Wardak</v>
      </c>
    </row>
    <row r="145" spans="1:49" x14ac:dyDescent="0.35">
      <c r="A145" t="s">
        <v>50</v>
      </c>
      <c r="B145" t="s">
        <v>25</v>
      </c>
      <c r="C145" t="s">
        <v>57</v>
      </c>
      <c r="D145" t="str">
        <f>IF(C145="H",VLOOKUP($A145,tab_nazwy_zespołów[],2,0)&amp;VLOOKUP($B145,tab_nazwy_zespołów[],2,0),VLOOKUP($B145,tab_nazwy_zespołów[],2,0)&amp;VLOOKUP($A145,tab_nazwy_zespołów[],2,0))</f>
        <v>KONHUT</v>
      </c>
      <c r="E145">
        <v>3</v>
      </c>
      <c r="F145">
        <f>COUNTIF(tbl_zawodnicy_sumy[I. Nazwisko],tbl_główna_GRACZE[[#This Row],[I. Nazwisko]])</f>
        <v>1</v>
      </c>
      <c r="G145" s="58" t="str">
        <f>RIGHT(tbl_główna_GRACZE[[#This Row],[Kolumna1]],LEN(tbl_główna_GRACZE[[#This Row],[Kolumna1]])-FIND(" ",tbl_główna_GRACZE[[#This Row],[Kolumna1]]))</f>
        <v>A. Godlewski</v>
      </c>
      <c r="H145" s="2" t="s">
        <v>89</v>
      </c>
      <c r="I145" s="10">
        <v>1</v>
      </c>
      <c r="J145" s="10">
        <v>6</v>
      </c>
      <c r="K145" s="10">
        <v>0</v>
      </c>
      <c r="L145" s="10">
        <v>0</v>
      </c>
      <c r="M145" s="10">
        <v>0</v>
      </c>
      <c r="N145" s="10">
        <v>0</v>
      </c>
      <c r="O145" s="10">
        <v>2</v>
      </c>
      <c r="P145" s="10">
        <v>2</v>
      </c>
      <c r="Q145" s="10">
        <v>0</v>
      </c>
      <c r="R145" s="10">
        <v>2</v>
      </c>
      <c r="S145" s="10">
        <v>0</v>
      </c>
      <c r="T145" s="10">
        <v>0</v>
      </c>
      <c r="U145" s="10">
        <v>3</v>
      </c>
      <c r="V145" s="10">
        <v>18</v>
      </c>
      <c r="W145" s="10">
        <v>2</v>
      </c>
      <c r="X145" s="57">
        <f t="shared" si="153"/>
        <v>4</v>
      </c>
      <c r="Y145" s="4">
        <f t="shared" si="154"/>
        <v>0.16666666666666666</v>
      </c>
      <c r="Z145" s="4">
        <f t="shared" si="155"/>
        <v>0</v>
      </c>
      <c r="AA145" s="4">
        <f t="shared" si="156"/>
        <v>0</v>
      </c>
      <c r="AB145" s="4">
        <f>IFERROR(tbl_główna_GRACZE[[#This Row],[2pm]]/tbl_główna_GRACZE[[#This Row],[2pa]],0)</f>
        <v>0.16666666666666666</v>
      </c>
      <c r="AC145" s="4">
        <f t="shared" si="157"/>
        <v>0.16666666666666666</v>
      </c>
      <c r="AD145" s="4">
        <f t="shared" si="158"/>
        <v>0.16666666666666666</v>
      </c>
      <c r="AE145" s="11">
        <f t="shared" si="159"/>
        <v>6</v>
      </c>
      <c r="AF145" s="4">
        <f t="shared" si="160"/>
        <v>0</v>
      </c>
      <c r="AG145" s="4">
        <f t="shared" si="161"/>
        <v>0</v>
      </c>
      <c r="AH14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7.9491255961844198E-2</v>
      </c>
      <c r="AI145" s="25">
        <f>tbl_główna_GRACZE[[#This Row],[pts]]*(40/tbl_główna_GRACZE[[#This Row],[min]])</f>
        <v>4.4444444444444446</v>
      </c>
      <c r="AJ145" s="30">
        <f>tbl_główna_GRACZE[[#This Row],[reb total]]*(40/tbl_główna_GRACZE[[#This Row],[min]])</f>
        <v>8.8888888888888893</v>
      </c>
      <c r="AK145" s="30">
        <f>tbl_główna_GRACZE[[#This Row],[asst]]*(40/tbl_główna_GRACZE[[#This Row],[min]])</f>
        <v>6.666666666666667</v>
      </c>
      <c r="AL145" s="5">
        <f t="shared" si="162"/>
        <v>0.33333333333333331</v>
      </c>
      <c r="AM145" s="5">
        <f>(tbl_główna_GRACZE[[#This Row],[stl]]+tbl_główna_GRACZE[[#This Row],[blk]])*(40/tbl_główna_GRACZE[[#This Row],[min]])</f>
        <v>4.4444444444444446</v>
      </c>
      <c r="AN14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145" s="25">
        <f>tbl_główna_GRACZE[[#This Row],[stl]]+tbl_główna_GRACZE[[#This Row],[blk]]+(tbl_główna_GRACZE[[#This Row],[dreb]]*0.5)</f>
        <v>3</v>
      </c>
      <c r="AP145" s="29">
        <f>(tbl_główna_GRACZE[[#This Row],[stl]]+tbl_główna_GRACZE[[#This Row],[blk]]+0.5*tbl_główna_GRACZE[[#This Row],[dreb]])/tbl_główna_GRACZE[[#This Row],[min]]</f>
        <v>0.16666666666666666</v>
      </c>
      <c r="AQ145" s="6">
        <f t="shared" si="163"/>
        <v>4.3000000000000007</v>
      </c>
      <c r="AR145" s="6">
        <f>tbl_główna_GRACZE[[#This Row],[GmSc]]*(40/tbl_główna_GRACZE[[#This Row],[min]])</f>
        <v>9.5555555555555571</v>
      </c>
      <c r="AS145" s="6">
        <f>tbl_główna_GRACZE[[#This Row],[EVAL]]*(40/tbl_główna_GRACZE[[#This Row],[min]])</f>
        <v>13.333333333333334</v>
      </c>
      <c r="AT145" s="11">
        <f>tbl_główna_GRACZE[[#This Row],[fgm]]-tbl_główna_GRACZE[[#This Row],[3pm]]</f>
        <v>1</v>
      </c>
      <c r="AU145" s="11">
        <f>tbl_główna_GRACZE[[#This Row],[fga]]-tbl_główna_GRACZE[[#This Row],[3pa]]</f>
        <v>6</v>
      </c>
      <c r="AV145">
        <f>IF(tbl_główna_GRACZE[[#This Row],[min]]&gt;0,1,0)</f>
        <v>1</v>
      </c>
      <c r="AW145" s="58" t="str">
        <f>tbl_główna_GRACZE[[#This Row],[I. Nazwisko]]</f>
        <v>A. Godlewski</v>
      </c>
    </row>
    <row r="146" spans="1:49" x14ac:dyDescent="0.35">
      <c r="A146" t="s">
        <v>25</v>
      </c>
      <c r="B146" t="s">
        <v>50</v>
      </c>
      <c r="C146" t="s">
        <v>58</v>
      </c>
      <c r="D146" t="str">
        <f>IF(C146="H",VLOOKUP($A146,tab_nazwy_zespołów[],2,0)&amp;VLOOKUP($B146,tab_nazwy_zespołów[],2,0),VLOOKUP($B146,tab_nazwy_zespołów[],2,0)&amp;VLOOKUP($A146,tab_nazwy_zespołów[],2,0))</f>
        <v>KONHUT</v>
      </c>
      <c r="E146">
        <v>3</v>
      </c>
      <c r="F146">
        <f>COUNTIF(tbl_zawodnicy_sumy[I. Nazwisko],tbl_główna_GRACZE[[#This Row],[I. Nazwisko]])</f>
        <v>1</v>
      </c>
      <c r="G146" s="58" t="str">
        <f>RIGHT(tbl_główna_GRACZE[[#This Row],[Kolumna1]],LEN(tbl_główna_GRACZE[[#This Row],[Kolumna1]])-FIND(" ",tbl_główna_GRACZE[[#This Row],[Kolumna1]]))</f>
        <v>B. Kichuk</v>
      </c>
      <c r="H146" s="2" t="s">
        <v>390</v>
      </c>
      <c r="I146" s="10">
        <v>8</v>
      </c>
      <c r="J146" s="10">
        <v>22</v>
      </c>
      <c r="K146" s="10">
        <v>2</v>
      </c>
      <c r="L146" s="10">
        <v>6</v>
      </c>
      <c r="M146" s="10">
        <v>2</v>
      </c>
      <c r="N146" s="10">
        <v>2</v>
      </c>
      <c r="O146" s="10">
        <v>2</v>
      </c>
      <c r="P146" s="10">
        <v>2</v>
      </c>
      <c r="Q146" s="10">
        <v>0</v>
      </c>
      <c r="R146" s="10">
        <v>1</v>
      </c>
      <c r="S146" s="10">
        <v>0</v>
      </c>
      <c r="T146" s="10">
        <v>0</v>
      </c>
      <c r="U146" s="10">
        <v>4</v>
      </c>
      <c r="V146" s="10">
        <v>37</v>
      </c>
      <c r="W146" s="10">
        <v>20</v>
      </c>
      <c r="X146" s="57">
        <f t="shared" ref="X146:X151" si="164">O146+P146</f>
        <v>4</v>
      </c>
      <c r="Y146" s="4">
        <f t="shared" ref="Y146:Y151" si="165">I146/J146</f>
        <v>0.36363636363636365</v>
      </c>
      <c r="Z146" s="4">
        <f t="shared" ref="Z146:Z151" si="166">IFERROR(K146/L146,0)</f>
        <v>0.33333333333333331</v>
      </c>
      <c r="AA146" s="4">
        <f t="shared" ref="AA146:AA151" si="167">IFERROR(M146/N146,0)</f>
        <v>1</v>
      </c>
      <c r="AB146" s="4">
        <f>IFERROR(tbl_główna_GRACZE[[#This Row],[2pm]]/tbl_główna_GRACZE[[#This Row],[2pa]],0)</f>
        <v>0.375</v>
      </c>
      <c r="AC146" s="4">
        <f t="shared" ref="AC146:AC151" si="168">W146/(2*(J146+0.44*N146))</f>
        <v>0.43706293706293708</v>
      </c>
      <c r="AD146" s="4">
        <f t="shared" ref="AD146:AD151" si="169">(I146+0.5*K146)/J146</f>
        <v>0.40909090909090912</v>
      </c>
      <c r="AE146" s="11">
        <f t="shared" ref="AE146:AE151" si="170">R146+T146+U146+W146+X146-(J146-I146)-(N146-M146)</f>
        <v>15</v>
      </c>
      <c r="AF146" s="4">
        <f t="shared" ref="AF146:AF151" si="171">N146/J146</f>
        <v>9.0909090909090912E-2</v>
      </c>
      <c r="AG146" s="4">
        <f t="shared" ref="AG146:AG151" si="172">L146/J146</f>
        <v>0.27272727272727271</v>
      </c>
      <c r="AH14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0.31549917264202981</v>
      </c>
      <c r="AI146" s="25">
        <f>tbl_główna_GRACZE[[#This Row],[pts]]*(40/tbl_główna_GRACZE[[#This Row],[min]])</f>
        <v>21.621621621621621</v>
      </c>
      <c r="AJ146" s="30">
        <f>tbl_główna_GRACZE[[#This Row],[reb total]]*(40/tbl_główna_GRACZE[[#This Row],[min]])</f>
        <v>4.3243243243243246</v>
      </c>
      <c r="AK146" s="30">
        <f>tbl_główna_GRACZE[[#This Row],[asst]]*(40/tbl_główna_GRACZE[[#This Row],[min]])</f>
        <v>4.3243243243243246</v>
      </c>
      <c r="AL146" s="5">
        <f t="shared" ref="AL146:AL151" si="173">W146/J146</f>
        <v>0.90909090909090906</v>
      </c>
      <c r="AM146" s="5">
        <f>(tbl_główna_GRACZE[[#This Row],[stl]]+tbl_główna_GRACZE[[#This Row],[blk]])*(40/tbl_główna_GRACZE[[#This Row],[min]])</f>
        <v>1.0810810810810811</v>
      </c>
      <c r="AN14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146" s="25">
        <f>tbl_główna_GRACZE[[#This Row],[stl]]+tbl_główna_GRACZE[[#This Row],[blk]]+(tbl_główna_GRACZE[[#This Row],[dreb]]*0.5)</f>
        <v>2</v>
      </c>
      <c r="AP146" s="29">
        <f>(tbl_główna_GRACZE[[#This Row],[stl]]+tbl_główna_GRACZE[[#This Row],[blk]]+0.5*tbl_główna_GRACZE[[#This Row],[dreb]])/tbl_główna_GRACZE[[#This Row],[min]]</f>
        <v>5.4054054054054057E-2</v>
      </c>
      <c r="AQ146" s="6">
        <f t="shared" ref="AQ146:AQ151" si="174">W146+0.4*I146-0.7*J146-0.4*(N146-M146)+0.7*O146+0.3*P146+R146+0.7*U146+0.7*T146</f>
        <v>13.600000000000001</v>
      </c>
      <c r="AR146" s="6">
        <f>tbl_główna_GRACZE[[#This Row],[GmSc]]*(40/tbl_główna_GRACZE[[#This Row],[min]])</f>
        <v>14.702702702702705</v>
      </c>
      <c r="AS146" s="6">
        <f>tbl_główna_GRACZE[[#This Row],[EVAL]]*(40/tbl_główna_GRACZE[[#This Row],[min]])</f>
        <v>16.216216216216218</v>
      </c>
      <c r="AT146" s="11">
        <f>tbl_główna_GRACZE[[#This Row],[fgm]]-tbl_główna_GRACZE[[#This Row],[3pm]]</f>
        <v>6</v>
      </c>
      <c r="AU146" s="11">
        <f>tbl_główna_GRACZE[[#This Row],[fga]]-tbl_główna_GRACZE[[#This Row],[3pa]]</f>
        <v>16</v>
      </c>
      <c r="AV146">
        <f>IF(tbl_główna_GRACZE[[#This Row],[min]]&gt;0,1,0)</f>
        <v>1</v>
      </c>
      <c r="AW146" s="58" t="str">
        <f>tbl_główna_GRACZE[[#This Row],[I. Nazwisko]]</f>
        <v>B. Kichuk</v>
      </c>
    </row>
    <row r="147" spans="1:49" x14ac:dyDescent="0.35">
      <c r="A147" t="s">
        <v>25</v>
      </c>
      <c r="B147" t="s">
        <v>50</v>
      </c>
      <c r="C147" t="s">
        <v>58</v>
      </c>
      <c r="D147" t="str">
        <f>IF(C147="H",VLOOKUP($A147,tab_nazwy_zespołów[],2,0)&amp;VLOOKUP($B147,tab_nazwy_zespołów[],2,0),VLOOKUP($B147,tab_nazwy_zespołów[],2,0)&amp;VLOOKUP($A147,tab_nazwy_zespołów[],2,0))</f>
        <v>KONHUT</v>
      </c>
      <c r="E147">
        <v>3</v>
      </c>
      <c r="F147">
        <f>COUNTIF(tbl_zawodnicy_sumy[I. Nazwisko],tbl_główna_GRACZE[[#This Row],[I. Nazwisko]])</f>
        <v>1</v>
      </c>
      <c r="G147" s="58" t="str">
        <f>RIGHT(tbl_główna_GRACZE[[#This Row],[Kolumna1]],LEN(tbl_główna_GRACZE[[#This Row],[Kolumna1]])-FIND(" ",tbl_główna_GRACZE[[#This Row],[Kolumna1]]))</f>
        <v>K. Grzegorzak</v>
      </c>
      <c r="H147" s="2" t="s">
        <v>391</v>
      </c>
      <c r="I147" s="10">
        <v>8</v>
      </c>
      <c r="J147" s="10">
        <v>15</v>
      </c>
      <c r="K147" s="10">
        <v>2</v>
      </c>
      <c r="L147" s="10">
        <v>6</v>
      </c>
      <c r="M147" s="10">
        <v>1</v>
      </c>
      <c r="N147" s="10">
        <v>3</v>
      </c>
      <c r="O147" s="10">
        <v>1</v>
      </c>
      <c r="P147" s="10">
        <v>10</v>
      </c>
      <c r="Q147" s="10">
        <v>4</v>
      </c>
      <c r="R147" s="10">
        <v>3</v>
      </c>
      <c r="S147" s="10">
        <v>0</v>
      </c>
      <c r="T147" s="10">
        <v>0</v>
      </c>
      <c r="U147" s="10">
        <v>0</v>
      </c>
      <c r="V147" s="10">
        <v>38</v>
      </c>
      <c r="W147" s="10">
        <v>19</v>
      </c>
      <c r="X147" s="57">
        <f t="shared" si="164"/>
        <v>11</v>
      </c>
      <c r="Y147" s="4">
        <f t="shared" si="165"/>
        <v>0.53333333333333333</v>
      </c>
      <c r="Z147" s="4">
        <f t="shared" si="166"/>
        <v>0.33333333333333331</v>
      </c>
      <c r="AA147" s="4">
        <f t="shared" si="167"/>
        <v>0.33333333333333331</v>
      </c>
      <c r="AB147" s="4">
        <f>IFERROR(tbl_główna_GRACZE[[#This Row],[2pm]]/tbl_główna_GRACZE[[#This Row],[2pa]],0)</f>
        <v>0.66666666666666663</v>
      </c>
      <c r="AC147" s="4">
        <f t="shared" si="168"/>
        <v>0.58210784313725494</v>
      </c>
      <c r="AD147" s="4">
        <f t="shared" si="169"/>
        <v>0.6</v>
      </c>
      <c r="AE147" s="11">
        <f t="shared" si="170"/>
        <v>24</v>
      </c>
      <c r="AF147" s="4">
        <f t="shared" si="171"/>
        <v>0.2</v>
      </c>
      <c r="AG147" s="4">
        <f t="shared" si="172"/>
        <v>0.4</v>
      </c>
      <c r="AH14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0.22504136789851079</v>
      </c>
      <c r="AI147" s="25">
        <f>tbl_główna_GRACZE[[#This Row],[pts]]*(40/tbl_główna_GRACZE[[#This Row],[min]])</f>
        <v>20</v>
      </c>
      <c r="AJ147" s="30">
        <f>tbl_główna_GRACZE[[#This Row],[reb total]]*(40/tbl_główna_GRACZE[[#This Row],[min]])</f>
        <v>11.578947368421051</v>
      </c>
      <c r="AK147" s="30">
        <f>tbl_główna_GRACZE[[#This Row],[asst]]*(40/tbl_główna_GRACZE[[#This Row],[min]])</f>
        <v>0</v>
      </c>
      <c r="AL147" s="5">
        <f t="shared" si="173"/>
        <v>1.2666666666666666</v>
      </c>
      <c r="AM147" s="5">
        <f>(tbl_główna_GRACZE[[#This Row],[stl]]+tbl_główna_GRACZE[[#This Row],[blk]])*(40/tbl_główna_GRACZE[[#This Row],[min]])</f>
        <v>3.1578947368421053</v>
      </c>
      <c r="AN14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47" s="25">
        <f>tbl_główna_GRACZE[[#This Row],[stl]]+tbl_główna_GRACZE[[#This Row],[blk]]+(tbl_główna_GRACZE[[#This Row],[dreb]]*0.5)</f>
        <v>8</v>
      </c>
      <c r="AP147" s="29">
        <f>(tbl_główna_GRACZE[[#This Row],[stl]]+tbl_główna_GRACZE[[#This Row],[blk]]+0.5*tbl_główna_GRACZE[[#This Row],[dreb]])/tbl_główna_GRACZE[[#This Row],[min]]</f>
        <v>0.21052631578947367</v>
      </c>
      <c r="AQ147" s="6">
        <f t="shared" si="174"/>
        <v>17.599999999999998</v>
      </c>
      <c r="AR147" s="6">
        <f>tbl_główna_GRACZE[[#This Row],[GmSc]]*(40/tbl_główna_GRACZE[[#This Row],[min]])</f>
        <v>18.526315789473681</v>
      </c>
      <c r="AS147" s="6">
        <f>tbl_główna_GRACZE[[#This Row],[EVAL]]*(40/tbl_główna_GRACZE[[#This Row],[min]])</f>
        <v>25.263157894736842</v>
      </c>
      <c r="AT147" s="11">
        <f>tbl_główna_GRACZE[[#This Row],[fgm]]-tbl_główna_GRACZE[[#This Row],[3pm]]</f>
        <v>6</v>
      </c>
      <c r="AU147" s="11">
        <f>tbl_główna_GRACZE[[#This Row],[fga]]-tbl_główna_GRACZE[[#This Row],[3pa]]</f>
        <v>9</v>
      </c>
      <c r="AV147">
        <f>IF(tbl_główna_GRACZE[[#This Row],[min]]&gt;0,1,0)</f>
        <v>1</v>
      </c>
      <c r="AW147" s="58" t="str">
        <f>tbl_główna_GRACZE[[#This Row],[I. Nazwisko]]</f>
        <v>K. Grzegorzak</v>
      </c>
    </row>
    <row r="148" spans="1:49" x14ac:dyDescent="0.35">
      <c r="A148" t="s">
        <v>25</v>
      </c>
      <c r="B148" t="s">
        <v>50</v>
      </c>
      <c r="C148" t="s">
        <v>58</v>
      </c>
      <c r="D148" t="str">
        <f>IF(C148="H",VLOOKUP($A148,tab_nazwy_zespołów[],2,0)&amp;VLOOKUP($B148,tab_nazwy_zespołów[],2,0),VLOOKUP($B148,tab_nazwy_zespołów[],2,0)&amp;VLOOKUP($A148,tab_nazwy_zespołów[],2,0))</f>
        <v>KONHUT</v>
      </c>
      <c r="E148">
        <v>3</v>
      </c>
      <c r="F148">
        <f>COUNTIF(tbl_zawodnicy_sumy[I. Nazwisko],tbl_główna_GRACZE[[#This Row],[I. Nazwisko]])</f>
        <v>1</v>
      </c>
      <c r="G148" s="58" t="str">
        <f>RIGHT(tbl_główna_GRACZE[[#This Row],[Kolumna1]],LEN(tbl_główna_GRACZE[[#This Row],[Kolumna1]])-FIND(" ",tbl_główna_GRACZE[[#This Row],[Kolumna1]]))</f>
        <v>M. Kutz</v>
      </c>
      <c r="H148" s="2" t="s">
        <v>392</v>
      </c>
      <c r="I148" s="10">
        <v>4</v>
      </c>
      <c r="J148" s="10">
        <v>13</v>
      </c>
      <c r="K148" s="10">
        <v>0</v>
      </c>
      <c r="L148" s="10">
        <v>0</v>
      </c>
      <c r="M148" s="10">
        <v>0</v>
      </c>
      <c r="N148" s="10">
        <v>0</v>
      </c>
      <c r="O148" s="10">
        <v>2</v>
      </c>
      <c r="P148" s="10">
        <v>6</v>
      </c>
      <c r="Q148" s="10">
        <v>2</v>
      </c>
      <c r="R148" s="10">
        <v>1</v>
      </c>
      <c r="S148" s="10">
        <v>0</v>
      </c>
      <c r="T148" s="10">
        <v>2</v>
      </c>
      <c r="U148" s="10">
        <v>5</v>
      </c>
      <c r="V148" s="10">
        <v>40</v>
      </c>
      <c r="W148" s="10">
        <v>8</v>
      </c>
      <c r="X148" s="57">
        <f t="shared" si="164"/>
        <v>8</v>
      </c>
      <c r="Y148" s="4">
        <f t="shared" si="165"/>
        <v>0.30769230769230771</v>
      </c>
      <c r="Z148" s="4">
        <f t="shared" si="166"/>
        <v>0</v>
      </c>
      <c r="AA148" s="4">
        <f t="shared" si="167"/>
        <v>0</v>
      </c>
      <c r="AB148" s="4">
        <f>IFERROR(tbl_główna_GRACZE[[#This Row],[2pm]]/tbl_główna_GRACZE[[#This Row],[2pa]],0)</f>
        <v>0.30769230769230771</v>
      </c>
      <c r="AC148" s="4">
        <f t="shared" si="168"/>
        <v>0.30769230769230771</v>
      </c>
      <c r="AD148" s="4">
        <f t="shared" si="169"/>
        <v>0.30769230769230771</v>
      </c>
      <c r="AE148" s="11">
        <f t="shared" si="170"/>
        <v>15</v>
      </c>
      <c r="AF148" s="4">
        <f t="shared" si="171"/>
        <v>0</v>
      </c>
      <c r="AG148" s="4">
        <f t="shared" si="172"/>
        <v>0</v>
      </c>
      <c r="AH14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0.17926089354660785</v>
      </c>
      <c r="AI148" s="25">
        <f>tbl_główna_GRACZE[[#This Row],[pts]]*(40/tbl_główna_GRACZE[[#This Row],[min]])</f>
        <v>8</v>
      </c>
      <c r="AJ148" s="30">
        <f>tbl_główna_GRACZE[[#This Row],[reb total]]*(40/tbl_główna_GRACZE[[#This Row],[min]])</f>
        <v>8</v>
      </c>
      <c r="AK148" s="30">
        <f>tbl_główna_GRACZE[[#This Row],[asst]]*(40/tbl_główna_GRACZE[[#This Row],[min]])</f>
        <v>5</v>
      </c>
      <c r="AL148" s="5">
        <f t="shared" si="173"/>
        <v>0.61538461538461542</v>
      </c>
      <c r="AM148" s="5">
        <f>(tbl_główna_GRACZE[[#This Row],[stl]]+tbl_główna_GRACZE[[#This Row],[blk]])*(40/tbl_główna_GRACZE[[#This Row],[min]])</f>
        <v>3</v>
      </c>
      <c r="AN14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48" s="25">
        <f>tbl_główna_GRACZE[[#This Row],[stl]]+tbl_główna_GRACZE[[#This Row],[blk]]+(tbl_główna_GRACZE[[#This Row],[dreb]]*0.5)</f>
        <v>6</v>
      </c>
      <c r="AP148" s="29">
        <f>(tbl_główna_GRACZE[[#This Row],[stl]]+tbl_główna_GRACZE[[#This Row],[blk]]+0.5*tbl_główna_GRACZE[[#This Row],[dreb]])/tbl_główna_GRACZE[[#This Row],[min]]</f>
        <v>0.15</v>
      </c>
      <c r="AQ148" s="6">
        <f t="shared" si="174"/>
        <v>9.6</v>
      </c>
      <c r="AR148" s="6">
        <f>tbl_główna_GRACZE[[#This Row],[GmSc]]*(40/tbl_główna_GRACZE[[#This Row],[min]])</f>
        <v>9.6</v>
      </c>
      <c r="AS148" s="6">
        <f>tbl_główna_GRACZE[[#This Row],[EVAL]]*(40/tbl_główna_GRACZE[[#This Row],[min]])</f>
        <v>15</v>
      </c>
      <c r="AT148" s="11">
        <f>tbl_główna_GRACZE[[#This Row],[fgm]]-tbl_główna_GRACZE[[#This Row],[3pm]]</f>
        <v>4</v>
      </c>
      <c r="AU148" s="11">
        <f>tbl_główna_GRACZE[[#This Row],[fga]]-tbl_główna_GRACZE[[#This Row],[3pa]]</f>
        <v>13</v>
      </c>
      <c r="AV148">
        <f>IF(tbl_główna_GRACZE[[#This Row],[min]]&gt;0,1,0)</f>
        <v>1</v>
      </c>
      <c r="AW148" s="58" t="str">
        <f>tbl_główna_GRACZE[[#This Row],[I. Nazwisko]]</f>
        <v>M. Kutz</v>
      </c>
    </row>
    <row r="149" spans="1:49" x14ac:dyDescent="0.35">
      <c r="A149" t="s">
        <v>25</v>
      </c>
      <c r="B149" t="s">
        <v>50</v>
      </c>
      <c r="C149" t="s">
        <v>58</v>
      </c>
      <c r="D149" t="str">
        <f>IF(C149="H",VLOOKUP($A149,tab_nazwy_zespołów[],2,0)&amp;VLOOKUP($B149,tab_nazwy_zespołów[],2,0),VLOOKUP($B149,tab_nazwy_zespołów[],2,0)&amp;VLOOKUP($A149,tab_nazwy_zespołów[],2,0))</f>
        <v>KONHUT</v>
      </c>
      <c r="E149">
        <v>3</v>
      </c>
      <c r="F149">
        <f>COUNTIF(tbl_zawodnicy_sumy[I. Nazwisko],tbl_główna_GRACZE[[#This Row],[I. Nazwisko]])</f>
        <v>1</v>
      </c>
      <c r="G149" s="58" t="str">
        <f>RIGHT(tbl_główna_GRACZE[[#This Row],[Kolumna1]],LEN(tbl_główna_GRACZE[[#This Row],[Kolumna1]])-FIND(" ",tbl_główna_GRACZE[[#This Row],[Kolumna1]]))</f>
        <v>S. Gonchar</v>
      </c>
      <c r="H149" s="2" t="s">
        <v>334</v>
      </c>
      <c r="I149" s="10">
        <v>4</v>
      </c>
      <c r="J149" s="10">
        <v>14</v>
      </c>
      <c r="K149" s="10">
        <v>0</v>
      </c>
      <c r="L149" s="10">
        <v>1</v>
      </c>
      <c r="M149" s="10">
        <v>0</v>
      </c>
      <c r="N149" s="10">
        <v>0</v>
      </c>
      <c r="O149" s="10">
        <v>3</v>
      </c>
      <c r="P149" s="10">
        <v>4</v>
      </c>
      <c r="Q149" s="10">
        <v>2</v>
      </c>
      <c r="R149" s="10">
        <v>2</v>
      </c>
      <c r="S149" s="10">
        <v>0</v>
      </c>
      <c r="T149" s="10">
        <v>0</v>
      </c>
      <c r="U149" s="10">
        <v>3</v>
      </c>
      <c r="V149" s="10">
        <v>34</v>
      </c>
      <c r="W149" s="10">
        <v>8</v>
      </c>
      <c r="X149" s="57">
        <f t="shared" si="164"/>
        <v>7</v>
      </c>
      <c r="Y149" s="4">
        <f t="shared" si="165"/>
        <v>0.2857142857142857</v>
      </c>
      <c r="Z149" s="4">
        <f t="shared" si="166"/>
        <v>0</v>
      </c>
      <c r="AA149" s="4">
        <f t="shared" si="167"/>
        <v>0</v>
      </c>
      <c r="AB149" s="4">
        <f>IFERROR(tbl_główna_GRACZE[[#This Row],[2pm]]/tbl_główna_GRACZE[[#This Row],[2pa]],0)</f>
        <v>0.30769230769230771</v>
      </c>
      <c r="AC149" s="4">
        <f t="shared" si="168"/>
        <v>0.2857142857142857</v>
      </c>
      <c r="AD149" s="4">
        <f t="shared" si="169"/>
        <v>0.2857142857142857</v>
      </c>
      <c r="AE149" s="11">
        <f t="shared" si="170"/>
        <v>10</v>
      </c>
      <c r="AF149" s="4">
        <f t="shared" si="171"/>
        <v>0</v>
      </c>
      <c r="AG149" s="4">
        <f t="shared" si="172"/>
        <v>7.1428571428571425E-2</v>
      </c>
      <c r="AH14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0.19305019305019305</v>
      </c>
      <c r="AI149" s="25">
        <f>tbl_główna_GRACZE[[#This Row],[pts]]*(40/tbl_główna_GRACZE[[#This Row],[min]])</f>
        <v>9.4117647058823533</v>
      </c>
      <c r="AJ149" s="30">
        <f>tbl_główna_GRACZE[[#This Row],[reb total]]*(40/tbl_główna_GRACZE[[#This Row],[min]])</f>
        <v>8.2352941176470598</v>
      </c>
      <c r="AK149" s="30">
        <f>tbl_główna_GRACZE[[#This Row],[asst]]*(40/tbl_główna_GRACZE[[#This Row],[min]])</f>
        <v>3.5294117647058822</v>
      </c>
      <c r="AL149" s="5">
        <f t="shared" si="173"/>
        <v>0.5714285714285714</v>
      </c>
      <c r="AM149" s="5">
        <f>(tbl_główna_GRACZE[[#This Row],[stl]]+tbl_główna_GRACZE[[#This Row],[blk]])*(40/tbl_główna_GRACZE[[#This Row],[min]])</f>
        <v>2.3529411764705883</v>
      </c>
      <c r="AN14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49" s="25">
        <f>tbl_główna_GRACZE[[#This Row],[stl]]+tbl_główna_GRACZE[[#This Row],[blk]]+(tbl_główna_GRACZE[[#This Row],[dreb]]*0.5)</f>
        <v>4</v>
      </c>
      <c r="AP149" s="29">
        <f>(tbl_główna_GRACZE[[#This Row],[stl]]+tbl_główna_GRACZE[[#This Row],[blk]]+0.5*tbl_główna_GRACZE[[#This Row],[dreb]])/tbl_główna_GRACZE[[#This Row],[min]]</f>
        <v>0.11764705882352941</v>
      </c>
      <c r="AQ149" s="6">
        <f t="shared" si="174"/>
        <v>7.2</v>
      </c>
      <c r="AR149" s="6">
        <f>tbl_główna_GRACZE[[#This Row],[GmSc]]*(40/tbl_główna_GRACZE[[#This Row],[min]])</f>
        <v>8.4705882352941178</v>
      </c>
      <c r="AS149" s="6">
        <f>tbl_główna_GRACZE[[#This Row],[EVAL]]*(40/tbl_główna_GRACZE[[#This Row],[min]])</f>
        <v>11.764705882352942</v>
      </c>
      <c r="AT149" s="11">
        <f>tbl_główna_GRACZE[[#This Row],[fgm]]-tbl_główna_GRACZE[[#This Row],[3pm]]</f>
        <v>4</v>
      </c>
      <c r="AU149" s="11">
        <f>tbl_główna_GRACZE[[#This Row],[fga]]-tbl_główna_GRACZE[[#This Row],[3pa]]</f>
        <v>13</v>
      </c>
      <c r="AV149">
        <f>IF(tbl_główna_GRACZE[[#This Row],[min]]&gt;0,1,0)</f>
        <v>1</v>
      </c>
      <c r="AW149" s="58" t="str">
        <f>tbl_główna_GRACZE[[#This Row],[I. Nazwisko]]</f>
        <v>S. Gonchar</v>
      </c>
    </row>
    <row r="150" spans="1:49" x14ac:dyDescent="0.35">
      <c r="A150" t="s">
        <v>25</v>
      </c>
      <c r="B150" t="s">
        <v>50</v>
      </c>
      <c r="C150" t="s">
        <v>58</v>
      </c>
      <c r="D150" t="str">
        <f>IF(C150="H",VLOOKUP($A150,tab_nazwy_zespołów[],2,0)&amp;VLOOKUP($B150,tab_nazwy_zespołów[],2,0),VLOOKUP($B150,tab_nazwy_zespołów[],2,0)&amp;VLOOKUP($A150,tab_nazwy_zespołów[],2,0))</f>
        <v>KONHUT</v>
      </c>
      <c r="E150">
        <v>3</v>
      </c>
      <c r="F150">
        <f>COUNTIF(tbl_zawodnicy_sumy[I. Nazwisko],tbl_główna_GRACZE[[#This Row],[I. Nazwisko]])</f>
        <v>1</v>
      </c>
      <c r="G150" s="58" t="str">
        <f>RIGHT(tbl_główna_GRACZE[[#This Row],[Kolumna1]],LEN(tbl_główna_GRACZE[[#This Row],[Kolumna1]])-FIND(" ",tbl_główna_GRACZE[[#This Row],[Kolumna1]]))</f>
        <v>V. Kurshynov</v>
      </c>
      <c r="H150" s="2" t="s">
        <v>393</v>
      </c>
      <c r="I150" s="10">
        <v>1</v>
      </c>
      <c r="J150" s="10">
        <v>3</v>
      </c>
      <c r="K150" s="10">
        <v>1</v>
      </c>
      <c r="L150" s="10">
        <v>2</v>
      </c>
      <c r="M150" s="10">
        <v>2</v>
      </c>
      <c r="N150" s="10">
        <v>3</v>
      </c>
      <c r="O150" s="10">
        <v>0</v>
      </c>
      <c r="P150" s="10">
        <v>5</v>
      </c>
      <c r="Q150" s="10">
        <v>1</v>
      </c>
      <c r="R150" s="10">
        <v>4</v>
      </c>
      <c r="S150" s="10">
        <v>0</v>
      </c>
      <c r="T150" s="10">
        <v>0</v>
      </c>
      <c r="U150" s="10">
        <v>2</v>
      </c>
      <c r="V150" s="10">
        <v>25</v>
      </c>
      <c r="W150" s="10">
        <v>5</v>
      </c>
      <c r="X150" s="57">
        <f t="shared" si="164"/>
        <v>5</v>
      </c>
      <c r="Y150" s="4">
        <f t="shared" si="165"/>
        <v>0.33333333333333331</v>
      </c>
      <c r="Z150" s="4">
        <f t="shared" si="166"/>
        <v>0.5</v>
      </c>
      <c r="AA150" s="4">
        <f t="shared" si="167"/>
        <v>0.66666666666666663</v>
      </c>
      <c r="AB150" s="4">
        <f>IFERROR(tbl_główna_GRACZE[[#This Row],[2pm]]/tbl_główna_GRACZE[[#This Row],[2pa]],0)</f>
        <v>0</v>
      </c>
      <c r="AC150" s="4">
        <f t="shared" si="168"/>
        <v>0.57870370370370372</v>
      </c>
      <c r="AD150" s="4">
        <f t="shared" si="169"/>
        <v>0.5</v>
      </c>
      <c r="AE150" s="11">
        <f t="shared" si="170"/>
        <v>13</v>
      </c>
      <c r="AF150" s="4">
        <f t="shared" si="171"/>
        <v>1</v>
      </c>
      <c r="AG150" s="4">
        <f t="shared" si="172"/>
        <v>0.66666666666666663</v>
      </c>
      <c r="AH15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5.9569773855488145E-2</v>
      </c>
      <c r="AI150" s="25">
        <f>tbl_główna_GRACZE[[#This Row],[pts]]*(40/tbl_główna_GRACZE[[#This Row],[min]])</f>
        <v>8</v>
      </c>
      <c r="AJ150" s="30">
        <f>tbl_główna_GRACZE[[#This Row],[reb total]]*(40/tbl_główna_GRACZE[[#This Row],[min]])</f>
        <v>8</v>
      </c>
      <c r="AK150" s="30">
        <f>tbl_główna_GRACZE[[#This Row],[asst]]*(40/tbl_główna_GRACZE[[#This Row],[min]])</f>
        <v>3.2</v>
      </c>
      <c r="AL150" s="5">
        <f t="shared" si="173"/>
        <v>1.6666666666666667</v>
      </c>
      <c r="AM150" s="5">
        <f>(tbl_główna_GRACZE[[#This Row],[stl]]+tbl_główna_GRACZE[[#This Row],[blk]])*(40/tbl_główna_GRACZE[[#This Row],[min]])</f>
        <v>6.4</v>
      </c>
      <c r="AN15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0.26666666666666666</v>
      </c>
      <c r="AO150" s="25">
        <f>tbl_główna_GRACZE[[#This Row],[stl]]+tbl_główna_GRACZE[[#This Row],[blk]]+(tbl_główna_GRACZE[[#This Row],[dreb]]*0.5)</f>
        <v>6.5</v>
      </c>
      <c r="AP150" s="29">
        <f>(tbl_główna_GRACZE[[#This Row],[stl]]+tbl_główna_GRACZE[[#This Row],[blk]]+0.5*tbl_główna_GRACZE[[#This Row],[dreb]])/tbl_główna_GRACZE[[#This Row],[min]]</f>
        <v>0.26</v>
      </c>
      <c r="AQ150" s="6">
        <f t="shared" si="174"/>
        <v>9.8000000000000007</v>
      </c>
      <c r="AR150" s="6">
        <f>tbl_główna_GRACZE[[#This Row],[GmSc]]*(40/tbl_główna_GRACZE[[#This Row],[min]])</f>
        <v>15.680000000000001</v>
      </c>
      <c r="AS150" s="6">
        <f>tbl_główna_GRACZE[[#This Row],[EVAL]]*(40/tbl_główna_GRACZE[[#This Row],[min]])</f>
        <v>20.8</v>
      </c>
      <c r="AT150" s="11">
        <f>tbl_główna_GRACZE[[#This Row],[fgm]]-tbl_główna_GRACZE[[#This Row],[3pm]]</f>
        <v>0</v>
      </c>
      <c r="AU150" s="11">
        <f>tbl_główna_GRACZE[[#This Row],[fga]]-tbl_główna_GRACZE[[#This Row],[3pa]]</f>
        <v>1</v>
      </c>
      <c r="AV150">
        <f>IF(tbl_główna_GRACZE[[#This Row],[min]]&gt;0,1,0)</f>
        <v>1</v>
      </c>
      <c r="AW150" s="58" t="str">
        <f>tbl_główna_GRACZE[[#This Row],[I. Nazwisko]]</f>
        <v>V. Kurshynov</v>
      </c>
    </row>
    <row r="151" spans="1:49" x14ac:dyDescent="0.35">
      <c r="A151" t="s">
        <v>25</v>
      </c>
      <c r="B151" t="s">
        <v>50</v>
      </c>
      <c r="C151" t="s">
        <v>58</v>
      </c>
      <c r="D151" t="str">
        <f>IF(C151="H",VLOOKUP($A151,tab_nazwy_zespołów[],2,0)&amp;VLOOKUP($B151,tab_nazwy_zespołów[],2,0),VLOOKUP($B151,tab_nazwy_zespołów[],2,0)&amp;VLOOKUP($A151,tab_nazwy_zespołów[],2,0))</f>
        <v>KONHUT</v>
      </c>
      <c r="E151">
        <v>3</v>
      </c>
      <c r="F151">
        <f>COUNTIF(tbl_zawodnicy_sumy[I. Nazwisko],tbl_główna_GRACZE[[#This Row],[I. Nazwisko]])</f>
        <v>1</v>
      </c>
      <c r="G151" s="58" t="str">
        <f>RIGHT(tbl_główna_GRACZE[[#This Row],[Kolumna1]],LEN(tbl_główna_GRACZE[[#This Row],[Kolumna1]])-FIND(" ",tbl_główna_GRACZE[[#This Row],[Kolumna1]]))</f>
        <v>W. Pyszyński</v>
      </c>
      <c r="H151" s="2" t="s">
        <v>394</v>
      </c>
      <c r="I151" s="10">
        <v>0</v>
      </c>
      <c r="J151" s="10">
        <v>2</v>
      </c>
      <c r="K151" s="10">
        <v>0</v>
      </c>
      <c r="L151" s="10">
        <v>0</v>
      </c>
      <c r="M151" s="10">
        <v>0</v>
      </c>
      <c r="N151" s="10">
        <v>0</v>
      </c>
      <c r="O151" s="10">
        <v>1</v>
      </c>
      <c r="P151" s="10">
        <v>5</v>
      </c>
      <c r="Q151" s="10">
        <v>1</v>
      </c>
      <c r="R151" s="10">
        <v>1</v>
      </c>
      <c r="S151" s="10">
        <v>0</v>
      </c>
      <c r="T151" s="10">
        <v>1</v>
      </c>
      <c r="U151" s="10">
        <v>1</v>
      </c>
      <c r="V151" s="10">
        <v>24</v>
      </c>
      <c r="W151" s="10">
        <v>0</v>
      </c>
      <c r="X151" s="57">
        <f t="shared" si="164"/>
        <v>6</v>
      </c>
      <c r="Y151" s="4">
        <f t="shared" si="165"/>
        <v>0</v>
      </c>
      <c r="Z151" s="4">
        <f t="shared" si="166"/>
        <v>0</v>
      </c>
      <c r="AA151" s="4">
        <f t="shared" si="167"/>
        <v>0</v>
      </c>
      <c r="AB151" s="4">
        <f>IFERROR(tbl_główna_GRACZE[[#This Row],[2pm]]/tbl_główna_GRACZE[[#This Row],[2pa]],0)</f>
        <v>0</v>
      </c>
      <c r="AC151" s="4">
        <f t="shared" si="168"/>
        <v>0</v>
      </c>
      <c r="AD151" s="4">
        <f t="shared" si="169"/>
        <v>0</v>
      </c>
      <c r="AE151" s="11">
        <f t="shared" si="170"/>
        <v>7</v>
      </c>
      <c r="AF151" s="4">
        <f t="shared" si="171"/>
        <v>0</v>
      </c>
      <c r="AG151" s="4">
        <f t="shared" si="172"/>
        <v>0</v>
      </c>
      <c r="AH15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2.7578599007170437E-2</v>
      </c>
      <c r="AI151" s="25">
        <f>tbl_główna_GRACZE[[#This Row],[pts]]*(40/tbl_główna_GRACZE[[#This Row],[min]])</f>
        <v>0</v>
      </c>
      <c r="AJ151" s="30">
        <f>tbl_główna_GRACZE[[#This Row],[reb total]]*(40/tbl_główna_GRACZE[[#This Row],[min]])</f>
        <v>10</v>
      </c>
      <c r="AK151" s="30">
        <f>tbl_główna_GRACZE[[#This Row],[asst]]*(40/tbl_główna_GRACZE[[#This Row],[min]])</f>
        <v>1.6666666666666667</v>
      </c>
      <c r="AL151" s="5">
        <f t="shared" si="173"/>
        <v>0</v>
      </c>
      <c r="AM151" s="5">
        <f>(tbl_główna_GRACZE[[#This Row],[stl]]+tbl_główna_GRACZE[[#This Row],[blk]])*(40/tbl_główna_GRACZE[[#This Row],[min]])</f>
        <v>3.3333333333333335</v>
      </c>
      <c r="AN15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51" s="25">
        <f>tbl_główna_GRACZE[[#This Row],[stl]]+tbl_główna_GRACZE[[#This Row],[blk]]+(tbl_główna_GRACZE[[#This Row],[dreb]]*0.5)</f>
        <v>4.5</v>
      </c>
      <c r="AP151" s="29">
        <f>(tbl_główna_GRACZE[[#This Row],[stl]]+tbl_główna_GRACZE[[#This Row],[blk]]+0.5*tbl_główna_GRACZE[[#This Row],[dreb]])/tbl_główna_GRACZE[[#This Row],[min]]</f>
        <v>0.1875</v>
      </c>
      <c r="AQ151" s="6">
        <f t="shared" si="174"/>
        <v>3.2</v>
      </c>
      <c r="AR151" s="6">
        <f>tbl_główna_GRACZE[[#This Row],[GmSc]]*(40/tbl_główna_GRACZE[[#This Row],[min]])</f>
        <v>5.3333333333333339</v>
      </c>
      <c r="AS151" s="6">
        <f>tbl_główna_GRACZE[[#This Row],[EVAL]]*(40/tbl_główna_GRACZE[[#This Row],[min]])</f>
        <v>11.666666666666668</v>
      </c>
      <c r="AT151" s="11">
        <f>tbl_główna_GRACZE[[#This Row],[fgm]]-tbl_główna_GRACZE[[#This Row],[3pm]]</f>
        <v>0</v>
      </c>
      <c r="AU151" s="11">
        <f>tbl_główna_GRACZE[[#This Row],[fga]]-tbl_główna_GRACZE[[#This Row],[3pa]]</f>
        <v>2</v>
      </c>
      <c r="AV151">
        <f>IF(tbl_główna_GRACZE[[#This Row],[min]]&gt;0,1,0)</f>
        <v>1</v>
      </c>
      <c r="AW151" s="58" t="str">
        <f>tbl_główna_GRACZE[[#This Row],[I. Nazwisko]]</f>
        <v>W. Pyszyński</v>
      </c>
    </row>
    <row r="152" spans="1:49" x14ac:dyDescent="0.35">
      <c r="A152" t="s">
        <v>46</v>
      </c>
      <c r="B152" t="s">
        <v>19</v>
      </c>
      <c r="C152" t="s">
        <v>57</v>
      </c>
      <c r="D152" t="str">
        <f>IF(C152="H",VLOOKUP($A152,tab_nazwy_zespołów[],2,0)&amp;VLOOKUP($B152,tab_nazwy_zespołów[],2,0),VLOOKUP($B152,tab_nazwy_zespołów[],2,0)&amp;VLOOKUP($A152,tab_nazwy_zespołów[],2,0))</f>
        <v>BYPSTA</v>
      </c>
      <c r="E152">
        <v>4</v>
      </c>
      <c r="F152">
        <f>COUNTIF(tbl_zawodnicy_sumy[I. Nazwisko],tbl_główna_GRACZE[[#This Row],[I. Nazwisko]])</f>
        <v>1</v>
      </c>
      <c r="G152" s="58" t="str">
        <f>RIGHT(tbl_główna_GRACZE[[#This Row],[Kolumna1]],LEN(tbl_główna_GRACZE[[#This Row],[Kolumna1]])-FIND(" ",tbl_główna_GRACZE[[#This Row],[Kolumna1]]))</f>
        <v>P. Kozlowski</v>
      </c>
      <c r="H152" s="2" t="s">
        <v>341</v>
      </c>
      <c r="I152" s="10">
        <v>2</v>
      </c>
      <c r="J152" s="10">
        <v>7</v>
      </c>
      <c r="K152" s="10">
        <v>0</v>
      </c>
      <c r="L152" s="10">
        <v>1</v>
      </c>
      <c r="M152" s="10">
        <v>3</v>
      </c>
      <c r="N152" s="10">
        <v>6</v>
      </c>
      <c r="O152" s="10">
        <v>1</v>
      </c>
      <c r="P152" s="10">
        <v>7</v>
      </c>
      <c r="Q152" s="10">
        <v>0</v>
      </c>
      <c r="R152" s="10">
        <v>1</v>
      </c>
      <c r="S152" s="10">
        <v>0</v>
      </c>
      <c r="T152" s="10">
        <v>3</v>
      </c>
      <c r="U152" s="10">
        <v>0</v>
      </c>
      <c r="V152" s="10">
        <v>26</v>
      </c>
      <c r="W152" s="10">
        <v>7</v>
      </c>
      <c r="X152" s="57">
        <f t="shared" ref="X152:X160" si="175">O152+P152</f>
        <v>8</v>
      </c>
      <c r="Y152" s="4">
        <f t="shared" ref="Y152:Y160" si="176">I152/J152</f>
        <v>0.2857142857142857</v>
      </c>
      <c r="Z152" s="4">
        <f t="shared" ref="Z152:Z160" si="177">IFERROR(K152/L152,0)</f>
        <v>0</v>
      </c>
      <c r="AA152" s="4">
        <f t="shared" ref="AA152:AA160" si="178">IFERROR(M152/N152,0)</f>
        <v>0.5</v>
      </c>
      <c r="AB152" s="4">
        <f>IFERROR(tbl_główna_GRACZE[[#This Row],[2pm]]/tbl_główna_GRACZE[[#This Row],[2pa]],0)</f>
        <v>0.33333333333333331</v>
      </c>
      <c r="AC152" s="4">
        <f t="shared" ref="AC152:AC160" si="179">W152/(2*(J152+0.44*N152))</f>
        <v>0.36307053941908712</v>
      </c>
      <c r="AD152" s="4">
        <f t="shared" ref="AD152:AD160" si="180">(I152+0.5*K152)/J152</f>
        <v>0.2857142857142857</v>
      </c>
      <c r="AE152" s="11">
        <f t="shared" ref="AE152:AE160" si="181">R152+T152+U152+W152+X152-(J152-I152)-(N152-M152)</f>
        <v>11</v>
      </c>
      <c r="AF152" s="4">
        <f t="shared" ref="AF152:AF160" si="182">N152/J152</f>
        <v>0.8571428571428571</v>
      </c>
      <c r="AG152" s="4">
        <f t="shared" ref="AG152:AG160" si="183">L152/J152</f>
        <v>0.14285714285714285</v>
      </c>
      <c r="AH15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0.15024937655860351</v>
      </c>
      <c r="AI152" s="25">
        <f>tbl_główna_GRACZE[[#This Row],[pts]]*(40/tbl_główna_GRACZE[[#This Row],[min]])</f>
        <v>10.76923076923077</v>
      </c>
      <c r="AJ152" s="30">
        <f>tbl_główna_GRACZE[[#This Row],[reb total]]*(40/tbl_główna_GRACZE[[#This Row],[min]])</f>
        <v>12.307692307692308</v>
      </c>
      <c r="AK152" s="30">
        <f>tbl_główna_GRACZE[[#This Row],[asst]]*(40/tbl_główna_GRACZE[[#This Row],[min]])</f>
        <v>0</v>
      </c>
      <c r="AL152" s="5">
        <f t="shared" ref="AL152:AL160" si="184">W152/J152</f>
        <v>1</v>
      </c>
      <c r="AM152" s="5">
        <f>(tbl_główna_GRACZE[[#This Row],[stl]]+tbl_główna_GRACZE[[#This Row],[blk]])*(40/tbl_główna_GRACZE[[#This Row],[min]])</f>
        <v>6.1538461538461542</v>
      </c>
      <c r="AN15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0.33333333333333331</v>
      </c>
      <c r="AO152" s="25">
        <f>tbl_główna_GRACZE[[#This Row],[stl]]+tbl_główna_GRACZE[[#This Row],[blk]]+(tbl_główna_GRACZE[[#This Row],[dreb]]*0.5)</f>
        <v>7.5</v>
      </c>
      <c r="AP152" s="29">
        <f>(tbl_główna_GRACZE[[#This Row],[stl]]+tbl_główna_GRACZE[[#This Row],[blk]]+0.5*tbl_główna_GRACZE[[#This Row],[dreb]])/tbl_główna_GRACZE[[#This Row],[min]]</f>
        <v>0.28846153846153844</v>
      </c>
      <c r="AQ152" s="6">
        <f t="shared" ref="AQ152:AQ160" si="185">W152+0.4*I152-0.7*J152-0.4*(N152-M152)+0.7*O152+0.3*P152+R152+0.7*U152+0.7*T152</f>
        <v>7.6</v>
      </c>
      <c r="AR152" s="6">
        <f>tbl_główna_GRACZE[[#This Row],[GmSc]]*(40/tbl_główna_GRACZE[[#This Row],[min]])</f>
        <v>11.692307692307692</v>
      </c>
      <c r="AS152" s="6">
        <f>tbl_główna_GRACZE[[#This Row],[EVAL]]*(40/tbl_główna_GRACZE[[#This Row],[min]])</f>
        <v>16.923076923076923</v>
      </c>
      <c r="AT152" s="11">
        <f>tbl_główna_GRACZE[[#This Row],[fgm]]-tbl_główna_GRACZE[[#This Row],[3pm]]</f>
        <v>2</v>
      </c>
      <c r="AU152" s="11">
        <f>tbl_główna_GRACZE[[#This Row],[fga]]-tbl_główna_GRACZE[[#This Row],[3pa]]</f>
        <v>6</v>
      </c>
      <c r="AV152">
        <f>IF(tbl_główna_GRACZE[[#This Row],[min]]&gt;0,1,0)</f>
        <v>1</v>
      </c>
      <c r="AW152" s="58" t="str">
        <f>tbl_główna_GRACZE[[#This Row],[I. Nazwisko]]</f>
        <v>P. Kozlowski</v>
      </c>
    </row>
    <row r="153" spans="1:49" x14ac:dyDescent="0.35">
      <c r="A153" t="s">
        <v>46</v>
      </c>
      <c r="B153" t="s">
        <v>19</v>
      </c>
      <c r="C153" t="s">
        <v>57</v>
      </c>
      <c r="D153" t="str">
        <f>IF(C153="H",VLOOKUP($A153,tab_nazwy_zespołów[],2,0)&amp;VLOOKUP($B153,tab_nazwy_zespołów[],2,0),VLOOKUP($B153,tab_nazwy_zespołów[],2,0)&amp;VLOOKUP($A153,tab_nazwy_zespołów[],2,0))</f>
        <v>BYPSTA</v>
      </c>
      <c r="E153">
        <v>4</v>
      </c>
      <c r="F153">
        <f>COUNTIF(tbl_zawodnicy_sumy[I. Nazwisko],tbl_główna_GRACZE[[#This Row],[I. Nazwisko]])</f>
        <v>1</v>
      </c>
      <c r="G153" s="58" t="str">
        <f>RIGHT(tbl_główna_GRACZE[[#This Row],[Kolumna1]],LEN(tbl_główna_GRACZE[[#This Row],[Kolumna1]])-FIND(" ",tbl_główna_GRACZE[[#This Row],[Kolumna1]]))</f>
        <v>A. Stańczuk</v>
      </c>
      <c r="H153" s="2" t="s">
        <v>72</v>
      </c>
      <c r="I153" s="10">
        <v>3</v>
      </c>
      <c r="J153" s="10">
        <v>9</v>
      </c>
      <c r="K153" s="10">
        <v>0</v>
      </c>
      <c r="L153" s="10">
        <v>3</v>
      </c>
      <c r="M153" s="10">
        <v>0</v>
      </c>
      <c r="N153" s="10">
        <v>0</v>
      </c>
      <c r="O153" s="10">
        <v>0</v>
      </c>
      <c r="P153" s="10">
        <v>1</v>
      </c>
      <c r="Q153" s="10">
        <v>1</v>
      </c>
      <c r="R153" s="10">
        <v>1</v>
      </c>
      <c r="S153" s="10">
        <v>0</v>
      </c>
      <c r="T153" s="10">
        <v>1</v>
      </c>
      <c r="U153" s="10">
        <v>1</v>
      </c>
      <c r="V153" s="10">
        <v>28</v>
      </c>
      <c r="W153" s="10">
        <v>6</v>
      </c>
      <c r="X153" s="57">
        <f t="shared" si="175"/>
        <v>1</v>
      </c>
      <c r="Y153" s="4">
        <f t="shared" si="176"/>
        <v>0.33333333333333331</v>
      </c>
      <c r="Z153" s="4">
        <f t="shared" si="177"/>
        <v>0</v>
      </c>
      <c r="AA153" s="4">
        <f t="shared" si="178"/>
        <v>0</v>
      </c>
      <c r="AB153" s="4">
        <f>IFERROR(tbl_główna_GRACZE[[#This Row],[2pm]]/tbl_główna_GRACZE[[#This Row],[2pa]],0)</f>
        <v>0.5</v>
      </c>
      <c r="AC153" s="4">
        <f t="shared" si="179"/>
        <v>0.33333333333333331</v>
      </c>
      <c r="AD153" s="4">
        <f t="shared" si="180"/>
        <v>0.33333333333333331</v>
      </c>
      <c r="AE153" s="11">
        <f t="shared" si="181"/>
        <v>4</v>
      </c>
      <c r="AF153" s="4">
        <f t="shared" si="182"/>
        <v>0</v>
      </c>
      <c r="AG153" s="4">
        <f t="shared" si="183"/>
        <v>0.33333333333333331</v>
      </c>
      <c r="AH15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0.14027431421446385</v>
      </c>
      <c r="AI153" s="25">
        <f>tbl_główna_GRACZE[[#This Row],[pts]]*(40/tbl_główna_GRACZE[[#This Row],[min]])</f>
        <v>8.5714285714285712</v>
      </c>
      <c r="AJ153" s="30">
        <f>tbl_główna_GRACZE[[#This Row],[reb total]]*(40/tbl_główna_GRACZE[[#This Row],[min]])</f>
        <v>1.4285714285714286</v>
      </c>
      <c r="AK153" s="30">
        <f>tbl_główna_GRACZE[[#This Row],[asst]]*(40/tbl_główna_GRACZE[[#This Row],[min]])</f>
        <v>1.4285714285714286</v>
      </c>
      <c r="AL153" s="5">
        <f t="shared" si="184"/>
        <v>0.66666666666666663</v>
      </c>
      <c r="AM153" s="5">
        <f>(tbl_główna_GRACZE[[#This Row],[stl]]+tbl_główna_GRACZE[[#This Row],[blk]])*(40/tbl_główna_GRACZE[[#This Row],[min]])</f>
        <v>2.8571428571428572</v>
      </c>
      <c r="AN15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53" s="25">
        <f>tbl_główna_GRACZE[[#This Row],[stl]]+tbl_główna_GRACZE[[#This Row],[blk]]+(tbl_główna_GRACZE[[#This Row],[dreb]]*0.5)</f>
        <v>2.5</v>
      </c>
      <c r="AP153" s="29">
        <f>(tbl_główna_GRACZE[[#This Row],[stl]]+tbl_główna_GRACZE[[#This Row],[blk]]+0.5*tbl_główna_GRACZE[[#This Row],[dreb]])/tbl_główna_GRACZE[[#This Row],[min]]</f>
        <v>8.9285714285714288E-2</v>
      </c>
      <c r="AQ153" s="6">
        <f t="shared" si="185"/>
        <v>3.6000000000000005</v>
      </c>
      <c r="AR153" s="6">
        <f>tbl_główna_GRACZE[[#This Row],[GmSc]]*(40/tbl_główna_GRACZE[[#This Row],[min]])</f>
        <v>5.1428571428571441</v>
      </c>
      <c r="AS153" s="6">
        <f>tbl_główna_GRACZE[[#This Row],[EVAL]]*(40/tbl_główna_GRACZE[[#This Row],[min]])</f>
        <v>5.7142857142857144</v>
      </c>
      <c r="AT153" s="11">
        <f>tbl_główna_GRACZE[[#This Row],[fgm]]-tbl_główna_GRACZE[[#This Row],[3pm]]</f>
        <v>3</v>
      </c>
      <c r="AU153" s="11">
        <f>tbl_główna_GRACZE[[#This Row],[fga]]-tbl_główna_GRACZE[[#This Row],[3pa]]</f>
        <v>6</v>
      </c>
      <c r="AV153">
        <f>IF(tbl_główna_GRACZE[[#This Row],[min]]&gt;0,1,0)</f>
        <v>1</v>
      </c>
      <c r="AW153" s="58" t="str">
        <f>tbl_główna_GRACZE[[#This Row],[I. Nazwisko]]</f>
        <v>A. Stańczuk</v>
      </c>
    </row>
    <row r="154" spans="1:49" x14ac:dyDescent="0.35">
      <c r="A154" t="s">
        <v>46</v>
      </c>
      <c r="B154" t="s">
        <v>19</v>
      </c>
      <c r="C154" t="s">
        <v>57</v>
      </c>
      <c r="D154" t="str">
        <f>IF(C154="H",VLOOKUP($A154,tab_nazwy_zespołów[],2,0)&amp;VLOOKUP($B154,tab_nazwy_zespołów[],2,0),VLOOKUP($B154,tab_nazwy_zespołów[],2,0)&amp;VLOOKUP($A154,tab_nazwy_zespołów[],2,0))</f>
        <v>BYPSTA</v>
      </c>
      <c r="E154">
        <v>4</v>
      </c>
      <c r="F154">
        <f>COUNTIF(tbl_zawodnicy_sumy[I. Nazwisko],tbl_główna_GRACZE[[#This Row],[I. Nazwisko]])</f>
        <v>1</v>
      </c>
      <c r="G154" s="58" t="str">
        <f>RIGHT(tbl_główna_GRACZE[[#This Row],[Kolumna1]],LEN(tbl_główna_GRACZE[[#This Row],[Kolumna1]])-FIND(" ",tbl_główna_GRACZE[[#This Row],[Kolumna1]]))</f>
        <v>Ł. Sulejewski</v>
      </c>
      <c r="H154" s="2" t="s">
        <v>69</v>
      </c>
      <c r="I154" s="10">
        <v>3</v>
      </c>
      <c r="J154" s="10">
        <v>13</v>
      </c>
      <c r="K154" s="10">
        <v>0</v>
      </c>
      <c r="L154" s="10">
        <v>5</v>
      </c>
      <c r="M154" s="10">
        <v>0</v>
      </c>
      <c r="N154" s="10">
        <v>0</v>
      </c>
      <c r="O154" s="10">
        <v>0</v>
      </c>
      <c r="P154" s="10">
        <v>1</v>
      </c>
      <c r="Q154" s="10">
        <v>1</v>
      </c>
      <c r="R154" s="10">
        <v>1</v>
      </c>
      <c r="S154" s="10">
        <v>0</v>
      </c>
      <c r="T154" s="10">
        <v>0</v>
      </c>
      <c r="U154" s="10">
        <v>0</v>
      </c>
      <c r="V154" s="10">
        <v>22</v>
      </c>
      <c r="W154" s="10">
        <v>6</v>
      </c>
      <c r="X154" s="57">
        <f t="shared" si="175"/>
        <v>1</v>
      </c>
      <c r="Y154" s="4">
        <f t="shared" si="176"/>
        <v>0.23076923076923078</v>
      </c>
      <c r="Z154" s="4">
        <f t="shared" si="177"/>
        <v>0</v>
      </c>
      <c r="AA154" s="4">
        <f t="shared" si="178"/>
        <v>0</v>
      </c>
      <c r="AB154" s="4">
        <f>IFERROR(tbl_główna_GRACZE[[#This Row],[2pm]]/tbl_główna_GRACZE[[#This Row],[2pa]],0)</f>
        <v>0.375</v>
      </c>
      <c r="AC154" s="4">
        <f t="shared" si="179"/>
        <v>0.23076923076923078</v>
      </c>
      <c r="AD154" s="4">
        <f t="shared" si="180"/>
        <v>0.23076923076923078</v>
      </c>
      <c r="AE154" s="11">
        <f t="shared" si="181"/>
        <v>-2</v>
      </c>
      <c r="AF154" s="4">
        <f t="shared" si="182"/>
        <v>0</v>
      </c>
      <c r="AG154" s="4">
        <f t="shared" si="183"/>
        <v>0.38461538461538464</v>
      </c>
      <c r="AH15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0.20261845386533667</v>
      </c>
      <c r="AI154" s="25">
        <f>tbl_główna_GRACZE[[#This Row],[pts]]*(40/tbl_główna_GRACZE[[#This Row],[min]])</f>
        <v>10.909090909090908</v>
      </c>
      <c r="AJ154" s="30">
        <f>tbl_główna_GRACZE[[#This Row],[reb total]]*(40/tbl_główna_GRACZE[[#This Row],[min]])</f>
        <v>1.8181818181818181</v>
      </c>
      <c r="AK154" s="30">
        <f>tbl_główna_GRACZE[[#This Row],[asst]]*(40/tbl_główna_GRACZE[[#This Row],[min]])</f>
        <v>0</v>
      </c>
      <c r="AL154" s="5">
        <f t="shared" si="184"/>
        <v>0.46153846153846156</v>
      </c>
      <c r="AM154" s="5">
        <f>(tbl_główna_GRACZE[[#This Row],[stl]]+tbl_główna_GRACZE[[#This Row],[blk]])*(40/tbl_główna_GRACZE[[#This Row],[min]])</f>
        <v>1.8181818181818181</v>
      </c>
      <c r="AN15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54" s="25">
        <f>tbl_główna_GRACZE[[#This Row],[stl]]+tbl_główna_GRACZE[[#This Row],[blk]]+(tbl_główna_GRACZE[[#This Row],[dreb]]*0.5)</f>
        <v>1.5</v>
      </c>
      <c r="AP154" s="29">
        <f>(tbl_główna_GRACZE[[#This Row],[stl]]+tbl_główna_GRACZE[[#This Row],[blk]]+0.5*tbl_główna_GRACZE[[#This Row],[dreb]])/tbl_główna_GRACZE[[#This Row],[min]]</f>
        <v>6.8181818181818177E-2</v>
      </c>
      <c r="AQ154" s="6">
        <f t="shared" si="185"/>
        <v>-0.59999999999999942</v>
      </c>
      <c r="AR154" s="6">
        <f>tbl_główna_GRACZE[[#This Row],[GmSc]]*(40/tbl_główna_GRACZE[[#This Row],[min]])</f>
        <v>-1.0909090909090897</v>
      </c>
      <c r="AS154" s="6">
        <f>tbl_główna_GRACZE[[#This Row],[EVAL]]*(40/tbl_główna_GRACZE[[#This Row],[min]])</f>
        <v>-3.6363636363636362</v>
      </c>
      <c r="AT154" s="11">
        <f>tbl_główna_GRACZE[[#This Row],[fgm]]-tbl_główna_GRACZE[[#This Row],[3pm]]</f>
        <v>3</v>
      </c>
      <c r="AU154" s="11">
        <f>tbl_główna_GRACZE[[#This Row],[fga]]-tbl_główna_GRACZE[[#This Row],[3pa]]</f>
        <v>8</v>
      </c>
      <c r="AV154">
        <f>IF(tbl_główna_GRACZE[[#This Row],[min]]&gt;0,1,0)</f>
        <v>1</v>
      </c>
      <c r="AW154" s="58" t="str">
        <f>tbl_główna_GRACZE[[#This Row],[I. Nazwisko]]</f>
        <v>Ł. Sulejewski</v>
      </c>
    </row>
    <row r="155" spans="1:49" x14ac:dyDescent="0.35">
      <c r="A155" t="s">
        <v>46</v>
      </c>
      <c r="B155" t="s">
        <v>19</v>
      </c>
      <c r="C155" t="s">
        <v>57</v>
      </c>
      <c r="D155" t="str">
        <f>IF(C155="H",VLOOKUP($A155,tab_nazwy_zespołów[],2,0)&amp;VLOOKUP($B155,tab_nazwy_zespołów[],2,0),VLOOKUP($B155,tab_nazwy_zespołów[],2,0)&amp;VLOOKUP($A155,tab_nazwy_zespołów[],2,0))</f>
        <v>BYPSTA</v>
      </c>
      <c r="E155">
        <v>4</v>
      </c>
      <c r="F155">
        <f>COUNTIF(tbl_zawodnicy_sumy[I. Nazwisko],tbl_główna_GRACZE[[#This Row],[I. Nazwisko]])</f>
        <v>1</v>
      </c>
      <c r="G155" s="58" t="str">
        <f>RIGHT(tbl_główna_GRACZE[[#This Row],[Kolumna1]],LEN(tbl_główna_GRACZE[[#This Row],[Kolumna1]])-FIND(" ",tbl_główna_GRACZE[[#This Row],[Kolumna1]]))</f>
        <v>R. Mućka</v>
      </c>
      <c r="H155" s="2" t="s">
        <v>73</v>
      </c>
      <c r="I155" s="10">
        <v>1</v>
      </c>
      <c r="J155" s="10">
        <v>4</v>
      </c>
      <c r="K155" s="10">
        <v>0</v>
      </c>
      <c r="L155" s="10">
        <v>2</v>
      </c>
      <c r="M155" s="10">
        <v>4</v>
      </c>
      <c r="N155" s="10">
        <v>6</v>
      </c>
      <c r="O155" s="10">
        <v>3</v>
      </c>
      <c r="P155" s="10">
        <v>2</v>
      </c>
      <c r="Q155" s="10">
        <v>0</v>
      </c>
      <c r="R155" s="10">
        <v>0</v>
      </c>
      <c r="S155" s="10">
        <v>0</v>
      </c>
      <c r="T155" s="10">
        <v>0</v>
      </c>
      <c r="U155" s="10">
        <v>4</v>
      </c>
      <c r="V155" s="10">
        <v>18</v>
      </c>
      <c r="W155" s="10">
        <v>6</v>
      </c>
      <c r="X155" s="57">
        <f t="shared" si="175"/>
        <v>5</v>
      </c>
      <c r="Y155" s="4">
        <f t="shared" si="176"/>
        <v>0.25</v>
      </c>
      <c r="Z155" s="4">
        <f t="shared" si="177"/>
        <v>0</v>
      </c>
      <c r="AA155" s="4">
        <f t="shared" si="178"/>
        <v>0.66666666666666663</v>
      </c>
      <c r="AB155" s="4">
        <f>IFERROR(tbl_główna_GRACZE[[#This Row],[2pm]]/tbl_główna_GRACZE[[#This Row],[2pa]],0)</f>
        <v>0.5</v>
      </c>
      <c r="AC155" s="4">
        <f t="shared" si="179"/>
        <v>0.45180722891566261</v>
      </c>
      <c r="AD155" s="4">
        <f t="shared" si="180"/>
        <v>0.25</v>
      </c>
      <c r="AE155" s="11">
        <f t="shared" si="181"/>
        <v>10</v>
      </c>
      <c r="AF155" s="4">
        <f t="shared" si="182"/>
        <v>1.5</v>
      </c>
      <c r="AG155" s="4">
        <f t="shared" si="183"/>
        <v>0.5</v>
      </c>
      <c r="AH15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0.1034912718204489</v>
      </c>
      <c r="AI155" s="25">
        <f>tbl_główna_GRACZE[[#This Row],[pts]]*(40/tbl_główna_GRACZE[[#This Row],[min]])</f>
        <v>13.333333333333334</v>
      </c>
      <c r="AJ155" s="30">
        <f>tbl_główna_GRACZE[[#This Row],[reb total]]*(40/tbl_główna_GRACZE[[#This Row],[min]])</f>
        <v>11.111111111111111</v>
      </c>
      <c r="AK155" s="30">
        <f>tbl_główna_GRACZE[[#This Row],[asst]]*(40/tbl_główna_GRACZE[[#This Row],[min]])</f>
        <v>8.8888888888888893</v>
      </c>
      <c r="AL155" s="5">
        <f t="shared" si="184"/>
        <v>1.5</v>
      </c>
      <c r="AM155" s="5">
        <f>(tbl_główna_GRACZE[[#This Row],[stl]]+tbl_główna_GRACZE[[#This Row],[blk]])*(40/tbl_główna_GRACZE[[#This Row],[min]])</f>
        <v>0</v>
      </c>
      <c r="AN15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55" s="25">
        <f>tbl_główna_GRACZE[[#This Row],[stl]]+tbl_główna_GRACZE[[#This Row],[blk]]+(tbl_główna_GRACZE[[#This Row],[dreb]]*0.5)</f>
        <v>1</v>
      </c>
      <c r="AP155" s="29">
        <f>(tbl_główna_GRACZE[[#This Row],[stl]]+tbl_główna_GRACZE[[#This Row],[blk]]+0.5*tbl_główna_GRACZE[[#This Row],[dreb]])/tbl_główna_GRACZE[[#This Row],[min]]</f>
        <v>5.5555555555555552E-2</v>
      </c>
      <c r="AQ155" s="6">
        <f t="shared" si="185"/>
        <v>8.3000000000000007</v>
      </c>
      <c r="AR155" s="6">
        <f>tbl_główna_GRACZE[[#This Row],[GmSc]]*(40/tbl_główna_GRACZE[[#This Row],[min]])</f>
        <v>18.444444444444446</v>
      </c>
      <c r="AS155" s="6">
        <f>tbl_główna_GRACZE[[#This Row],[EVAL]]*(40/tbl_główna_GRACZE[[#This Row],[min]])</f>
        <v>22.222222222222221</v>
      </c>
      <c r="AT155" s="11">
        <f>tbl_główna_GRACZE[[#This Row],[fgm]]-tbl_główna_GRACZE[[#This Row],[3pm]]</f>
        <v>1</v>
      </c>
      <c r="AU155" s="11">
        <f>tbl_główna_GRACZE[[#This Row],[fga]]-tbl_główna_GRACZE[[#This Row],[3pa]]</f>
        <v>2</v>
      </c>
      <c r="AV155">
        <f>IF(tbl_główna_GRACZE[[#This Row],[min]]&gt;0,1,0)</f>
        <v>1</v>
      </c>
      <c r="AW155" s="58" t="str">
        <f>tbl_główna_GRACZE[[#This Row],[I. Nazwisko]]</f>
        <v>R. Mućka</v>
      </c>
    </row>
    <row r="156" spans="1:49" x14ac:dyDescent="0.35">
      <c r="A156" t="s">
        <v>46</v>
      </c>
      <c r="B156" t="s">
        <v>19</v>
      </c>
      <c r="C156" t="s">
        <v>57</v>
      </c>
      <c r="D156" t="str">
        <f>IF(C156="H",VLOOKUP($A156,tab_nazwy_zespołów[],2,0)&amp;VLOOKUP($B156,tab_nazwy_zespołów[],2,0),VLOOKUP($B156,tab_nazwy_zespołów[],2,0)&amp;VLOOKUP($A156,tab_nazwy_zespołów[],2,0))</f>
        <v>BYPSTA</v>
      </c>
      <c r="E156">
        <v>4</v>
      </c>
      <c r="F156">
        <f>COUNTIF(tbl_zawodnicy_sumy[I. Nazwisko],tbl_główna_GRACZE[[#This Row],[I. Nazwisko]])</f>
        <v>1</v>
      </c>
      <c r="G156" s="58" t="str">
        <f>RIGHT(tbl_główna_GRACZE[[#This Row],[Kolumna1]],LEN(tbl_główna_GRACZE[[#This Row],[Kolumna1]])-FIND(" ",tbl_główna_GRACZE[[#This Row],[Kolumna1]]))</f>
        <v>J. Warda</v>
      </c>
      <c r="H156" s="2" t="s">
        <v>74</v>
      </c>
      <c r="I156" s="10">
        <v>2</v>
      </c>
      <c r="J156" s="10">
        <v>7</v>
      </c>
      <c r="K156" s="10">
        <v>1</v>
      </c>
      <c r="L156" s="10">
        <v>6</v>
      </c>
      <c r="M156" s="10">
        <v>0</v>
      </c>
      <c r="N156" s="10">
        <v>0</v>
      </c>
      <c r="O156" s="10">
        <v>0</v>
      </c>
      <c r="P156" s="10">
        <v>0</v>
      </c>
      <c r="Q156" s="10">
        <v>5</v>
      </c>
      <c r="R156" s="10">
        <v>0</v>
      </c>
      <c r="S156" s="10">
        <v>0</v>
      </c>
      <c r="T156" s="10">
        <v>0</v>
      </c>
      <c r="U156" s="10">
        <v>0</v>
      </c>
      <c r="V156" s="10">
        <v>10</v>
      </c>
      <c r="W156" s="10">
        <v>5</v>
      </c>
      <c r="X156" s="57">
        <f t="shared" si="175"/>
        <v>0</v>
      </c>
      <c r="Y156" s="4">
        <f t="shared" si="176"/>
        <v>0.2857142857142857</v>
      </c>
      <c r="Z156" s="4">
        <f t="shared" si="177"/>
        <v>0.16666666666666666</v>
      </c>
      <c r="AA156" s="4">
        <f t="shared" si="178"/>
        <v>0</v>
      </c>
      <c r="AB156" s="4">
        <f>IFERROR(tbl_główna_GRACZE[[#This Row],[2pm]]/tbl_główna_GRACZE[[#This Row],[2pa]],0)</f>
        <v>1</v>
      </c>
      <c r="AC156" s="4">
        <f t="shared" si="179"/>
        <v>0.35714285714285715</v>
      </c>
      <c r="AD156" s="4">
        <f t="shared" si="180"/>
        <v>0.35714285714285715</v>
      </c>
      <c r="AE156" s="11">
        <f t="shared" si="181"/>
        <v>0</v>
      </c>
      <c r="AF156" s="4">
        <f t="shared" si="182"/>
        <v>0</v>
      </c>
      <c r="AG156" s="4">
        <f t="shared" si="183"/>
        <v>0.8571428571428571</v>
      </c>
      <c r="AH15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0.10910224438902744</v>
      </c>
      <c r="AI156" s="25">
        <f>tbl_główna_GRACZE[[#This Row],[pts]]*(40/tbl_główna_GRACZE[[#This Row],[min]])</f>
        <v>20</v>
      </c>
      <c r="AJ156" s="30">
        <f>tbl_główna_GRACZE[[#This Row],[reb total]]*(40/tbl_główna_GRACZE[[#This Row],[min]])</f>
        <v>0</v>
      </c>
      <c r="AK156" s="30">
        <f>tbl_główna_GRACZE[[#This Row],[asst]]*(40/tbl_główna_GRACZE[[#This Row],[min]])</f>
        <v>0</v>
      </c>
      <c r="AL156" s="5">
        <f t="shared" si="184"/>
        <v>0.7142857142857143</v>
      </c>
      <c r="AM156" s="5">
        <f>(tbl_główna_GRACZE[[#This Row],[stl]]+tbl_główna_GRACZE[[#This Row],[blk]])*(40/tbl_główna_GRACZE[[#This Row],[min]])</f>
        <v>0</v>
      </c>
      <c r="AN15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56" s="25">
        <f>tbl_główna_GRACZE[[#This Row],[stl]]+tbl_główna_GRACZE[[#This Row],[blk]]+(tbl_główna_GRACZE[[#This Row],[dreb]]*0.5)</f>
        <v>0</v>
      </c>
      <c r="AP156" s="29">
        <f>(tbl_główna_GRACZE[[#This Row],[stl]]+tbl_główna_GRACZE[[#This Row],[blk]]+0.5*tbl_główna_GRACZE[[#This Row],[dreb]])/tbl_główna_GRACZE[[#This Row],[min]]</f>
        <v>0</v>
      </c>
      <c r="AQ156" s="6">
        <f t="shared" si="185"/>
        <v>0.90000000000000036</v>
      </c>
      <c r="AR156" s="6">
        <f>tbl_główna_GRACZE[[#This Row],[GmSc]]*(40/tbl_główna_GRACZE[[#This Row],[min]])</f>
        <v>3.6000000000000014</v>
      </c>
      <c r="AS156" s="6">
        <f>tbl_główna_GRACZE[[#This Row],[EVAL]]*(40/tbl_główna_GRACZE[[#This Row],[min]])</f>
        <v>0</v>
      </c>
      <c r="AT156" s="11">
        <f>tbl_główna_GRACZE[[#This Row],[fgm]]-tbl_główna_GRACZE[[#This Row],[3pm]]</f>
        <v>1</v>
      </c>
      <c r="AU156" s="11">
        <f>tbl_główna_GRACZE[[#This Row],[fga]]-tbl_główna_GRACZE[[#This Row],[3pa]]</f>
        <v>1</v>
      </c>
      <c r="AV156">
        <f>IF(tbl_główna_GRACZE[[#This Row],[min]]&gt;0,1,0)</f>
        <v>1</v>
      </c>
      <c r="AW156" s="58" t="str">
        <f>tbl_główna_GRACZE[[#This Row],[I. Nazwisko]]</f>
        <v>J. Warda</v>
      </c>
    </row>
    <row r="157" spans="1:49" x14ac:dyDescent="0.35">
      <c r="A157" t="s">
        <v>46</v>
      </c>
      <c r="B157" t="s">
        <v>19</v>
      </c>
      <c r="C157" t="s">
        <v>57</v>
      </c>
      <c r="D157" t="str">
        <f>IF(C157="H",VLOOKUP($A157,tab_nazwy_zespołów[],2,0)&amp;VLOOKUP($B157,tab_nazwy_zespołów[],2,0),VLOOKUP($B157,tab_nazwy_zespołów[],2,0)&amp;VLOOKUP($A157,tab_nazwy_zespołów[],2,0))</f>
        <v>BYPSTA</v>
      </c>
      <c r="E157">
        <v>4</v>
      </c>
      <c r="F157">
        <f>COUNTIF(tbl_zawodnicy_sumy[I. Nazwisko],tbl_główna_GRACZE[[#This Row],[I. Nazwisko]])</f>
        <v>1</v>
      </c>
      <c r="G157" s="58" t="str">
        <f>RIGHT(tbl_główna_GRACZE[[#This Row],[Kolumna1]],LEN(tbl_główna_GRACZE[[#This Row],[Kolumna1]])-FIND(" ",tbl_główna_GRACZE[[#This Row],[Kolumna1]]))</f>
        <v>P. Durka</v>
      </c>
      <c r="H157" s="2" t="s">
        <v>385</v>
      </c>
      <c r="I157" s="10">
        <v>2</v>
      </c>
      <c r="J157" s="10">
        <v>9</v>
      </c>
      <c r="K157" s="10">
        <v>0</v>
      </c>
      <c r="L157" s="10">
        <v>0</v>
      </c>
      <c r="M157" s="10">
        <v>0</v>
      </c>
      <c r="N157" s="10">
        <v>0</v>
      </c>
      <c r="O157" s="10">
        <v>6</v>
      </c>
      <c r="P157" s="10">
        <v>14</v>
      </c>
      <c r="Q157" s="10">
        <v>2</v>
      </c>
      <c r="R157" s="10">
        <v>0</v>
      </c>
      <c r="S157" s="10">
        <v>0</v>
      </c>
      <c r="T157" s="10">
        <v>1</v>
      </c>
      <c r="U157" s="10">
        <v>2</v>
      </c>
      <c r="V157" s="10">
        <v>29</v>
      </c>
      <c r="W157" s="10">
        <v>4</v>
      </c>
      <c r="X157" s="57">
        <f t="shared" si="175"/>
        <v>20</v>
      </c>
      <c r="Y157" s="4">
        <f t="shared" si="176"/>
        <v>0.22222222222222221</v>
      </c>
      <c r="Z157" s="4">
        <f t="shared" si="177"/>
        <v>0</v>
      </c>
      <c r="AA157" s="4">
        <f t="shared" si="178"/>
        <v>0</v>
      </c>
      <c r="AB157" s="4">
        <f>IFERROR(tbl_główna_GRACZE[[#This Row],[2pm]]/tbl_główna_GRACZE[[#This Row],[2pa]],0)</f>
        <v>0.22222222222222221</v>
      </c>
      <c r="AC157" s="4">
        <f t="shared" si="179"/>
        <v>0.22222222222222221</v>
      </c>
      <c r="AD157" s="4">
        <f t="shared" si="180"/>
        <v>0.22222222222222221</v>
      </c>
      <c r="AE157" s="11">
        <f t="shared" si="181"/>
        <v>20</v>
      </c>
      <c r="AF157" s="4">
        <f t="shared" si="182"/>
        <v>0</v>
      </c>
      <c r="AG157" s="4">
        <f t="shared" si="183"/>
        <v>0</v>
      </c>
      <c r="AH15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0.14027431421446385</v>
      </c>
      <c r="AI157" s="25">
        <f>tbl_główna_GRACZE[[#This Row],[pts]]*(40/tbl_główna_GRACZE[[#This Row],[min]])</f>
        <v>5.5172413793103452</v>
      </c>
      <c r="AJ157" s="30">
        <f>tbl_główna_GRACZE[[#This Row],[reb total]]*(40/tbl_główna_GRACZE[[#This Row],[min]])</f>
        <v>27.586206896551726</v>
      </c>
      <c r="AK157" s="30">
        <f>tbl_główna_GRACZE[[#This Row],[asst]]*(40/tbl_główna_GRACZE[[#This Row],[min]])</f>
        <v>2.7586206896551726</v>
      </c>
      <c r="AL157" s="5">
        <f t="shared" si="184"/>
        <v>0.44444444444444442</v>
      </c>
      <c r="AM157" s="5">
        <f>(tbl_główna_GRACZE[[#This Row],[stl]]+tbl_główna_GRACZE[[#This Row],[blk]])*(40/tbl_główna_GRACZE[[#This Row],[min]])</f>
        <v>1.3793103448275863</v>
      </c>
      <c r="AN15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57" s="25">
        <f>tbl_główna_GRACZE[[#This Row],[stl]]+tbl_główna_GRACZE[[#This Row],[blk]]+(tbl_główna_GRACZE[[#This Row],[dreb]]*0.5)</f>
        <v>8</v>
      </c>
      <c r="AP157" s="29">
        <f>(tbl_główna_GRACZE[[#This Row],[stl]]+tbl_główna_GRACZE[[#This Row],[blk]]+0.5*tbl_główna_GRACZE[[#This Row],[dreb]])/tbl_główna_GRACZE[[#This Row],[min]]</f>
        <v>0.27586206896551724</v>
      </c>
      <c r="AQ157" s="6">
        <f t="shared" si="185"/>
        <v>8.9999999999999982</v>
      </c>
      <c r="AR157" s="6">
        <f>tbl_główna_GRACZE[[#This Row],[GmSc]]*(40/tbl_główna_GRACZE[[#This Row],[min]])</f>
        <v>12.413793103448274</v>
      </c>
      <c r="AS157" s="6">
        <f>tbl_główna_GRACZE[[#This Row],[EVAL]]*(40/tbl_główna_GRACZE[[#This Row],[min]])</f>
        <v>27.586206896551726</v>
      </c>
      <c r="AT157" s="11">
        <f>tbl_główna_GRACZE[[#This Row],[fgm]]-tbl_główna_GRACZE[[#This Row],[3pm]]</f>
        <v>2</v>
      </c>
      <c r="AU157" s="11">
        <f>tbl_główna_GRACZE[[#This Row],[fga]]-tbl_główna_GRACZE[[#This Row],[3pa]]</f>
        <v>9</v>
      </c>
      <c r="AV157">
        <f>IF(tbl_główna_GRACZE[[#This Row],[min]]&gt;0,1,0)</f>
        <v>1</v>
      </c>
      <c r="AW157" s="58" t="str">
        <f>tbl_główna_GRACZE[[#This Row],[I. Nazwisko]]</f>
        <v>P. Durka</v>
      </c>
    </row>
    <row r="158" spans="1:49" x14ac:dyDescent="0.35">
      <c r="A158" t="s">
        <v>46</v>
      </c>
      <c r="B158" t="s">
        <v>19</v>
      </c>
      <c r="C158" t="s">
        <v>57</v>
      </c>
      <c r="D158" t="str">
        <f>IF(C158="H",VLOOKUP($A158,tab_nazwy_zespołów[],2,0)&amp;VLOOKUP($B158,tab_nazwy_zespołów[],2,0),VLOOKUP($B158,tab_nazwy_zespołów[],2,0)&amp;VLOOKUP($A158,tab_nazwy_zespołów[],2,0))</f>
        <v>BYPSTA</v>
      </c>
      <c r="E158">
        <v>4</v>
      </c>
      <c r="F158">
        <f>COUNTIF(tbl_zawodnicy_sumy[I. Nazwisko],tbl_główna_GRACZE[[#This Row],[I. Nazwisko]])</f>
        <v>1</v>
      </c>
      <c r="G158" s="58" t="str">
        <f>RIGHT(tbl_główna_GRACZE[[#This Row],[Kolumna1]],LEN(tbl_główna_GRACZE[[#This Row],[Kolumna1]])-FIND(" ",tbl_główna_GRACZE[[#This Row],[Kolumna1]]))</f>
        <v>J. Kurek</v>
      </c>
      <c r="H158" s="2" t="s">
        <v>71</v>
      </c>
      <c r="I158" s="10">
        <v>1</v>
      </c>
      <c r="J158" s="10">
        <v>2</v>
      </c>
      <c r="K158" s="10">
        <v>0</v>
      </c>
      <c r="L158" s="10">
        <v>1</v>
      </c>
      <c r="M158" s="10">
        <v>0</v>
      </c>
      <c r="N158" s="10">
        <v>0</v>
      </c>
      <c r="O158" s="10">
        <v>0</v>
      </c>
      <c r="P158" s="10">
        <v>2</v>
      </c>
      <c r="Q158" s="10">
        <v>0</v>
      </c>
      <c r="R158" s="10">
        <v>1</v>
      </c>
      <c r="S158" s="10">
        <v>0</v>
      </c>
      <c r="T158" s="10">
        <v>1</v>
      </c>
      <c r="U158" s="10">
        <v>0</v>
      </c>
      <c r="V158" s="10">
        <v>22</v>
      </c>
      <c r="W158" s="10">
        <v>2</v>
      </c>
      <c r="X158" s="57">
        <f t="shared" si="175"/>
        <v>2</v>
      </c>
      <c r="Y158" s="4">
        <f t="shared" si="176"/>
        <v>0.5</v>
      </c>
      <c r="Z158" s="4">
        <f t="shared" si="177"/>
        <v>0</v>
      </c>
      <c r="AA158" s="4">
        <f t="shared" si="178"/>
        <v>0</v>
      </c>
      <c r="AB158" s="4">
        <f>IFERROR(tbl_główna_GRACZE[[#This Row],[2pm]]/tbl_główna_GRACZE[[#This Row],[2pa]],0)</f>
        <v>1</v>
      </c>
      <c r="AC158" s="4">
        <f t="shared" si="179"/>
        <v>0.5</v>
      </c>
      <c r="AD158" s="4">
        <f t="shared" si="180"/>
        <v>0.5</v>
      </c>
      <c r="AE158" s="11">
        <f t="shared" si="181"/>
        <v>5</v>
      </c>
      <c r="AF158" s="4">
        <f t="shared" si="182"/>
        <v>0</v>
      </c>
      <c r="AG158" s="4">
        <f t="shared" si="183"/>
        <v>0.5</v>
      </c>
      <c r="AH15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3.117206982543641E-2</v>
      </c>
      <c r="AI158" s="25">
        <f>tbl_główna_GRACZE[[#This Row],[pts]]*(40/tbl_główna_GRACZE[[#This Row],[min]])</f>
        <v>3.6363636363636362</v>
      </c>
      <c r="AJ158" s="30">
        <f>tbl_główna_GRACZE[[#This Row],[reb total]]*(40/tbl_główna_GRACZE[[#This Row],[min]])</f>
        <v>3.6363636363636362</v>
      </c>
      <c r="AK158" s="30">
        <f>tbl_główna_GRACZE[[#This Row],[asst]]*(40/tbl_główna_GRACZE[[#This Row],[min]])</f>
        <v>0</v>
      </c>
      <c r="AL158" s="5">
        <f t="shared" si="184"/>
        <v>1</v>
      </c>
      <c r="AM158" s="5">
        <f>(tbl_główna_GRACZE[[#This Row],[stl]]+tbl_główna_GRACZE[[#This Row],[blk]])*(40/tbl_główna_GRACZE[[#This Row],[min]])</f>
        <v>3.6363636363636362</v>
      </c>
      <c r="AN15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58" s="25">
        <f>tbl_główna_GRACZE[[#This Row],[stl]]+tbl_główna_GRACZE[[#This Row],[blk]]+(tbl_główna_GRACZE[[#This Row],[dreb]]*0.5)</f>
        <v>3</v>
      </c>
      <c r="AP158" s="29">
        <f>(tbl_główna_GRACZE[[#This Row],[stl]]+tbl_główna_GRACZE[[#This Row],[blk]]+0.5*tbl_główna_GRACZE[[#This Row],[dreb]])/tbl_główna_GRACZE[[#This Row],[min]]</f>
        <v>0.13636363636363635</v>
      </c>
      <c r="AQ158" s="6">
        <f t="shared" si="185"/>
        <v>3.3</v>
      </c>
      <c r="AR158" s="6">
        <f>tbl_główna_GRACZE[[#This Row],[GmSc]]*(40/tbl_główna_GRACZE[[#This Row],[min]])</f>
        <v>5.9999999999999991</v>
      </c>
      <c r="AS158" s="6">
        <f>tbl_główna_GRACZE[[#This Row],[EVAL]]*(40/tbl_główna_GRACZE[[#This Row],[min]])</f>
        <v>9.0909090909090899</v>
      </c>
      <c r="AT158" s="11">
        <f>tbl_główna_GRACZE[[#This Row],[fgm]]-tbl_główna_GRACZE[[#This Row],[3pm]]</f>
        <v>1</v>
      </c>
      <c r="AU158" s="11">
        <f>tbl_główna_GRACZE[[#This Row],[fga]]-tbl_główna_GRACZE[[#This Row],[3pa]]</f>
        <v>1</v>
      </c>
      <c r="AV158">
        <f>IF(tbl_główna_GRACZE[[#This Row],[min]]&gt;0,1,0)</f>
        <v>1</v>
      </c>
      <c r="AW158" s="58" t="str">
        <f>tbl_główna_GRACZE[[#This Row],[I. Nazwisko]]</f>
        <v>J. Kurek</v>
      </c>
    </row>
    <row r="159" spans="1:49" x14ac:dyDescent="0.35">
      <c r="A159" t="s">
        <v>46</v>
      </c>
      <c r="B159" t="s">
        <v>19</v>
      </c>
      <c r="C159" t="s">
        <v>57</v>
      </c>
      <c r="D159" t="str">
        <f>IF(C159="H",VLOOKUP($A159,tab_nazwy_zespołów[],2,0)&amp;VLOOKUP($B159,tab_nazwy_zespołów[],2,0),VLOOKUP($B159,tab_nazwy_zespołów[],2,0)&amp;VLOOKUP($A159,tab_nazwy_zespołów[],2,0))</f>
        <v>BYPSTA</v>
      </c>
      <c r="E159">
        <v>4</v>
      </c>
      <c r="F159">
        <f>COUNTIF(tbl_zawodnicy_sumy[I. Nazwisko],tbl_główna_GRACZE[[#This Row],[I. Nazwisko]])</f>
        <v>1</v>
      </c>
      <c r="G159" s="58" t="str">
        <f>RIGHT(tbl_główna_GRACZE[[#This Row],[Kolumna1]],LEN(tbl_główna_GRACZE[[#This Row],[Kolumna1]])-FIND(" ",tbl_główna_GRACZE[[#This Row],[Kolumna1]]))</f>
        <v>Ł. Flaga</v>
      </c>
      <c r="H159" s="2" t="s">
        <v>75</v>
      </c>
      <c r="I159" s="10">
        <v>0</v>
      </c>
      <c r="J159" s="10">
        <v>4</v>
      </c>
      <c r="K159" s="10">
        <v>0</v>
      </c>
      <c r="L159" s="10">
        <v>1</v>
      </c>
      <c r="M159" s="10">
        <v>0</v>
      </c>
      <c r="N159" s="10">
        <v>2</v>
      </c>
      <c r="O159" s="10">
        <v>2</v>
      </c>
      <c r="P159" s="10">
        <v>2</v>
      </c>
      <c r="Q159" s="10">
        <v>2</v>
      </c>
      <c r="R159" s="10">
        <v>1</v>
      </c>
      <c r="S159" s="10">
        <v>0</v>
      </c>
      <c r="T159" s="10">
        <v>0</v>
      </c>
      <c r="U159" s="10">
        <v>2</v>
      </c>
      <c r="V159" s="10">
        <v>24</v>
      </c>
      <c r="W159" s="10">
        <v>0</v>
      </c>
      <c r="X159" s="57">
        <f t="shared" si="175"/>
        <v>4</v>
      </c>
      <c r="Y159" s="4">
        <f t="shared" si="176"/>
        <v>0</v>
      </c>
      <c r="Z159" s="4">
        <f t="shared" si="177"/>
        <v>0</v>
      </c>
      <c r="AA159" s="4">
        <f t="shared" si="178"/>
        <v>0</v>
      </c>
      <c r="AB159" s="4">
        <f>IFERROR(tbl_główna_GRACZE[[#This Row],[2pm]]/tbl_główna_GRACZE[[#This Row],[2pa]],0)</f>
        <v>0</v>
      </c>
      <c r="AC159" s="4">
        <f t="shared" si="179"/>
        <v>0</v>
      </c>
      <c r="AD159" s="4">
        <f t="shared" si="180"/>
        <v>0</v>
      </c>
      <c r="AE159" s="11">
        <f t="shared" si="181"/>
        <v>1</v>
      </c>
      <c r="AF159" s="4">
        <f t="shared" si="182"/>
        <v>0.5</v>
      </c>
      <c r="AG159" s="4">
        <f t="shared" si="183"/>
        <v>0.25</v>
      </c>
      <c r="AH15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7.6059850374064847E-2</v>
      </c>
      <c r="AI159" s="25">
        <f>tbl_główna_GRACZE[[#This Row],[pts]]*(40/tbl_główna_GRACZE[[#This Row],[min]])</f>
        <v>0</v>
      </c>
      <c r="AJ159" s="30">
        <f>tbl_główna_GRACZE[[#This Row],[reb total]]*(40/tbl_główna_GRACZE[[#This Row],[min]])</f>
        <v>6.666666666666667</v>
      </c>
      <c r="AK159" s="30">
        <f>tbl_główna_GRACZE[[#This Row],[asst]]*(40/tbl_główna_GRACZE[[#This Row],[min]])</f>
        <v>3.3333333333333335</v>
      </c>
      <c r="AL159" s="5">
        <f t="shared" si="184"/>
        <v>0</v>
      </c>
      <c r="AM159" s="5">
        <f>(tbl_główna_GRACZE[[#This Row],[stl]]+tbl_główna_GRACZE[[#This Row],[blk]])*(40/tbl_główna_GRACZE[[#This Row],[min]])</f>
        <v>1.6666666666666667</v>
      </c>
      <c r="AN15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59" s="25">
        <f>tbl_główna_GRACZE[[#This Row],[stl]]+tbl_główna_GRACZE[[#This Row],[blk]]+(tbl_główna_GRACZE[[#This Row],[dreb]]*0.5)</f>
        <v>2</v>
      </c>
      <c r="AP159" s="29">
        <f>(tbl_główna_GRACZE[[#This Row],[stl]]+tbl_główna_GRACZE[[#This Row],[blk]]+0.5*tbl_główna_GRACZE[[#This Row],[dreb]])/tbl_główna_GRACZE[[#This Row],[min]]</f>
        <v>8.3333333333333329E-2</v>
      </c>
      <c r="AQ159" s="6">
        <f t="shared" si="185"/>
        <v>0.80000000000000027</v>
      </c>
      <c r="AR159" s="6">
        <f>tbl_główna_GRACZE[[#This Row],[GmSc]]*(40/tbl_główna_GRACZE[[#This Row],[min]])</f>
        <v>1.3333333333333339</v>
      </c>
      <c r="AS159" s="6">
        <f>tbl_główna_GRACZE[[#This Row],[EVAL]]*(40/tbl_główna_GRACZE[[#This Row],[min]])</f>
        <v>1.6666666666666667</v>
      </c>
      <c r="AT159" s="11">
        <f>tbl_główna_GRACZE[[#This Row],[fgm]]-tbl_główna_GRACZE[[#This Row],[3pm]]</f>
        <v>0</v>
      </c>
      <c r="AU159" s="11">
        <f>tbl_główna_GRACZE[[#This Row],[fga]]-tbl_główna_GRACZE[[#This Row],[3pa]]</f>
        <v>3</v>
      </c>
      <c r="AV159">
        <f>IF(tbl_główna_GRACZE[[#This Row],[min]]&gt;0,1,0)</f>
        <v>1</v>
      </c>
      <c r="AW159" s="58" t="str">
        <f>tbl_główna_GRACZE[[#This Row],[I. Nazwisko]]</f>
        <v>Ł. Flaga</v>
      </c>
    </row>
    <row r="160" spans="1:49" x14ac:dyDescent="0.35">
      <c r="A160" t="s">
        <v>46</v>
      </c>
      <c r="B160" t="s">
        <v>19</v>
      </c>
      <c r="C160" t="s">
        <v>57</v>
      </c>
      <c r="D160" t="str">
        <f>IF(C160="H",VLOOKUP($A160,tab_nazwy_zespołów[],2,0)&amp;VLOOKUP($B160,tab_nazwy_zespołów[],2,0),VLOOKUP($B160,tab_nazwy_zespołów[],2,0)&amp;VLOOKUP($A160,tab_nazwy_zespołów[],2,0))</f>
        <v>BYPSTA</v>
      </c>
      <c r="E160">
        <v>4</v>
      </c>
      <c r="F160">
        <f>COUNTIF(tbl_zawodnicy_sumy[I. Nazwisko],tbl_główna_GRACZE[[#This Row],[I. Nazwisko]])</f>
        <v>1</v>
      </c>
      <c r="G160" s="58" t="str">
        <f>RIGHT(tbl_główna_GRACZE[[#This Row],[Kolumna1]],LEN(tbl_główna_GRACZE[[#This Row],[Kolumna1]])-FIND(" ",tbl_główna_GRACZE[[#This Row],[Kolumna1]]))</f>
        <v>P. Wołczyński</v>
      </c>
      <c r="H160" s="2" t="s">
        <v>70</v>
      </c>
      <c r="I160" s="10">
        <v>0</v>
      </c>
      <c r="J160" s="10">
        <v>3</v>
      </c>
      <c r="K160" s="10">
        <v>0</v>
      </c>
      <c r="L160" s="10">
        <v>0</v>
      </c>
      <c r="M160" s="10">
        <v>0</v>
      </c>
      <c r="N160" s="10">
        <v>0</v>
      </c>
      <c r="O160" s="10">
        <v>2</v>
      </c>
      <c r="P160" s="10">
        <v>0</v>
      </c>
      <c r="Q160" s="10">
        <v>0</v>
      </c>
      <c r="R160" s="10">
        <v>1</v>
      </c>
      <c r="S160" s="10">
        <v>0</v>
      </c>
      <c r="T160" s="10">
        <v>0</v>
      </c>
      <c r="U160" s="10">
        <v>1</v>
      </c>
      <c r="V160" s="10">
        <v>18</v>
      </c>
      <c r="W160" s="10">
        <v>0</v>
      </c>
      <c r="X160" s="57">
        <f t="shared" si="175"/>
        <v>2</v>
      </c>
      <c r="Y160" s="4">
        <f t="shared" si="176"/>
        <v>0</v>
      </c>
      <c r="Z160" s="4">
        <f t="shared" si="177"/>
        <v>0</v>
      </c>
      <c r="AA160" s="4">
        <f t="shared" si="178"/>
        <v>0</v>
      </c>
      <c r="AB160" s="4">
        <f>IFERROR(tbl_główna_GRACZE[[#This Row],[2pm]]/tbl_główna_GRACZE[[#This Row],[2pa]],0)</f>
        <v>0</v>
      </c>
      <c r="AC160" s="4">
        <f t="shared" si="179"/>
        <v>0</v>
      </c>
      <c r="AD160" s="4">
        <f t="shared" si="180"/>
        <v>0</v>
      </c>
      <c r="AE160" s="11">
        <f t="shared" si="181"/>
        <v>1</v>
      </c>
      <c r="AF160" s="4">
        <f t="shared" si="182"/>
        <v>0</v>
      </c>
      <c r="AG160" s="4">
        <f t="shared" si="183"/>
        <v>0</v>
      </c>
      <c r="AH16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4.6758104738154616E-2</v>
      </c>
      <c r="AI160" s="25">
        <f>tbl_główna_GRACZE[[#This Row],[pts]]*(40/tbl_główna_GRACZE[[#This Row],[min]])</f>
        <v>0</v>
      </c>
      <c r="AJ160" s="30">
        <f>tbl_główna_GRACZE[[#This Row],[reb total]]*(40/tbl_główna_GRACZE[[#This Row],[min]])</f>
        <v>4.4444444444444446</v>
      </c>
      <c r="AK160" s="30">
        <f>tbl_główna_GRACZE[[#This Row],[asst]]*(40/tbl_główna_GRACZE[[#This Row],[min]])</f>
        <v>2.2222222222222223</v>
      </c>
      <c r="AL160" s="5">
        <f t="shared" si="184"/>
        <v>0</v>
      </c>
      <c r="AM160" s="5">
        <f>(tbl_główna_GRACZE[[#This Row],[stl]]+tbl_główna_GRACZE[[#This Row],[blk]])*(40/tbl_główna_GRACZE[[#This Row],[min]])</f>
        <v>2.2222222222222223</v>
      </c>
      <c r="AN16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60" s="25">
        <f>tbl_główna_GRACZE[[#This Row],[stl]]+tbl_główna_GRACZE[[#This Row],[blk]]+(tbl_główna_GRACZE[[#This Row],[dreb]]*0.5)</f>
        <v>1</v>
      </c>
      <c r="AP160" s="29">
        <f>(tbl_główna_GRACZE[[#This Row],[stl]]+tbl_główna_GRACZE[[#This Row],[blk]]+0.5*tbl_główna_GRACZE[[#This Row],[dreb]])/tbl_główna_GRACZE[[#This Row],[min]]</f>
        <v>5.5555555555555552E-2</v>
      </c>
      <c r="AQ160" s="6">
        <f t="shared" si="185"/>
        <v>1.0000000000000002</v>
      </c>
      <c r="AR160" s="6">
        <f>tbl_główna_GRACZE[[#This Row],[GmSc]]*(40/tbl_główna_GRACZE[[#This Row],[min]])</f>
        <v>2.2222222222222228</v>
      </c>
      <c r="AS160" s="6">
        <f>tbl_główna_GRACZE[[#This Row],[EVAL]]*(40/tbl_główna_GRACZE[[#This Row],[min]])</f>
        <v>2.2222222222222223</v>
      </c>
      <c r="AT160" s="11">
        <f>tbl_główna_GRACZE[[#This Row],[fgm]]-tbl_główna_GRACZE[[#This Row],[3pm]]</f>
        <v>0</v>
      </c>
      <c r="AU160" s="11">
        <f>tbl_główna_GRACZE[[#This Row],[fga]]-tbl_główna_GRACZE[[#This Row],[3pa]]</f>
        <v>3</v>
      </c>
      <c r="AV160">
        <f>IF(tbl_główna_GRACZE[[#This Row],[min]]&gt;0,1,0)</f>
        <v>1</v>
      </c>
      <c r="AW160" s="58" t="str">
        <f>tbl_główna_GRACZE[[#This Row],[I. Nazwisko]]</f>
        <v>P. Wołczyński</v>
      </c>
    </row>
    <row r="161" spans="1:49" x14ac:dyDescent="0.35">
      <c r="A161" t="s">
        <v>19</v>
      </c>
      <c r="B161" t="s">
        <v>46</v>
      </c>
      <c r="C161" t="s">
        <v>58</v>
      </c>
      <c r="D161" t="str">
        <f>IF(C161="H",VLOOKUP($A161,tab_nazwy_zespołów[],2,0)&amp;VLOOKUP($B161,tab_nazwy_zespołów[],2,0),VLOOKUP($B161,tab_nazwy_zespołów[],2,0)&amp;VLOOKUP($A161,tab_nazwy_zespołów[],2,0))</f>
        <v>BYPSTA</v>
      </c>
      <c r="E161">
        <v>4</v>
      </c>
      <c r="F161">
        <f>COUNTIF(tbl_zawodnicy_sumy[I. Nazwisko],tbl_główna_GRACZE[[#This Row],[I. Nazwisko]])</f>
        <v>1</v>
      </c>
      <c r="G161" s="58" t="str">
        <f>RIGHT(tbl_główna_GRACZE[[#This Row],[Kolumna1]],LEN(tbl_główna_GRACZE[[#This Row],[Kolumna1]])-FIND(" ",tbl_główna_GRACZE[[#This Row],[Kolumna1]]))</f>
        <v>G. Bańkowski</v>
      </c>
      <c r="H161" s="2" t="s">
        <v>11</v>
      </c>
      <c r="I161" s="10">
        <v>4</v>
      </c>
      <c r="J161" s="10">
        <v>14</v>
      </c>
      <c r="K161" s="10">
        <v>0</v>
      </c>
      <c r="L161" s="10">
        <v>1</v>
      </c>
      <c r="M161" s="10">
        <v>1</v>
      </c>
      <c r="N161" s="10">
        <v>2</v>
      </c>
      <c r="O161" s="10">
        <v>4</v>
      </c>
      <c r="P161" s="10">
        <v>6</v>
      </c>
      <c r="Q161" s="10">
        <v>1</v>
      </c>
      <c r="R161" s="10">
        <v>0</v>
      </c>
      <c r="S161" s="10">
        <v>0</v>
      </c>
      <c r="T161" s="10">
        <v>2</v>
      </c>
      <c r="U161" s="10">
        <v>0</v>
      </c>
      <c r="V161" s="10">
        <v>26</v>
      </c>
      <c r="W161" s="10">
        <v>9</v>
      </c>
      <c r="X161" s="57">
        <f t="shared" ref="X161:X170" si="186">O161+P161</f>
        <v>10</v>
      </c>
      <c r="Y161" s="4">
        <f t="shared" ref="Y161:Y170" si="187">I161/J161</f>
        <v>0.2857142857142857</v>
      </c>
      <c r="Z161" s="4">
        <f t="shared" ref="Z161:Z170" si="188">IFERROR(K161/L161,0)</f>
        <v>0</v>
      </c>
      <c r="AA161" s="4">
        <f t="shared" ref="AA161:AA170" si="189">IFERROR(M161/N161,0)</f>
        <v>0.5</v>
      </c>
      <c r="AB161" s="4">
        <f>IFERROR(tbl_główna_GRACZE[[#This Row],[2pm]]/tbl_główna_GRACZE[[#This Row],[2pa]],0)</f>
        <v>0.30769230769230771</v>
      </c>
      <c r="AC161" s="4">
        <f t="shared" ref="AC161:AC170" si="190">W161/(2*(J161+0.44*N161))</f>
        <v>0.30241935483870969</v>
      </c>
      <c r="AD161" s="4">
        <f t="shared" ref="AD161:AD170" si="191">(I161+0.5*K161)/J161</f>
        <v>0.2857142857142857</v>
      </c>
      <c r="AE161" s="11">
        <f t="shared" ref="AE161:AE170" si="192">R161+T161+U161+W161+X161-(J161-I161)-(N161-M161)</f>
        <v>10</v>
      </c>
      <c r="AF161" s="4">
        <f t="shared" ref="AF161:AF170" si="193">N161/J161</f>
        <v>0.14285714285714285</v>
      </c>
      <c r="AG161" s="4">
        <f t="shared" ref="AG161:AG170" si="194">L161/J161</f>
        <v>7.1428571428571425E-2</v>
      </c>
      <c r="AH16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0.21208665906499433</v>
      </c>
      <c r="AI161" s="25">
        <f>tbl_główna_GRACZE[[#This Row],[pts]]*(40/tbl_główna_GRACZE[[#This Row],[min]])</f>
        <v>13.846153846153847</v>
      </c>
      <c r="AJ161" s="30">
        <f>tbl_główna_GRACZE[[#This Row],[reb total]]*(40/tbl_główna_GRACZE[[#This Row],[min]])</f>
        <v>15.384615384615385</v>
      </c>
      <c r="AK161" s="30">
        <f>tbl_główna_GRACZE[[#This Row],[asst]]*(40/tbl_główna_GRACZE[[#This Row],[min]])</f>
        <v>0</v>
      </c>
      <c r="AL161" s="5">
        <f t="shared" ref="AL161:AL170" si="195">W161/J161</f>
        <v>0.6428571428571429</v>
      </c>
      <c r="AM161" s="5">
        <f>(tbl_główna_GRACZE[[#This Row],[stl]]+tbl_główna_GRACZE[[#This Row],[blk]])*(40/tbl_główna_GRACZE[[#This Row],[min]])</f>
        <v>3.0769230769230771</v>
      </c>
      <c r="AN16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61" s="25">
        <f>tbl_główna_GRACZE[[#This Row],[stl]]+tbl_główna_GRACZE[[#This Row],[blk]]+(tbl_główna_GRACZE[[#This Row],[dreb]]*0.5)</f>
        <v>5</v>
      </c>
      <c r="AP161" s="29">
        <f>(tbl_główna_GRACZE[[#This Row],[stl]]+tbl_główna_GRACZE[[#This Row],[blk]]+0.5*tbl_główna_GRACZE[[#This Row],[dreb]])/tbl_główna_GRACZE[[#This Row],[min]]</f>
        <v>0.19230769230769232</v>
      </c>
      <c r="AQ161" s="6">
        <f t="shared" ref="AQ161:AQ170" si="196">W161+0.4*I161-0.7*J161-0.4*(N161-M161)+0.7*O161+0.3*P161+R161+0.7*U161+0.7*T161</f>
        <v>6.4</v>
      </c>
      <c r="AR161" s="6">
        <f>tbl_główna_GRACZE[[#This Row],[GmSc]]*(40/tbl_główna_GRACZE[[#This Row],[min]])</f>
        <v>9.8461538461538467</v>
      </c>
      <c r="AS161" s="6">
        <f>tbl_główna_GRACZE[[#This Row],[EVAL]]*(40/tbl_główna_GRACZE[[#This Row],[min]])</f>
        <v>15.384615384615385</v>
      </c>
      <c r="AT161" s="11">
        <f>tbl_główna_GRACZE[[#This Row],[fgm]]-tbl_główna_GRACZE[[#This Row],[3pm]]</f>
        <v>4</v>
      </c>
      <c r="AU161" s="11">
        <f>tbl_główna_GRACZE[[#This Row],[fga]]-tbl_główna_GRACZE[[#This Row],[3pa]]</f>
        <v>13</v>
      </c>
      <c r="AV161">
        <f>IF(tbl_główna_GRACZE[[#This Row],[min]]&gt;0,1,0)</f>
        <v>1</v>
      </c>
      <c r="AW161" s="58" t="str">
        <f>tbl_główna_GRACZE[[#This Row],[I. Nazwisko]]</f>
        <v>G. Bańkowski</v>
      </c>
    </row>
    <row r="162" spans="1:49" x14ac:dyDescent="0.35">
      <c r="A162" t="s">
        <v>19</v>
      </c>
      <c r="B162" t="s">
        <v>46</v>
      </c>
      <c r="C162" t="s">
        <v>58</v>
      </c>
      <c r="D162" t="str">
        <f>IF(C162="H",VLOOKUP($A162,tab_nazwy_zespołów[],2,0)&amp;VLOOKUP($B162,tab_nazwy_zespołów[],2,0),VLOOKUP($B162,tab_nazwy_zespołów[],2,0)&amp;VLOOKUP($A162,tab_nazwy_zespołów[],2,0))</f>
        <v>BYPSTA</v>
      </c>
      <c r="E162">
        <v>4</v>
      </c>
      <c r="F162">
        <f>COUNTIF(tbl_zawodnicy_sumy[I. Nazwisko],tbl_główna_GRACZE[[#This Row],[I. Nazwisko]])</f>
        <v>1</v>
      </c>
      <c r="G162" s="58" t="str">
        <f>RIGHT(tbl_główna_GRACZE[[#This Row],[Kolumna1]],LEN(tbl_główna_GRACZE[[#This Row],[Kolumna1]])-FIND(" ",tbl_główna_GRACZE[[#This Row],[Kolumna1]]))</f>
        <v>K. Walaszczyk</v>
      </c>
      <c r="H162" s="2" t="s">
        <v>226</v>
      </c>
      <c r="I162" s="10">
        <v>3</v>
      </c>
      <c r="J162" s="10">
        <v>11</v>
      </c>
      <c r="K162" s="10">
        <v>2</v>
      </c>
      <c r="L162" s="10">
        <v>6</v>
      </c>
      <c r="M162" s="10">
        <v>0</v>
      </c>
      <c r="N162" s="10">
        <v>0</v>
      </c>
      <c r="O162" s="10">
        <v>3</v>
      </c>
      <c r="P162" s="10">
        <v>3</v>
      </c>
      <c r="Q162" s="10">
        <v>0</v>
      </c>
      <c r="R162" s="10">
        <v>1</v>
      </c>
      <c r="S162" s="10">
        <v>0</v>
      </c>
      <c r="T162" s="10">
        <v>1</v>
      </c>
      <c r="U162" s="10">
        <v>3</v>
      </c>
      <c r="V162" s="10">
        <v>27</v>
      </c>
      <c r="W162" s="10">
        <v>8</v>
      </c>
      <c r="X162" s="57">
        <f t="shared" si="186"/>
        <v>6</v>
      </c>
      <c r="Y162" s="4">
        <f t="shared" si="187"/>
        <v>0.27272727272727271</v>
      </c>
      <c r="Z162" s="4">
        <f t="shared" si="188"/>
        <v>0.33333333333333331</v>
      </c>
      <c r="AA162" s="4">
        <f t="shared" si="189"/>
        <v>0</v>
      </c>
      <c r="AB162" s="4">
        <f>IFERROR(tbl_główna_GRACZE[[#This Row],[2pm]]/tbl_główna_GRACZE[[#This Row],[2pa]],0)</f>
        <v>0.2</v>
      </c>
      <c r="AC162" s="4">
        <f t="shared" si="190"/>
        <v>0.36363636363636365</v>
      </c>
      <c r="AD162" s="4">
        <f t="shared" si="191"/>
        <v>0.36363636363636365</v>
      </c>
      <c r="AE162" s="11">
        <f t="shared" si="192"/>
        <v>11</v>
      </c>
      <c r="AF162" s="4">
        <f t="shared" si="193"/>
        <v>0</v>
      </c>
      <c r="AG162" s="4">
        <f t="shared" si="194"/>
        <v>0.54545454545454541</v>
      </c>
      <c r="AH16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0.15678449258836946</v>
      </c>
      <c r="AI162" s="25">
        <f>tbl_główna_GRACZE[[#This Row],[pts]]*(40/tbl_główna_GRACZE[[#This Row],[min]])</f>
        <v>11.851851851851851</v>
      </c>
      <c r="AJ162" s="30">
        <f>tbl_główna_GRACZE[[#This Row],[reb total]]*(40/tbl_główna_GRACZE[[#This Row],[min]])</f>
        <v>8.8888888888888893</v>
      </c>
      <c r="AK162" s="30">
        <f>tbl_główna_GRACZE[[#This Row],[asst]]*(40/tbl_główna_GRACZE[[#This Row],[min]])</f>
        <v>4.4444444444444446</v>
      </c>
      <c r="AL162" s="5">
        <f t="shared" si="195"/>
        <v>0.72727272727272729</v>
      </c>
      <c r="AM162" s="5">
        <f>(tbl_główna_GRACZE[[#This Row],[stl]]+tbl_główna_GRACZE[[#This Row],[blk]])*(40/tbl_główna_GRACZE[[#This Row],[min]])</f>
        <v>2.9629629629629628</v>
      </c>
      <c r="AN16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62" s="25">
        <f>tbl_główna_GRACZE[[#This Row],[stl]]+tbl_główna_GRACZE[[#This Row],[blk]]+(tbl_główna_GRACZE[[#This Row],[dreb]]*0.5)</f>
        <v>3.5</v>
      </c>
      <c r="AP162" s="29">
        <f>(tbl_główna_GRACZE[[#This Row],[stl]]+tbl_główna_GRACZE[[#This Row],[blk]]+0.5*tbl_główna_GRACZE[[#This Row],[dreb]])/tbl_główna_GRACZE[[#This Row],[min]]</f>
        <v>0.12962962962962962</v>
      </c>
      <c r="AQ162" s="6">
        <f t="shared" si="196"/>
        <v>8.2999999999999989</v>
      </c>
      <c r="AR162" s="6">
        <f>tbl_główna_GRACZE[[#This Row],[GmSc]]*(40/tbl_główna_GRACZE[[#This Row],[min]])</f>
        <v>12.296296296296294</v>
      </c>
      <c r="AS162" s="6">
        <f>tbl_główna_GRACZE[[#This Row],[EVAL]]*(40/tbl_główna_GRACZE[[#This Row],[min]])</f>
        <v>16.296296296296294</v>
      </c>
      <c r="AT162" s="11">
        <f>tbl_główna_GRACZE[[#This Row],[fgm]]-tbl_główna_GRACZE[[#This Row],[3pm]]</f>
        <v>1</v>
      </c>
      <c r="AU162" s="11">
        <f>tbl_główna_GRACZE[[#This Row],[fga]]-tbl_główna_GRACZE[[#This Row],[3pa]]</f>
        <v>5</v>
      </c>
      <c r="AV162">
        <f>IF(tbl_główna_GRACZE[[#This Row],[min]]&gt;0,1,0)</f>
        <v>1</v>
      </c>
      <c r="AW162" s="58" t="str">
        <f>tbl_główna_GRACZE[[#This Row],[I. Nazwisko]]</f>
        <v>K. Walaszczyk</v>
      </c>
    </row>
    <row r="163" spans="1:49" x14ac:dyDescent="0.35">
      <c r="A163" t="s">
        <v>19</v>
      </c>
      <c r="B163" t="s">
        <v>46</v>
      </c>
      <c r="C163" t="s">
        <v>58</v>
      </c>
      <c r="D163" t="str">
        <f>IF(C163="H",VLOOKUP($A163,tab_nazwy_zespołów[],2,0)&amp;VLOOKUP($B163,tab_nazwy_zespołów[],2,0),VLOOKUP($B163,tab_nazwy_zespołów[],2,0)&amp;VLOOKUP($A163,tab_nazwy_zespołów[],2,0))</f>
        <v>BYPSTA</v>
      </c>
      <c r="E163">
        <v>4</v>
      </c>
      <c r="F163">
        <f>COUNTIF(tbl_zawodnicy_sumy[I. Nazwisko],tbl_główna_GRACZE[[#This Row],[I. Nazwisko]])</f>
        <v>1</v>
      </c>
      <c r="G163" s="58" t="str">
        <f>RIGHT(tbl_główna_GRACZE[[#This Row],[Kolumna1]],LEN(tbl_główna_GRACZE[[#This Row],[Kolumna1]])-FIND(" ",tbl_główna_GRACZE[[#This Row],[Kolumna1]]))</f>
        <v>F. Firas</v>
      </c>
      <c r="H163" s="2" t="s">
        <v>227</v>
      </c>
      <c r="I163" s="10">
        <v>2</v>
      </c>
      <c r="J163" s="10">
        <v>10</v>
      </c>
      <c r="K163" s="10">
        <v>0</v>
      </c>
      <c r="L163" s="10">
        <v>2</v>
      </c>
      <c r="M163" s="10">
        <v>3</v>
      </c>
      <c r="N163" s="10">
        <v>4</v>
      </c>
      <c r="O163" s="10">
        <v>1</v>
      </c>
      <c r="P163" s="10">
        <v>6</v>
      </c>
      <c r="Q163" s="10">
        <v>3</v>
      </c>
      <c r="R163" s="10">
        <v>0</v>
      </c>
      <c r="S163" s="10">
        <v>0</v>
      </c>
      <c r="T163" s="10">
        <v>0</v>
      </c>
      <c r="U163" s="10">
        <v>1</v>
      </c>
      <c r="V163" s="10">
        <v>22</v>
      </c>
      <c r="W163" s="10">
        <v>7</v>
      </c>
      <c r="X163" s="57">
        <f t="shared" si="186"/>
        <v>7</v>
      </c>
      <c r="Y163" s="4">
        <f t="shared" si="187"/>
        <v>0.2</v>
      </c>
      <c r="Z163" s="4">
        <f t="shared" si="188"/>
        <v>0</v>
      </c>
      <c r="AA163" s="4">
        <f t="shared" si="189"/>
        <v>0.75</v>
      </c>
      <c r="AB163" s="4">
        <f>IFERROR(tbl_główna_GRACZE[[#This Row],[2pm]]/tbl_główna_GRACZE[[#This Row],[2pa]],0)</f>
        <v>0.25</v>
      </c>
      <c r="AC163" s="4">
        <f t="shared" si="190"/>
        <v>0.29761904761904762</v>
      </c>
      <c r="AD163" s="4">
        <f t="shared" si="191"/>
        <v>0.2</v>
      </c>
      <c r="AE163" s="11">
        <f t="shared" si="192"/>
        <v>6</v>
      </c>
      <c r="AF163" s="4">
        <f t="shared" si="193"/>
        <v>0.4</v>
      </c>
      <c r="AG163" s="4">
        <f t="shared" si="194"/>
        <v>0.2</v>
      </c>
      <c r="AH16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0.16761687571265679</v>
      </c>
      <c r="AI163" s="25">
        <f>tbl_główna_GRACZE[[#This Row],[pts]]*(40/tbl_główna_GRACZE[[#This Row],[min]])</f>
        <v>12.727272727272727</v>
      </c>
      <c r="AJ163" s="30">
        <f>tbl_główna_GRACZE[[#This Row],[reb total]]*(40/tbl_główna_GRACZE[[#This Row],[min]])</f>
        <v>12.727272727272727</v>
      </c>
      <c r="AK163" s="30">
        <f>tbl_główna_GRACZE[[#This Row],[asst]]*(40/tbl_główna_GRACZE[[#This Row],[min]])</f>
        <v>1.8181818181818181</v>
      </c>
      <c r="AL163" s="5">
        <f t="shared" si="195"/>
        <v>0.7</v>
      </c>
      <c r="AM163" s="5">
        <f>(tbl_główna_GRACZE[[#This Row],[stl]]+tbl_główna_GRACZE[[#This Row],[blk]])*(40/tbl_główna_GRACZE[[#This Row],[min]])</f>
        <v>0</v>
      </c>
      <c r="AN16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63" s="25">
        <f>tbl_główna_GRACZE[[#This Row],[stl]]+tbl_główna_GRACZE[[#This Row],[blk]]+(tbl_główna_GRACZE[[#This Row],[dreb]]*0.5)</f>
        <v>3</v>
      </c>
      <c r="AP163" s="29">
        <f>(tbl_główna_GRACZE[[#This Row],[stl]]+tbl_główna_GRACZE[[#This Row],[blk]]+0.5*tbl_główna_GRACZE[[#This Row],[dreb]])/tbl_główna_GRACZE[[#This Row],[min]]</f>
        <v>0.13636363636363635</v>
      </c>
      <c r="AQ163" s="6">
        <f t="shared" si="196"/>
        <v>3.5999999999999996</v>
      </c>
      <c r="AR163" s="6">
        <f>tbl_główna_GRACZE[[#This Row],[GmSc]]*(40/tbl_główna_GRACZE[[#This Row],[min]])</f>
        <v>6.545454545454545</v>
      </c>
      <c r="AS163" s="6">
        <f>tbl_główna_GRACZE[[#This Row],[EVAL]]*(40/tbl_główna_GRACZE[[#This Row],[min]])</f>
        <v>10.909090909090908</v>
      </c>
      <c r="AT163" s="11">
        <f>tbl_główna_GRACZE[[#This Row],[fgm]]-tbl_główna_GRACZE[[#This Row],[3pm]]</f>
        <v>2</v>
      </c>
      <c r="AU163" s="11">
        <f>tbl_główna_GRACZE[[#This Row],[fga]]-tbl_główna_GRACZE[[#This Row],[3pa]]</f>
        <v>8</v>
      </c>
      <c r="AV163">
        <f>IF(tbl_główna_GRACZE[[#This Row],[min]]&gt;0,1,0)</f>
        <v>1</v>
      </c>
      <c r="AW163" s="58" t="str">
        <f>tbl_główna_GRACZE[[#This Row],[I. Nazwisko]]</f>
        <v>F. Firas</v>
      </c>
    </row>
    <row r="164" spans="1:49" x14ac:dyDescent="0.35">
      <c r="A164" t="s">
        <v>19</v>
      </c>
      <c r="B164" t="s">
        <v>46</v>
      </c>
      <c r="C164" t="s">
        <v>58</v>
      </c>
      <c r="D164" t="str">
        <f>IF(C164="H",VLOOKUP($A164,tab_nazwy_zespołów[],2,0)&amp;VLOOKUP($B164,tab_nazwy_zespołów[],2,0),VLOOKUP($B164,tab_nazwy_zespołów[],2,0)&amp;VLOOKUP($A164,tab_nazwy_zespołów[],2,0))</f>
        <v>BYPSTA</v>
      </c>
      <c r="E164">
        <v>4</v>
      </c>
      <c r="F164">
        <f>COUNTIF(tbl_zawodnicy_sumy[I. Nazwisko],tbl_główna_GRACZE[[#This Row],[I. Nazwisko]])</f>
        <v>1</v>
      </c>
      <c r="G164" s="58" t="str">
        <f>RIGHT(tbl_główna_GRACZE[[#This Row],[Kolumna1]],LEN(tbl_główna_GRACZE[[#This Row],[Kolumna1]])-FIND(" ",tbl_główna_GRACZE[[#This Row],[Kolumna1]]))</f>
        <v>B. Okaczuk</v>
      </c>
      <c r="H164" s="2" t="s">
        <v>12</v>
      </c>
      <c r="I164" s="10">
        <v>1</v>
      </c>
      <c r="J164" s="10">
        <v>7</v>
      </c>
      <c r="K164" s="10">
        <v>0</v>
      </c>
      <c r="L164" s="10">
        <v>2</v>
      </c>
      <c r="M164" s="10">
        <v>5</v>
      </c>
      <c r="N164" s="10">
        <v>6</v>
      </c>
      <c r="O164" s="10">
        <v>0</v>
      </c>
      <c r="P164" s="10">
        <v>4</v>
      </c>
      <c r="Q164" s="10">
        <v>0</v>
      </c>
      <c r="R164" s="10">
        <v>1</v>
      </c>
      <c r="S164" s="10">
        <v>0</v>
      </c>
      <c r="T164" s="10">
        <v>0</v>
      </c>
      <c r="U164" s="10">
        <v>2</v>
      </c>
      <c r="V164" s="10">
        <v>14</v>
      </c>
      <c r="W164" s="10">
        <v>7</v>
      </c>
      <c r="X164" s="57">
        <f t="shared" si="186"/>
        <v>4</v>
      </c>
      <c r="Y164" s="4">
        <f t="shared" si="187"/>
        <v>0.14285714285714285</v>
      </c>
      <c r="Z164" s="4">
        <f t="shared" si="188"/>
        <v>0</v>
      </c>
      <c r="AA164" s="4">
        <f t="shared" si="189"/>
        <v>0.83333333333333337</v>
      </c>
      <c r="AB164" s="4">
        <f>IFERROR(tbl_główna_GRACZE[[#This Row],[2pm]]/tbl_główna_GRACZE[[#This Row],[2pa]],0)</f>
        <v>0.2</v>
      </c>
      <c r="AC164" s="4">
        <f t="shared" si="190"/>
        <v>0.36307053941908712</v>
      </c>
      <c r="AD164" s="4">
        <f t="shared" si="191"/>
        <v>0.14285714285714285</v>
      </c>
      <c r="AE164" s="11">
        <f t="shared" si="192"/>
        <v>7</v>
      </c>
      <c r="AF164" s="4">
        <f t="shared" si="193"/>
        <v>0.8571428571428571</v>
      </c>
      <c r="AG164" s="4">
        <f t="shared" si="194"/>
        <v>0.2857142857142857</v>
      </c>
      <c r="AH16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0.13740022805017105</v>
      </c>
      <c r="AI164" s="25">
        <f>tbl_główna_GRACZE[[#This Row],[pts]]*(40/tbl_główna_GRACZE[[#This Row],[min]])</f>
        <v>20</v>
      </c>
      <c r="AJ164" s="30">
        <f>tbl_główna_GRACZE[[#This Row],[reb total]]*(40/tbl_główna_GRACZE[[#This Row],[min]])</f>
        <v>11.428571428571429</v>
      </c>
      <c r="AK164" s="30">
        <f>tbl_główna_GRACZE[[#This Row],[asst]]*(40/tbl_główna_GRACZE[[#This Row],[min]])</f>
        <v>5.7142857142857144</v>
      </c>
      <c r="AL164" s="5">
        <f t="shared" si="195"/>
        <v>1</v>
      </c>
      <c r="AM164" s="5">
        <f>(tbl_główna_GRACZE[[#This Row],[stl]]+tbl_główna_GRACZE[[#This Row],[blk]])*(40/tbl_główna_GRACZE[[#This Row],[min]])</f>
        <v>2.8571428571428572</v>
      </c>
      <c r="AN16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64" s="25">
        <f>tbl_główna_GRACZE[[#This Row],[stl]]+tbl_główna_GRACZE[[#This Row],[blk]]+(tbl_główna_GRACZE[[#This Row],[dreb]]*0.5)</f>
        <v>3</v>
      </c>
      <c r="AP164" s="29">
        <f>(tbl_główna_GRACZE[[#This Row],[stl]]+tbl_główna_GRACZE[[#This Row],[blk]]+0.5*tbl_główna_GRACZE[[#This Row],[dreb]])/tbl_główna_GRACZE[[#This Row],[min]]</f>
        <v>0.21428571428571427</v>
      </c>
      <c r="AQ164" s="6">
        <f t="shared" si="196"/>
        <v>5.7000000000000011</v>
      </c>
      <c r="AR164" s="6">
        <f>tbl_główna_GRACZE[[#This Row],[GmSc]]*(40/tbl_główna_GRACZE[[#This Row],[min]])</f>
        <v>16.285714285714288</v>
      </c>
      <c r="AS164" s="6">
        <f>tbl_główna_GRACZE[[#This Row],[EVAL]]*(40/tbl_główna_GRACZE[[#This Row],[min]])</f>
        <v>20</v>
      </c>
      <c r="AT164" s="11">
        <f>tbl_główna_GRACZE[[#This Row],[fgm]]-tbl_główna_GRACZE[[#This Row],[3pm]]</f>
        <v>1</v>
      </c>
      <c r="AU164" s="11">
        <f>tbl_główna_GRACZE[[#This Row],[fga]]-tbl_główna_GRACZE[[#This Row],[3pa]]</f>
        <v>5</v>
      </c>
      <c r="AV164">
        <f>IF(tbl_główna_GRACZE[[#This Row],[min]]&gt;0,1,0)</f>
        <v>1</v>
      </c>
      <c r="AW164" s="58" t="str">
        <f>tbl_główna_GRACZE[[#This Row],[I. Nazwisko]]</f>
        <v>B. Okaczuk</v>
      </c>
    </row>
    <row r="165" spans="1:49" x14ac:dyDescent="0.35">
      <c r="A165" t="s">
        <v>19</v>
      </c>
      <c r="B165" t="s">
        <v>46</v>
      </c>
      <c r="C165" t="s">
        <v>58</v>
      </c>
      <c r="D165" t="str">
        <f>IF(C165="H",VLOOKUP($A165,tab_nazwy_zespołów[],2,0)&amp;VLOOKUP($B165,tab_nazwy_zespołów[],2,0),VLOOKUP($B165,tab_nazwy_zespołów[],2,0)&amp;VLOOKUP($A165,tab_nazwy_zespołów[],2,0))</f>
        <v>BYPSTA</v>
      </c>
      <c r="E165">
        <v>4</v>
      </c>
      <c r="F165">
        <f>COUNTIF(tbl_zawodnicy_sumy[I. Nazwisko],tbl_główna_GRACZE[[#This Row],[I. Nazwisko]])</f>
        <v>1</v>
      </c>
      <c r="G165" s="58" t="str">
        <f>RIGHT(tbl_główna_GRACZE[[#This Row],[Kolumna1]],LEN(tbl_główna_GRACZE[[#This Row],[Kolumna1]])-FIND(" ",tbl_główna_GRACZE[[#This Row],[Kolumna1]]))</f>
        <v>R. Kielczyk</v>
      </c>
      <c r="H165" s="2" t="s">
        <v>17</v>
      </c>
      <c r="I165" s="10">
        <v>2</v>
      </c>
      <c r="J165" s="10">
        <v>6</v>
      </c>
      <c r="K165" s="10">
        <v>1</v>
      </c>
      <c r="L165" s="10">
        <v>1</v>
      </c>
      <c r="M165" s="10">
        <v>0</v>
      </c>
      <c r="N165" s="10">
        <v>0</v>
      </c>
      <c r="O165" s="10">
        <v>1</v>
      </c>
      <c r="P165" s="10">
        <v>1</v>
      </c>
      <c r="Q165" s="10">
        <v>2</v>
      </c>
      <c r="R165" s="10">
        <v>1</v>
      </c>
      <c r="S165" s="10">
        <v>0</v>
      </c>
      <c r="T165" s="10">
        <v>0</v>
      </c>
      <c r="U165" s="10">
        <v>0</v>
      </c>
      <c r="V165" s="10">
        <v>24</v>
      </c>
      <c r="W165" s="10">
        <v>5</v>
      </c>
      <c r="X165" s="57">
        <f t="shared" si="186"/>
        <v>2</v>
      </c>
      <c r="Y165" s="4">
        <f t="shared" si="187"/>
        <v>0.33333333333333331</v>
      </c>
      <c r="Z165" s="4">
        <f t="shared" si="188"/>
        <v>1</v>
      </c>
      <c r="AA165" s="4">
        <f t="shared" si="189"/>
        <v>0</v>
      </c>
      <c r="AB165" s="4">
        <f>IFERROR(tbl_główna_GRACZE[[#This Row],[2pm]]/tbl_główna_GRACZE[[#This Row],[2pa]],0)</f>
        <v>0.2</v>
      </c>
      <c r="AC165" s="4">
        <f t="shared" si="190"/>
        <v>0.41666666666666669</v>
      </c>
      <c r="AD165" s="4">
        <f t="shared" si="191"/>
        <v>0.41666666666666669</v>
      </c>
      <c r="AE165" s="11">
        <f t="shared" si="192"/>
        <v>4</v>
      </c>
      <c r="AF165" s="4">
        <f t="shared" si="193"/>
        <v>0</v>
      </c>
      <c r="AG165" s="4">
        <f t="shared" si="194"/>
        <v>0.16666666666666666</v>
      </c>
      <c r="AH16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8.551881413911061E-2</v>
      </c>
      <c r="AI165" s="25">
        <f>tbl_główna_GRACZE[[#This Row],[pts]]*(40/tbl_główna_GRACZE[[#This Row],[min]])</f>
        <v>8.3333333333333339</v>
      </c>
      <c r="AJ165" s="30">
        <f>tbl_główna_GRACZE[[#This Row],[reb total]]*(40/tbl_główna_GRACZE[[#This Row],[min]])</f>
        <v>3.3333333333333335</v>
      </c>
      <c r="AK165" s="30">
        <f>tbl_główna_GRACZE[[#This Row],[asst]]*(40/tbl_główna_GRACZE[[#This Row],[min]])</f>
        <v>0</v>
      </c>
      <c r="AL165" s="5">
        <f t="shared" si="195"/>
        <v>0.83333333333333337</v>
      </c>
      <c r="AM165" s="5">
        <f>(tbl_główna_GRACZE[[#This Row],[stl]]+tbl_główna_GRACZE[[#This Row],[blk]])*(40/tbl_główna_GRACZE[[#This Row],[min]])</f>
        <v>1.6666666666666667</v>
      </c>
      <c r="AN16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65" s="25">
        <f>tbl_główna_GRACZE[[#This Row],[stl]]+tbl_główna_GRACZE[[#This Row],[blk]]+(tbl_główna_GRACZE[[#This Row],[dreb]]*0.5)</f>
        <v>1.5</v>
      </c>
      <c r="AP165" s="29">
        <f>(tbl_główna_GRACZE[[#This Row],[stl]]+tbl_główna_GRACZE[[#This Row],[blk]]+0.5*tbl_główna_GRACZE[[#This Row],[dreb]])/tbl_główna_GRACZE[[#This Row],[min]]</f>
        <v>6.25E-2</v>
      </c>
      <c r="AQ165" s="6">
        <f t="shared" si="196"/>
        <v>3.6000000000000005</v>
      </c>
      <c r="AR165" s="6">
        <f>tbl_główna_GRACZE[[#This Row],[GmSc]]*(40/tbl_główna_GRACZE[[#This Row],[min]])</f>
        <v>6.0000000000000009</v>
      </c>
      <c r="AS165" s="6">
        <f>tbl_główna_GRACZE[[#This Row],[EVAL]]*(40/tbl_główna_GRACZE[[#This Row],[min]])</f>
        <v>6.666666666666667</v>
      </c>
      <c r="AT165" s="11">
        <f>tbl_główna_GRACZE[[#This Row],[fgm]]-tbl_główna_GRACZE[[#This Row],[3pm]]</f>
        <v>1</v>
      </c>
      <c r="AU165" s="11">
        <f>tbl_główna_GRACZE[[#This Row],[fga]]-tbl_główna_GRACZE[[#This Row],[3pa]]</f>
        <v>5</v>
      </c>
      <c r="AV165">
        <f>IF(tbl_główna_GRACZE[[#This Row],[min]]&gt;0,1,0)</f>
        <v>1</v>
      </c>
      <c r="AW165" s="58" t="str">
        <f>tbl_główna_GRACZE[[#This Row],[I. Nazwisko]]</f>
        <v>R. Kielczyk</v>
      </c>
    </row>
    <row r="166" spans="1:49" x14ac:dyDescent="0.35">
      <c r="A166" t="s">
        <v>19</v>
      </c>
      <c r="B166" t="s">
        <v>46</v>
      </c>
      <c r="C166" t="s">
        <v>58</v>
      </c>
      <c r="D166" t="str">
        <f>IF(C166="H",VLOOKUP($A166,tab_nazwy_zespołów[],2,0)&amp;VLOOKUP($B166,tab_nazwy_zespołów[],2,0),VLOOKUP($B166,tab_nazwy_zespołów[],2,0)&amp;VLOOKUP($A166,tab_nazwy_zespołów[],2,0))</f>
        <v>BYPSTA</v>
      </c>
      <c r="E166">
        <v>4</v>
      </c>
      <c r="F166">
        <f>COUNTIF(tbl_zawodnicy_sumy[I. Nazwisko],tbl_główna_GRACZE[[#This Row],[I. Nazwisko]])</f>
        <v>1</v>
      </c>
      <c r="G166" s="58" t="str">
        <f>RIGHT(tbl_główna_GRACZE[[#This Row],[Kolumna1]],LEN(tbl_główna_GRACZE[[#This Row],[Kolumna1]])-FIND(" ",tbl_główna_GRACZE[[#This Row],[Kolumna1]]))</f>
        <v>J. Olszewski</v>
      </c>
      <c r="H166" s="2" t="s">
        <v>14</v>
      </c>
      <c r="I166" s="10">
        <v>1</v>
      </c>
      <c r="J166" s="10">
        <v>8</v>
      </c>
      <c r="K166" s="10">
        <v>0</v>
      </c>
      <c r="L166" s="10">
        <v>1</v>
      </c>
      <c r="M166" s="10">
        <v>0</v>
      </c>
      <c r="N166" s="10">
        <v>0</v>
      </c>
      <c r="O166" s="10">
        <v>0</v>
      </c>
      <c r="P166" s="10">
        <v>0</v>
      </c>
      <c r="Q166" s="10">
        <v>1</v>
      </c>
      <c r="R166" s="10">
        <v>4</v>
      </c>
      <c r="S166" s="10">
        <v>0</v>
      </c>
      <c r="T166" s="10">
        <v>0</v>
      </c>
      <c r="U166" s="10">
        <v>1</v>
      </c>
      <c r="V166" s="10">
        <v>24</v>
      </c>
      <c r="W166" s="10">
        <v>2</v>
      </c>
      <c r="X166" s="57">
        <f t="shared" si="186"/>
        <v>0</v>
      </c>
      <c r="Y166" s="4">
        <f t="shared" si="187"/>
        <v>0.125</v>
      </c>
      <c r="Z166" s="4">
        <f t="shared" si="188"/>
        <v>0</v>
      </c>
      <c r="AA166" s="4">
        <f t="shared" si="189"/>
        <v>0</v>
      </c>
      <c r="AB166" s="4">
        <f>IFERROR(tbl_główna_GRACZE[[#This Row],[2pm]]/tbl_główna_GRACZE[[#This Row],[2pa]],0)</f>
        <v>0.14285714285714285</v>
      </c>
      <c r="AC166" s="4">
        <f t="shared" si="190"/>
        <v>0.125</v>
      </c>
      <c r="AD166" s="4">
        <f t="shared" si="191"/>
        <v>0.125</v>
      </c>
      <c r="AE166" s="11">
        <f t="shared" si="192"/>
        <v>0</v>
      </c>
      <c r="AF166" s="4">
        <f t="shared" si="193"/>
        <v>0</v>
      </c>
      <c r="AG166" s="4">
        <f t="shared" si="194"/>
        <v>0.125</v>
      </c>
      <c r="AH16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0.11402508551881414</v>
      </c>
      <c r="AI166" s="25">
        <f>tbl_główna_GRACZE[[#This Row],[pts]]*(40/tbl_główna_GRACZE[[#This Row],[min]])</f>
        <v>3.3333333333333335</v>
      </c>
      <c r="AJ166" s="30">
        <f>tbl_główna_GRACZE[[#This Row],[reb total]]*(40/tbl_główna_GRACZE[[#This Row],[min]])</f>
        <v>0</v>
      </c>
      <c r="AK166" s="30">
        <f>tbl_główna_GRACZE[[#This Row],[asst]]*(40/tbl_główna_GRACZE[[#This Row],[min]])</f>
        <v>1.6666666666666667</v>
      </c>
      <c r="AL166" s="5">
        <f t="shared" si="195"/>
        <v>0.25</v>
      </c>
      <c r="AM166" s="5">
        <f>(tbl_główna_GRACZE[[#This Row],[stl]]+tbl_główna_GRACZE[[#This Row],[blk]])*(40/tbl_główna_GRACZE[[#This Row],[min]])</f>
        <v>6.666666666666667</v>
      </c>
      <c r="AN16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0.33333333333333331</v>
      </c>
      <c r="AO166" s="25">
        <f>tbl_główna_GRACZE[[#This Row],[stl]]+tbl_główna_GRACZE[[#This Row],[blk]]+(tbl_główna_GRACZE[[#This Row],[dreb]]*0.5)</f>
        <v>4</v>
      </c>
      <c r="AP166" s="29">
        <f>(tbl_główna_GRACZE[[#This Row],[stl]]+tbl_główna_GRACZE[[#This Row],[blk]]+0.5*tbl_główna_GRACZE[[#This Row],[dreb]])/tbl_główna_GRACZE[[#This Row],[min]]</f>
        <v>0.16666666666666666</v>
      </c>
      <c r="AQ166" s="6">
        <f t="shared" si="196"/>
        <v>1.5000000000000002</v>
      </c>
      <c r="AR166" s="6">
        <f>tbl_główna_GRACZE[[#This Row],[GmSc]]*(40/tbl_główna_GRACZE[[#This Row],[min]])</f>
        <v>2.5000000000000004</v>
      </c>
      <c r="AS166" s="6">
        <f>tbl_główna_GRACZE[[#This Row],[EVAL]]*(40/tbl_główna_GRACZE[[#This Row],[min]])</f>
        <v>0</v>
      </c>
      <c r="AT166" s="11">
        <f>tbl_główna_GRACZE[[#This Row],[fgm]]-tbl_główna_GRACZE[[#This Row],[3pm]]</f>
        <v>1</v>
      </c>
      <c r="AU166" s="11">
        <f>tbl_główna_GRACZE[[#This Row],[fga]]-tbl_główna_GRACZE[[#This Row],[3pa]]</f>
        <v>7</v>
      </c>
      <c r="AV166">
        <f>IF(tbl_główna_GRACZE[[#This Row],[min]]&gt;0,1,0)</f>
        <v>1</v>
      </c>
      <c r="AW166" s="58" t="str">
        <f>tbl_główna_GRACZE[[#This Row],[I. Nazwisko]]</f>
        <v>J. Olszewski</v>
      </c>
    </row>
    <row r="167" spans="1:49" x14ac:dyDescent="0.35">
      <c r="A167" t="s">
        <v>19</v>
      </c>
      <c r="B167" t="s">
        <v>46</v>
      </c>
      <c r="C167" t="s">
        <v>58</v>
      </c>
      <c r="D167" t="str">
        <f>IF(C167="H",VLOOKUP($A167,tab_nazwy_zespołów[],2,0)&amp;VLOOKUP($B167,tab_nazwy_zespołów[],2,0),VLOOKUP($B167,tab_nazwy_zespołów[],2,0)&amp;VLOOKUP($A167,tab_nazwy_zespołów[],2,0))</f>
        <v>BYPSTA</v>
      </c>
      <c r="E167">
        <v>4</v>
      </c>
      <c r="F167">
        <f>COUNTIF(tbl_zawodnicy_sumy[I. Nazwisko],tbl_główna_GRACZE[[#This Row],[I. Nazwisko]])</f>
        <v>1</v>
      </c>
      <c r="G167" s="58" t="str">
        <f>RIGHT(tbl_główna_GRACZE[[#This Row],[Kolumna1]],LEN(tbl_główna_GRACZE[[#This Row],[Kolumna1]])-FIND(" ",tbl_główna_GRACZE[[#This Row],[Kolumna1]]))</f>
        <v>T. Kowalczyk</v>
      </c>
      <c r="H167" s="2" t="s">
        <v>18</v>
      </c>
      <c r="I167" s="10">
        <v>1</v>
      </c>
      <c r="J167" s="10">
        <v>2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2</v>
      </c>
      <c r="Q167" s="10">
        <v>4</v>
      </c>
      <c r="R167" s="10">
        <v>1</v>
      </c>
      <c r="S167" s="10">
        <v>0</v>
      </c>
      <c r="T167" s="10">
        <v>0</v>
      </c>
      <c r="U167" s="10">
        <v>0</v>
      </c>
      <c r="V167" s="10">
        <v>10</v>
      </c>
      <c r="W167" s="10">
        <v>2</v>
      </c>
      <c r="X167" s="57">
        <f t="shared" si="186"/>
        <v>2</v>
      </c>
      <c r="Y167" s="4">
        <f t="shared" si="187"/>
        <v>0.5</v>
      </c>
      <c r="Z167" s="4">
        <f t="shared" si="188"/>
        <v>0</v>
      </c>
      <c r="AA167" s="4">
        <f t="shared" si="189"/>
        <v>0</v>
      </c>
      <c r="AB167" s="4">
        <f>IFERROR(tbl_główna_GRACZE[[#This Row],[2pm]]/tbl_główna_GRACZE[[#This Row],[2pa]],0)</f>
        <v>0.5</v>
      </c>
      <c r="AC167" s="4">
        <f t="shared" si="190"/>
        <v>0.5</v>
      </c>
      <c r="AD167" s="4">
        <f t="shared" si="191"/>
        <v>0.5</v>
      </c>
      <c r="AE167" s="11">
        <f t="shared" si="192"/>
        <v>4</v>
      </c>
      <c r="AF167" s="4">
        <f t="shared" si="193"/>
        <v>0</v>
      </c>
      <c r="AG167" s="4">
        <f t="shared" si="194"/>
        <v>0</v>
      </c>
      <c r="AH16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2.8506271379703536E-2</v>
      </c>
      <c r="AI167" s="25">
        <f>tbl_główna_GRACZE[[#This Row],[pts]]*(40/tbl_główna_GRACZE[[#This Row],[min]])</f>
        <v>8</v>
      </c>
      <c r="AJ167" s="30">
        <f>tbl_główna_GRACZE[[#This Row],[reb total]]*(40/tbl_główna_GRACZE[[#This Row],[min]])</f>
        <v>8</v>
      </c>
      <c r="AK167" s="30">
        <f>tbl_główna_GRACZE[[#This Row],[asst]]*(40/tbl_główna_GRACZE[[#This Row],[min]])</f>
        <v>0</v>
      </c>
      <c r="AL167" s="5">
        <f t="shared" si="195"/>
        <v>1</v>
      </c>
      <c r="AM167" s="5">
        <f>(tbl_główna_GRACZE[[#This Row],[stl]]+tbl_główna_GRACZE[[#This Row],[blk]])*(40/tbl_główna_GRACZE[[#This Row],[min]])</f>
        <v>4</v>
      </c>
      <c r="AN16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67" s="25">
        <f>tbl_główna_GRACZE[[#This Row],[stl]]+tbl_główna_GRACZE[[#This Row],[blk]]+(tbl_główna_GRACZE[[#This Row],[dreb]]*0.5)</f>
        <v>2</v>
      </c>
      <c r="AP167" s="29">
        <f>(tbl_główna_GRACZE[[#This Row],[stl]]+tbl_główna_GRACZE[[#This Row],[blk]]+0.5*tbl_główna_GRACZE[[#This Row],[dreb]])/tbl_główna_GRACZE[[#This Row],[min]]</f>
        <v>0.2</v>
      </c>
      <c r="AQ167" s="6">
        <f t="shared" si="196"/>
        <v>2.6</v>
      </c>
      <c r="AR167" s="6">
        <f>tbl_główna_GRACZE[[#This Row],[GmSc]]*(40/tbl_główna_GRACZE[[#This Row],[min]])</f>
        <v>10.4</v>
      </c>
      <c r="AS167" s="6">
        <f>tbl_główna_GRACZE[[#This Row],[EVAL]]*(40/tbl_główna_GRACZE[[#This Row],[min]])</f>
        <v>16</v>
      </c>
      <c r="AT167" s="11">
        <f>tbl_główna_GRACZE[[#This Row],[fgm]]-tbl_główna_GRACZE[[#This Row],[3pm]]</f>
        <v>1</v>
      </c>
      <c r="AU167" s="11">
        <f>tbl_główna_GRACZE[[#This Row],[fga]]-tbl_główna_GRACZE[[#This Row],[3pa]]</f>
        <v>2</v>
      </c>
      <c r="AV167">
        <f>IF(tbl_główna_GRACZE[[#This Row],[min]]&gt;0,1,0)</f>
        <v>1</v>
      </c>
      <c r="AW167" s="58" t="str">
        <f>tbl_główna_GRACZE[[#This Row],[I. Nazwisko]]</f>
        <v>T. Kowalczyk</v>
      </c>
    </row>
    <row r="168" spans="1:49" x14ac:dyDescent="0.35">
      <c r="A168" t="s">
        <v>19</v>
      </c>
      <c r="B168" t="s">
        <v>46</v>
      </c>
      <c r="C168" t="s">
        <v>58</v>
      </c>
      <c r="D168" t="str">
        <f>IF(C168="H",VLOOKUP($A168,tab_nazwy_zespołów[],2,0)&amp;VLOOKUP($B168,tab_nazwy_zespołów[],2,0),VLOOKUP($B168,tab_nazwy_zespołów[],2,0)&amp;VLOOKUP($A168,tab_nazwy_zespołów[],2,0))</f>
        <v>BYPSTA</v>
      </c>
      <c r="E168">
        <v>4</v>
      </c>
      <c r="F168">
        <f>COUNTIF(tbl_zawodnicy_sumy[I. Nazwisko],tbl_główna_GRACZE[[#This Row],[I. Nazwisko]])</f>
        <v>1</v>
      </c>
      <c r="G168" s="58" t="str">
        <f>RIGHT(tbl_główna_GRACZE[[#This Row],[Kolumna1]],LEN(tbl_główna_GRACZE[[#This Row],[Kolumna1]])-FIND(" ",tbl_główna_GRACZE[[#This Row],[Kolumna1]]))</f>
        <v>P. Roguski</v>
      </c>
      <c r="H168" s="2" t="s">
        <v>413</v>
      </c>
      <c r="I168" s="10">
        <v>0</v>
      </c>
      <c r="J168" s="10">
        <v>1</v>
      </c>
      <c r="K168" s="10">
        <v>0</v>
      </c>
      <c r="L168" s="10">
        <v>0</v>
      </c>
      <c r="M168" s="10">
        <v>1</v>
      </c>
      <c r="N168" s="10">
        <v>2</v>
      </c>
      <c r="O168" s="10">
        <v>6</v>
      </c>
      <c r="P168" s="10">
        <v>3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15</v>
      </c>
      <c r="W168" s="10">
        <v>1</v>
      </c>
      <c r="X168" s="57">
        <f t="shared" si="186"/>
        <v>9</v>
      </c>
      <c r="Y168" s="4">
        <f t="shared" si="187"/>
        <v>0</v>
      </c>
      <c r="Z168" s="4">
        <f t="shared" si="188"/>
        <v>0</v>
      </c>
      <c r="AA168" s="4">
        <f t="shared" si="189"/>
        <v>0.5</v>
      </c>
      <c r="AB168" s="4">
        <f>IFERROR(tbl_główna_GRACZE[[#This Row],[2pm]]/tbl_główna_GRACZE[[#This Row],[2pa]],0)</f>
        <v>0</v>
      </c>
      <c r="AC168" s="4">
        <f t="shared" si="190"/>
        <v>0.26595744680851063</v>
      </c>
      <c r="AD168" s="4">
        <f t="shared" si="191"/>
        <v>0</v>
      </c>
      <c r="AE168" s="11">
        <f t="shared" si="192"/>
        <v>8</v>
      </c>
      <c r="AF168" s="4">
        <f t="shared" si="193"/>
        <v>2</v>
      </c>
      <c r="AG168" s="4">
        <f t="shared" si="194"/>
        <v>0</v>
      </c>
      <c r="AH16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2.6795895096921322E-2</v>
      </c>
      <c r="AI168" s="25">
        <f>tbl_główna_GRACZE[[#This Row],[pts]]*(40/tbl_główna_GRACZE[[#This Row],[min]])</f>
        <v>2.6666666666666665</v>
      </c>
      <c r="AJ168" s="30">
        <f>tbl_główna_GRACZE[[#This Row],[reb total]]*(40/tbl_główna_GRACZE[[#This Row],[min]])</f>
        <v>24</v>
      </c>
      <c r="AK168" s="30">
        <f>tbl_główna_GRACZE[[#This Row],[asst]]*(40/tbl_główna_GRACZE[[#This Row],[min]])</f>
        <v>0</v>
      </c>
      <c r="AL168" s="5">
        <f t="shared" si="195"/>
        <v>1</v>
      </c>
      <c r="AM168" s="5">
        <f>(tbl_główna_GRACZE[[#This Row],[stl]]+tbl_główna_GRACZE[[#This Row],[blk]])*(40/tbl_główna_GRACZE[[#This Row],[min]])</f>
        <v>0</v>
      </c>
      <c r="AN16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68" s="25">
        <f>tbl_główna_GRACZE[[#This Row],[stl]]+tbl_główna_GRACZE[[#This Row],[blk]]+(tbl_główna_GRACZE[[#This Row],[dreb]]*0.5)</f>
        <v>1.5</v>
      </c>
      <c r="AP168" s="29">
        <f>(tbl_główna_GRACZE[[#This Row],[stl]]+tbl_główna_GRACZE[[#This Row],[blk]]+0.5*tbl_główna_GRACZE[[#This Row],[dreb]])/tbl_główna_GRACZE[[#This Row],[min]]</f>
        <v>0.1</v>
      </c>
      <c r="AQ168" s="6">
        <f t="shared" si="196"/>
        <v>5</v>
      </c>
      <c r="AR168" s="6">
        <f>tbl_główna_GRACZE[[#This Row],[GmSc]]*(40/tbl_główna_GRACZE[[#This Row],[min]])</f>
        <v>13.333333333333332</v>
      </c>
      <c r="AS168" s="6">
        <f>tbl_główna_GRACZE[[#This Row],[EVAL]]*(40/tbl_główna_GRACZE[[#This Row],[min]])</f>
        <v>21.333333333333332</v>
      </c>
      <c r="AT168" s="11">
        <f>tbl_główna_GRACZE[[#This Row],[fgm]]-tbl_główna_GRACZE[[#This Row],[3pm]]</f>
        <v>0</v>
      </c>
      <c r="AU168" s="11">
        <f>tbl_główna_GRACZE[[#This Row],[fga]]-tbl_główna_GRACZE[[#This Row],[3pa]]</f>
        <v>1</v>
      </c>
      <c r="AV168">
        <f>IF(tbl_główna_GRACZE[[#This Row],[min]]&gt;0,1,0)</f>
        <v>1</v>
      </c>
      <c r="AW168" s="58" t="str">
        <f>tbl_główna_GRACZE[[#This Row],[I. Nazwisko]]</f>
        <v>P. Roguski</v>
      </c>
    </row>
    <row r="169" spans="1:49" x14ac:dyDescent="0.35">
      <c r="A169" t="s">
        <v>19</v>
      </c>
      <c r="B169" t="s">
        <v>46</v>
      </c>
      <c r="C169" t="s">
        <v>58</v>
      </c>
      <c r="D169" t="str">
        <f>IF(C169="H",VLOOKUP($A169,tab_nazwy_zespołów[],2,0)&amp;VLOOKUP($B169,tab_nazwy_zespołów[],2,0),VLOOKUP($B169,tab_nazwy_zespołów[],2,0)&amp;VLOOKUP($A169,tab_nazwy_zespołów[],2,0))</f>
        <v>BYPSTA</v>
      </c>
      <c r="E169">
        <v>4</v>
      </c>
      <c r="F169">
        <f>COUNTIF(tbl_zawodnicy_sumy[I. Nazwisko],tbl_główna_GRACZE[[#This Row],[I. Nazwisko]])</f>
        <v>1</v>
      </c>
      <c r="G169" s="58" t="str">
        <f>RIGHT(tbl_główna_GRACZE[[#This Row],[Kolumna1]],LEN(tbl_główna_GRACZE[[#This Row],[Kolumna1]])-FIND(" ",tbl_główna_GRACZE[[#This Row],[Kolumna1]]))</f>
        <v>M. Burczyński</v>
      </c>
      <c r="H169" s="2" t="s">
        <v>16</v>
      </c>
      <c r="I169" s="10">
        <v>0</v>
      </c>
      <c r="J169" s="10">
        <v>3</v>
      </c>
      <c r="K169" s="10">
        <v>0</v>
      </c>
      <c r="L169" s="10">
        <v>2</v>
      </c>
      <c r="M169" s="10">
        <v>0</v>
      </c>
      <c r="N169" s="10">
        <v>0</v>
      </c>
      <c r="O169" s="10">
        <v>1</v>
      </c>
      <c r="P169" s="10">
        <v>3</v>
      </c>
      <c r="Q169" s="10">
        <v>1</v>
      </c>
      <c r="R169" s="10">
        <v>1</v>
      </c>
      <c r="S169" s="10">
        <v>0</v>
      </c>
      <c r="T169" s="10">
        <v>0</v>
      </c>
      <c r="U169" s="10">
        <v>2</v>
      </c>
      <c r="V169" s="10">
        <v>18</v>
      </c>
      <c r="W169" s="10">
        <v>0</v>
      </c>
      <c r="X169" s="57">
        <f t="shared" si="186"/>
        <v>4</v>
      </c>
      <c r="Y169" s="4">
        <f t="shared" si="187"/>
        <v>0</v>
      </c>
      <c r="Z169" s="4">
        <f t="shared" si="188"/>
        <v>0</v>
      </c>
      <c r="AA169" s="4">
        <f t="shared" si="189"/>
        <v>0</v>
      </c>
      <c r="AB169" s="4">
        <f>IFERROR(tbl_główna_GRACZE[[#This Row],[2pm]]/tbl_główna_GRACZE[[#This Row],[2pa]],0)</f>
        <v>0</v>
      </c>
      <c r="AC169" s="4">
        <f t="shared" si="190"/>
        <v>0</v>
      </c>
      <c r="AD169" s="4">
        <f t="shared" si="191"/>
        <v>0</v>
      </c>
      <c r="AE169" s="11">
        <f t="shared" si="192"/>
        <v>4</v>
      </c>
      <c r="AF169" s="4">
        <f t="shared" si="193"/>
        <v>0</v>
      </c>
      <c r="AG169" s="4">
        <f t="shared" si="194"/>
        <v>0.66666666666666663</v>
      </c>
      <c r="AH16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4.2759407069555305E-2</v>
      </c>
      <c r="AI169" s="25">
        <f>tbl_główna_GRACZE[[#This Row],[pts]]*(40/tbl_główna_GRACZE[[#This Row],[min]])</f>
        <v>0</v>
      </c>
      <c r="AJ169" s="30">
        <f>tbl_główna_GRACZE[[#This Row],[reb total]]*(40/tbl_główna_GRACZE[[#This Row],[min]])</f>
        <v>8.8888888888888893</v>
      </c>
      <c r="AK169" s="30">
        <f>tbl_główna_GRACZE[[#This Row],[asst]]*(40/tbl_główna_GRACZE[[#This Row],[min]])</f>
        <v>4.4444444444444446</v>
      </c>
      <c r="AL169" s="5">
        <f t="shared" si="195"/>
        <v>0</v>
      </c>
      <c r="AM169" s="5">
        <f>(tbl_główna_GRACZE[[#This Row],[stl]]+tbl_główna_GRACZE[[#This Row],[blk]])*(40/tbl_główna_GRACZE[[#This Row],[min]])</f>
        <v>2.2222222222222223</v>
      </c>
      <c r="AN16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169" s="25">
        <f>tbl_główna_GRACZE[[#This Row],[stl]]+tbl_główna_GRACZE[[#This Row],[blk]]+(tbl_główna_GRACZE[[#This Row],[dreb]]*0.5)</f>
        <v>2.5</v>
      </c>
      <c r="AP169" s="29">
        <f>(tbl_główna_GRACZE[[#This Row],[stl]]+tbl_główna_GRACZE[[#This Row],[blk]]+0.5*tbl_główna_GRACZE[[#This Row],[dreb]])/tbl_główna_GRACZE[[#This Row],[min]]</f>
        <v>0.1388888888888889</v>
      </c>
      <c r="AQ169" s="6">
        <f t="shared" si="196"/>
        <v>1.9000000000000001</v>
      </c>
      <c r="AR169" s="6">
        <f>tbl_główna_GRACZE[[#This Row],[GmSc]]*(40/tbl_główna_GRACZE[[#This Row],[min]])</f>
        <v>4.2222222222222223</v>
      </c>
      <c r="AS169" s="6">
        <f>tbl_główna_GRACZE[[#This Row],[EVAL]]*(40/tbl_główna_GRACZE[[#This Row],[min]])</f>
        <v>8.8888888888888893</v>
      </c>
      <c r="AT169" s="11">
        <f>tbl_główna_GRACZE[[#This Row],[fgm]]-tbl_główna_GRACZE[[#This Row],[3pm]]</f>
        <v>0</v>
      </c>
      <c r="AU169" s="11">
        <f>tbl_główna_GRACZE[[#This Row],[fga]]-tbl_główna_GRACZE[[#This Row],[3pa]]</f>
        <v>1</v>
      </c>
      <c r="AV169">
        <f>IF(tbl_główna_GRACZE[[#This Row],[min]]&gt;0,1,0)</f>
        <v>1</v>
      </c>
      <c r="AW169" s="58" t="str">
        <f>tbl_główna_GRACZE[[#This Row],[I. Nazwisko]]</f>
        <v>M. Burczyński</v>
      </c>
    </row>
    <row r="170" spans="1:49" x14ac:dyDescent="0.35">
      <c r="A170" t="s">
        <v>19</v>
      </c>
      <c r="B170" t="s">
        <v>46</v>
      </c>
      <c r="C170" t="s">
        <v>58</v>
      </c>
      <c r="D170" t="str">
        <f>IF(C170="H",VLOOKUP($A170,tab_nazwy_zespołów[],2,0)&amp;VLOOKUP($B170,tab_nazwy_zespołów[],2,0),VLOOKUP($B170,tab_nazwy_zespołów[],2,0)&amp;VLOOKUP($A170,tab_nazwy_zespołów[],2,0))</f>
        <v>BYPSTA</v>
      </c>
      <c r="E170">
        <v>4</v>
      </c>
      <c r="F170">
        <f>COUNTIF(tbl_zawodnicy_sumy[I. Nazwisko],tbl_główna_GRACZE[[#This Row],[I. Nazwisko]])</f>
        <v>1</v>
      </c>
      <c r="G170" s="58" t="str">
        <f>RIGHT(tbl_główna_GRACZE[[#This Row],[Kolumna1]],LEN(tbl_główna_GRACZE[[#This Row],[Kolumna1]])-FIND(" ",tbl_główna_GRACZE[[#This Row],[Kolumna1]]))</f>
        <v>S. Mrożek</v>
      </c>
      <c r="H170" s="2" t="s">
        <v>15</v>
      </c>
      <c r="I170" s="10">
        <v>0</v>
      </c>
      <c r="J170" s="10">
        <v>2</v>
      </c>
      <c r="K170" s="10">
        <v>0</v>
      </c>
      <c r="L170" s="10">
        <v>1</v>
      </c>
      <c r="M170" s="10">
        <v>0</v>
      </c>
      <c r="N170" s="10">
        <v>0</v>
      </c>
      <c r="O170" s="10">
        <v>2</v>
      </c>
      <c r="P170" s="10">
        <v>0</v>
      </c>
      <c r="Q170" s="10">
        <v>1</v>
      </c>
      <c r="R170" s="10">
        <v>0</v>
      </c>
      <c r="S170" s="10">
        <v>0</v>
      </c>
      <c r="T170" s="10">
        <v>0</v>
      </c>
      <c r="U170" s="10">
        <v>0</v>
      </c>
      <c r="V170" s="10">
        <v>14</v>
      </c>
      <c r="W170" s="10">
        <v>0</v>
      </c>
      <c r="X170" s="57">
        <f t="shared" si="186"/>
        <v>2</v>
      </c>
      <c r="Y170" s="4">
        <f t="shared" si="187"/>
        <v>0</v>
      </c>
      <c r="Z170" s="4">
        <f t="shared" si="188"/>
        <v>0</v>
      </c>
      <c r="AA170" s="4">
        <f t="shared" si="189"/>
        <v>0</v>
      </c>
      <c r="AB170" s="4">
        <f>IFERROR(tbl_główna_GRACZE[[#This Row],[2pm]]/tbl_główna_GRACZE[[#This Row],[2pa]],0)</f>
        <v>0</v>
      </c>
      <c r="AC170" s="4">
        <f t="shared" si="190"/>
        <v>0</v>
      </c>
      <c r="AD170" s="4">
        <f t="shared" si="191"/>
        <v>0</v>
      </c>
      <c r="AE170" s="11">
        <f t="shared" si="192"/>
        <v>0</v>
      </c>
      <c r="AF170" s="4">
        <f t="shared" si="193"/>
        <v>0</v>
      </c>
      <c r="AG170" s="4">
        <f t="shared" si="194"/>
        <v>0.5</v>
      </c>
      <c r="AH17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2.8506271379703536E-2</v>
      </c>
      <c r="AI170" s="25">
        <f>tbl_główna_GRACZE[[#This Row],[pts]]*(40/tbl_główna_GRACZE[[#This Row],[min]])</f>
        <v>0</v>
      </c>
      <c r="AJ170" s="30">
        <f>tbl_główna_GRACZE[[#This Row],[reb total]]*(40/tbl_główna_GRACZE[[#This Row],[min]])</f>
        <v>5.7142857142857144</v>
      </c>
      <c r="AK170" s="30">
        <f>tbl_główna_GRACZE[[#This Row],[asst]]*(40/tbl_główna_GRACZE[[#This Row],[min]])</f>
        <v>0</v>
      </c>
      <c r="AL170" s="5">
        <f t="shared" si="195"/>
        <v>0</v>
      </c>
      <c r="AM170" s="5">
        <f>(tbl_główna_GRACZE[[#This Row],[stl]]+tbl_główna_GRACZE[[#This Row],[blk]])*(40/tbl_główna_GRACZE[[#This Row],[min]])</f>
        <v>0</v>
      </c>
      <c r="AN17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70" s="25">
        <f>tbl_główna_GRACZE[[#This Row],[stl]]+tbl_główna_GRACZE[[#This Row],[blk]]+(tbl_główna_GRACZE[[#This Row],[dreb]]*0.5)</f>
        <v>0</v>
      </c>
      <c r="AP170" s="29">
        <f>(tbl_główna_GRACZE[[#This Row],[stl]]+tbl_główna_GRACZE[[#This Row],[blk]]+0.5*tbl_główna_GRACZE[[#This Row],[dreb]])/tbl_główna_GRACZE[[#This Row],[min]]</f>
        <v>0</v>
      </c>
      <c r="AQ170" s="6">
        <f t="shared" si="196"/>
        <v>0</v>
      </c>
      <c r="AR170" s="6">
        <f>tbl_główna_GRACZE[[#This Row],[GmSc]]*(40/tbl_główna_GRACZE[[#This Row],[min]])</f>
        <v>0</v>
      </c>
      <c r="AS170" s="6">
        <f>tbl_główna_GRACZE[[#This Row],[EVAL]]*(40/tbl_główna_GRACZE[[#This Row],[min]])</f>
        <v>0</v>
      </c>
      <c r="AT170" s="11">
        <f>tbl_główna_GRACZE[[#This Row],[fgm]]-tbl_główna_GRACZE[[#This Row],[3pm]]</f>
        <v>0</v>
      </c>
      <c r="AU170" s="11">
        <f>tbl_główna_GRACZE[[#This Row],[fga]]-tbl_główna_GRACZE[[#This Row],[3pa]]</f>
        <v>1</v>
      </c>
      <c r="AV170">
        <f>IF(tbl_główna_GRACZE[[#This Row],[min]]&gt;0,1,0)</f>
        <v>1</v>
      </c>
      <c r="AW170" s="58" t="str">
        <f>tbl_główna_GRACZE[[#This Row],[I. Nazwisko]]</f>
        <v>S. Mrożek</v>
      </c>
    </row>
    <row r="171" spans="1:49" x14ac:dyDescent="0.35">
      <c r="A171" t="s">
        <v>48</v>
      </c>
      <c r="B171" t="s">
        <v>50</v>
      </c>
      <c r="C171" t="s">
        <v>57</v>
      </c>
      <c r="D171" t="str">
        <f>IF(C171="H",VLOOKUP($A171,tab_nazwy_zespołów[],2,0)&amp;VLOOKUP($B171,tab_nazwy_zespołów[],2,0),VLOOKUP($B171,tab_nazwy_zespołów[],2,0)&amp;VLOOKUP($A171,tab_nazwy_zespołów[],2,0))</f>
        <v>ŁODKON</v>
      </c>
      <c r="E171">
        <v>4</v>
      </c>
      <c r="F171">
        <f>COUNTIF(tbl_zawodnicy_sumy[I. Nazwisko],tbl_główna_GRACZE[[#This Row],[I. Nazwisko]])</f>
        <v>1</v>
      </c>
      <c r="G171" s="58" t="str">
        <f>RIGHT(tbl_główna_GRACZE[[#This Row],[Kolumna1]],LEN(tbl_główna_GRACZE[[#This Row],[Kolumna1]])-FIND(" ",tbl_główna_GRACZE[[#This Row],[Kolumna1]]))</f>
        <v>M. Łukasiuk</v>
      </c>
      <c r="H171" s="2" t="s">
        <v>82</v>
      </c>
      <c r="I171" s="10">
        <v>6</v>
      </c>
      <c r="J171" s="10">
        <v>17</v>
      </c>
      <c r="K171" s="10">
        <v>1</v>
      </c>
      <c r="L171" s="10">
        <v>1</v>
      </c>
      <c r="M171" s="10">
        <v>1</v>
      </c>
      <c r="N171" s="10">
        <v>6</v>
      </c>
      <c r="O171" s="10">
        <v>3</v>
      </c>
      <c r="P171" s="10">
        <v>3</v>
      </c>
      <c r="Q171" s="10">
        <v>0</v>
      </c>
      <c r="R171" s="10">
        <v>4</v>
      </c>
      <c r="S171" s="10">
        <v>0</v>
      </c>
      <c r="T171" s="10">
        <v>0</v>
      </c>
      <c r="U171" s="10">
        <v>3</v>
      </c>
      <c r="V171" s="10">
        <v>34</v>
      </c>
      <c r="W171" s="10">
        <v>14</v>
      </c>
      <c r="X171" s="57">
        <f t="shared" ref="X171:X177" si="197">O171+P171</f>
        <v>6</v>
      </c>
      <c r="Y171" s="4">
        <f t="shared" ref="Y171:Y177" si="198">I171/J171</f>
        <v>0.35294117647058826</v>
      </c>
      <c r="Z171" s="4">
        <f t="shared" ref="Z171:Z177" si="199">IFERROR(K171/L171,0)</f>
        <v>1</v>
      </c>
      <c r="AA171" s="4">
        <f t="shared" ref="AA171:AA177" si="200">IFERROR(M171/N171,0)</f>
        <v>0.16666666666666666</v>
      </c>
      <c r="AB171" s="4">
        <f>IFERROR(tbl_główna_GRACZE[[#This Row],[2pm]]/tbl_główna_GRACZE[[#This Row],[2pa]],0)</f>
        <v>0.3125</v>
      </c>
      <c r="AC171" s="4">
        <f t="shared" ref="AC171:AC177" si="201">W171/(2*(J171+0.44*N171))</f>
        <v>0.35641547861507128</v>
      </c>
      <c r="AD171" s="4">
        <f t="shared" ref="AD171:AD177" si="202">(I171+0.5*K171)/J171</f>
        <v>0.38235294117647056</v>
      </c>
      <c r="AE171" s="11">
        <f t="shared" ref="AE171:AE177" si="203">R171+T171+U171+W171+X171-(J171-I171)-(N171-M171)</f>
        <v>11</v>
      </c>
      <c r="AF171" s="4">
        <f t="shared" ref="AF171:AF177" si="204">N171/J171</f>
        <v>0.35294117647058826</v>
      </c>
      <c r="AG171" s="4">
        <f t="shared" ref="AG171:AG177" si="205">L171/J171</f>
        <v>5.8823529411764705E-2</v>
      </c>
      <c r="AH17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0.20840407470288627</v>
      </c>
      <c r="AI171" s="25">
        <f>tbl_główna_GRACZE[[#This Row],[pts]]*(40/tbl_główna_GRACZE[[#This Row],[min]])</f>
        <v>16.47058823529412</v>
      </c>
      <c r="AJ171" s="30">
        <f>tbl_główna_GRACZE[[#This Row],[reb total]]*(40/tbl_główna_GRACZE[[#This Row],[min]])</f>
        <v>7.0588235294117645</v>
      </c>
      <c r="AK171" s="30">
        <f>tbl_główna_GRACZE[[#This Row],[asst]]*(40/tbl_główna_GRACZE[[#This Row],[min]])</f>
        <v>3.5294117647058822</v>
      </c>
      <c r="AL171" s="5">
        <f t="shared" ref="AL171:AL177" si="206">W171/J171</f>
        <v>0.82352941176470584</v>
      </c>
      <c r="AM171" s="5">
        <f>(tbl_główna_GRACZE[[#This Row],[stl]]+tbl_główna_GRACZE[[#This Row],[blk]])*(40/tbl_główna_GRACZE[[#This Row],[min]])</f>
        <v>4.7058823529411766</v>
      </c>
      <c r="AN17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71" s="25">
        <f>tbl_główna_GRACZE[[#This Row],[stl]]+tbl_główna_GRACZE[[#This Row],[blk]]+(tbl_główna_GRACZE[[#This Row],[dreb]]*0.5)</f>
        <v>5.5</v>
      </c>
      <c r="AP171" s="29">
        <f>(tbl_główna_GRACZE[[#This Row],[stl]]+tbl_główna_GRACZE[[#This Row],[blk]]+0.5*tbl_główna_GRACZE[[#This Row],[dreb]])/tbl_główna_GRACZE[[#This Row],[min]]</f>
        <v>0.16176470588235295</v>
      </c>
      <c r="AQ171" s="6">
        <f t="shared" ref="AQ171:AQ177" si="207">W171+0.4*I171-0.7*J171-0.4*(N171-M171)+0.7*O171+0.3*P171+R171+0.7*U171+0.7*T171</f>
        <v>11.6</v>
      </c>
      <c r="AR171" s="6">
        <f>tbl_główna_GRACZE[[#This Row],[GmSc]]*(40/tbl_główna_GRACZE[[#This Row],[min]])</f>
        <v>13.647058823529411</v>
      </c>
      <c r="AS171" s="6">
        <f>tbl_główna_GRACZE[[#This Row],[EVAL]]*(40/tbl_główna_GRACZE[[#This Row],[min]])</f>
        <v>12.941176470588236</v>
      </c>
      <c r="AT171" s="11">
        <f>tbl_główna_GRACZE[[#This Row],[fgm]]-tbl_główna_GRACZE[[#This Row],[3pm]]</f>
        <v>5</v>
      </c>
      <c r="AU171" s="11">
        <f>tbl_główna_GRACZE[[#This Row],[fga]]-tbl_główna_GRACZE[[#This Row],[3pa]]</f>
        <v>16</v>
      </c>
      <c r="AV171">
        <f>IF(tbl_główna_GRACZE[[#This Row],[min]]&gt;0,1,0)</f>
        <v>1</v>
      </c>
      <c r="AW171" s="58" t="str">
        <f>tbl_główna_GRACZE[[#This Row],[I. Nazwisko]]</f>
        <v>M. Łukasiuk</v>
      </c>
    </row>
    <row r="172" spans="1:49" x14ac:dyDescent="0.35">
      <c r="A172" t="s">
        <v>48</v>
      </c>
      <c r="B172" t="s">
        <v>50</v>
      </c>
      <c r="C172" t="s">
        <v>57</v>
      </c>
      <c r="D172" t="str">
        <f>IF(C172="H",VLOOKUP($A172,tab_nazwy_zespołów[],2,0)&amp;VLOOKUP($B172,tab_nazwy_zespołów[],2,0),VLOOKUP($B172,tab_nazwy_zespołów[],2,0)&amp;VLOOKUP($A172,tab_nazwy_zespołów[],2,0))</f>
        <v>ŁODKON</v>
      </c>
      <c r="E172">
        <v>4</v>
      </c>
      <c r="F172">
        <f>COUNTIF(tbl_zawodnicy_sumy[I. Nazwisko],tbl_główna_GRACZE[[#This Row],[I. Nazwisko]])</f>
        <v>1</v>
      </c>
      <c r="G172" s="58" t="str">
        <f>RIGHT(tbl_główna_GRACZE[[#This Row],[Kolumna1]],LEN(tbl_główna_GRACZE[[#This Row],[Kolumna1]])-FIND(" ",tbl_główna_GRACZE[[#This Row],[Kolumna1]]))</f>
        <v>T. Gortat</v>
      </c>
      <c r="H172" s="2" t="s">
        <v>403</v>
      </c>
      <c r="I172" s="10">
        <v>3</v>
      </c>
      <c r="J172" s="10">
        <v>13</v>
      </c>
      <c r="K172" s="10">
        <v>1</v>
      </c>
      <c r="L172" s="10">
        <v>6</v>
      </c>
      <c r="M172" s="10">
        <v>6</v>
      </c>
      <c r="N172" s="10">
        <v>9</v>
      </c>
      <c r="O172" s="10">
        <v>7</v>
      </c>
      <c r="P172" s="10">
        <v>13</v>
      </c>
      <c r="Q172" s="10">
        <v>0</v>
      </c>
      <c r="R172" s="10">
        <v>4</v>
      </c>
      <c r="S172" s="10">
        <v>0</v>
      </c>
      <c r="T172" s="10">
        <v>2</v>
      </c>
      <c r="U172" s="10">
        <v>2</v>
      </c>
      <c r="V172" s="10">
        <v>29</v>
      </c>
      <c r="W172" s="10">
        <v>13</v>
      </c>
      <c r="X172" s="57">
        <f t="shared" si="197"/>
        <v>20</v>
      </c>
      <c r="Y172" s="4">
        <f t="shared" si="198"/>
        <v>0.23076923076923078</v>
      </c>
      <c r="Z172" s="4">
        <f t="shared" si="199"/>
        <v>0.16666666666666666</v>
      </c>
      <c r="AA172" s="4">
        <f t="shared" si="200"/>
        <v>0.66666666666666663</v>
      </c>
      <c r="AB172" s="4">
        <f>IFERROR(tbl_główna_GRACZE[[#This Row],[2pm]]/tbl_główna_GRACZE[[#This Row],[2pa]],0)</f>
        <v>0.2857142857142857</v>
      </c>
      <c r="AC172" s="4">
        <f t="shared" si="201"/>
        <v>0.38325471698113206</v>
      </c>
      <c r="AD172" s="4">
        <f t="shared" si="202"/>
        <v>0.26923076923076922</v>
      </c>
      <c r="AE172" s="11">
        <f t="shared" si="203"/>
        <v>28</v>
      </c>
      <c r="AF172" s="4">
        <f t="shared" si="204"/>
        <v>0.69230769230769229</v>
      </c>
      <c r="AG172" s="4">
        <f t="shared" si="205"/>
        <v>0.46153846153846156</v>
      </c>
      <c r="AH17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0.17996604414261461</v>
      </c>
      <c r="AI172" s="25">
        <f>tbl_główna_GRACZE[[#This Row],[pts]]*(40/tbl_główna_GRACZE[[#This Row],[min]])</f>
        <v>17.931034482758623</v>
      </c>
      <c r="AJ172" s="30">
        <f>tbl_główna_GRACZE[[#This Row],[reb total]]*(40/tbl_główna_GRACZE[[#This Row],[min]])</f>
        <v>27.586206896551726</v>
      </c>
      <c r="AK172" s="30">
        <f>tbl_główna_GRACZE[[#This Row],[asst]]*(40/tbl_główna_GRACZE[[#This Row],[min]])</f>
        <v>2.7586206896551726</v>
      </c>
      <c r="AL172" s="5">
        <f t="shared" si="206"/>
        <v>1</v>
      </c>
      <c r="AM172" s="5">
        <f>(tbl_główna_GRACZE[[#This Row],[stl]]+tbl_główna_GRACZE[[#This Row],[blk]])*(40/tbl_główna_GRACZE[[#This Row],[min]])</f>
        <v>8.2758620689655178</v>
      </c>
      <c r="AN17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</v>
      </c>
      <c r="AO172" s="25">
        <f>tbl_główna_GRACZE[[#This Row],[stl]]+tbl_główna_GRACZE[[#This Row],[blk]]+(tbl_główna_GRACZE[[#This Row],[dreb]]*0.5)</f>
        <v>12.5</v>
      </c>
      <c r="AP172" s="29">
        <f>(tbl_główna_GRACZE[[#This Row],[stl]]+tbl_główna_GRACZE[[#This Row],[blk]]+0.5*tbl_główna_GRACZE[[#This Row],[dreb]])/tbl_główna_GRACZE[[#This Row],[min]]</f>
        <v>0.43103448275862066</v>
      </c>
      <c r="AQ172" s="6">
        <f t="shared" si="207"/>
        <v>19.499999999999996</v>
      </c>
      <c r="AR172" s="6">
        <f>tbl_główna_GRACZE[[#This Row],[GmSc]]*(40/tbl_główna_GRACZE[[#This Row],[min]])</f>
        <v>26.896551724137929</v>
      </c>
      <c r="AS172" s="6">
        <f>tbl_główna_GRACZE[[#This Row],[EVAL]]*(40/tbl_główna_GRACZE[[#This Row],[min]])</f>
        <v>38.620689655172413</v>
      </c>
      <c r="AT172" s="11">
        <f>tbl_główna_GRACZE[[#This Row],[fgm]]-tbl_główna_GRACZE[[#This Row],[3pm]]</f>
        <v>2</v>
      </c>
      <c r="AU172" s="11">
        <f>tbl_główna_GRACZE[[#This Row],[fga]]-tbl_główna_GRACZE[[#This Row],[3pa]]</f>
        <v>7</v>
      </c>
      <c r="AV172">
        <f>IF(tbl_główna_GRACZE[[#This Row],[min]]&gt;0,1,0)</f>
        <v>1</v>
      </c>
      <c r="AW172" s="58" t="str">
        <f>tbl_główna_GRACZE[[#This Row],[I. Nazwisko]]</f>
        <v>T. Gortat</v>
      </c>
    </row>
    <row r="173" spans="1:49" x14ac:dyDescent="0.35">
      <c r="A173" t="s">
        <v>48</v>
      </c>
      <c r="B173" t="s">
        <v>50</v>
      </c>
      <c r="C173" t="s">
        <v>57</v>
      </c>
      <c r="D173" t="str">
        <f>IF(C173="H",VLOOKUP($A173,tab_nazwy_zespołów[],2,0)&amp;VLOOKUP($B173,tab_nazwy_zespołów[],2,0),VLOOKUP($B173,tab_nazwy_zespołów[],2,0)&amp;VLOOKUP($A173,tab_nazwy_zespołów[],2,0))</f>
        <v>ŁODKON</v>
      </c>
      <c r="E173">
        <v>4</v>
      </c>
      <c r="F173">
        <f>COUNTIF(tbl_zawodnicy_sumy[I. Nazwisko],tbl_główna_GRACZE[[#This Row],[I. Nazwisko]])</f>
        <v>1</v>
      </c>
      <c r="G173" s="58" t="str">
        <f>RIGHT(tbl_główna_GRACZE[[#This Row],[Kolumna1]],LEN(tbl_główna_GRACZE[[#This Row],[Kolumna1]])-FIND(" ",tbl_główna_GRACZE[[#This Row],[Kolumna1]]))</f>
        <v>F. Siemiątkowski</v>
      </c>
      <c r="H173" s="2" t="s">
        <v>388</v>
      </c>
      <c r="I173" s="10">
        <v>5</v>
      </c>
      <c r="J173" s="10">
        <v>16</v>
      </c>
      <c r="K173" s="10">
        <v>1</v>
      </c>
      <c r="L173" s="10">
        <v>4</v>
      </c>
      <c r="M173" s="10">
        <v>1</v>
      </c>
      <c r="N173" s="10">
        <v>2</v>
      </c>
      <c r="O173" s="10">
        <v>2</v>
      </c>
      <c r="P173" s="10">
        <v>2</v>
      </c>
      <c r="Q173" s="10">
        <v>0</v>
      </c>
      <c r="R173" s="10">
        <v>2</v>
      </c>
      <c r="S173" s="10">
        <v>0</v>
      </c>
      <c r="T173" s="10">
        <v>0</v>
      </c>
      <c r="U173" s="10">
        <v>0</v>
      </c>
      <c r="V173" s="10">
        <v>33</v>
      </c>
      <c r="W173" s="10">
        <v>12</v>
      </c>
      <c r="X173" s="57">
        <f t="shared" si="197"/>
        <v>4</v>
      </c>
      <c r="Y173" s="4">
        <f t="shared" si="198"/>
        <v>0.3125</v>
      </c>
      <c r="Z173" s="4">
        <f t="shared" si="199"/>
        <v>0.25</v>
      </c>
      <c r="AA173" s="4">
        <f t="shared" si="200"/>
        <v>0.5</v>
      </c>
      <c r="AB173" s="4">
        <f>IFERROR(tbl_główna_GRACZE[[#This Row],[2pm]]/tbl_główna_GRACZE[[#This Row],[2pa]],0)</f>
        <v>0.33333333333333331</v>
      </c>
      <c r="AC173" s="4">
        <f t="shared" si="201"/>
        <v>0.35545023696682465</v>
      </c>
      <c r="AD173" s="4">
        <f t="shared" si="202"/>
        <v>0.34375</v>
      </c>
      <c r="AE173" s="11">
        <f t="shared" si="203"/>
        <v>6</v>
      </c>
      <c r="AF173" s="4">
        <f t="shared" si="204"/>
        <v>0.125</v>
      </c>
      <c r="AG173" s="4">
        <f t="shared" si="205"/>
        <v>0.25</v>
      </c>
      <c r="AH17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0.17911714770797962</v>
      </c>
      <c r="AI173" s="25">
        <f>tbl_główna_GRACZE[[#This Row],[pts]]*(40/tbl_główna_GRACZE[[#This Row],[min]])</f>
        <v>14.545454545454547</v>
      </c>
      <c r="AJ173" s="30">
        <f>tbl_główna_GRACZE[[#This Row],[reb total]]*(40/tbl_główna_GRACZE[[#This Row],[min]])</f>
        <v>4.8484848484848486</v>
      </c>
      <c r="AK173" s="30">
        <f>tbl_główna_GRACZE[[#This Row],[asst]]*(40/tbl_główna_GRACZE[[#This Row],[min]])</f>
        <v>0</v>
      </c>
      <c r="AL173" s="5">
        <f t="shared" si="206"/>
        <v>0.75</v>
      </c>
      <c r="AM173" s="5">
        <f>(tbl_główna_GRACZE[[#This Row],[stl]]+tbl_główna_GRACZE[[#This Row],[blk]])*(40/tbl_główna_GRACZE[[#This Row],[min]])</f>
        <v>2.4242424242424243</v>
      </c>
      <c r="AN17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173" s="25">
        <f>tbl_główna_GRACZE[[#This Row],[stl]]+tbl_główna_GRACZE[[#This Row],[blk]]+(tbl_główna_GRACZE[[#This Row],[dreb]]*0.5)</f>
        <v>3</v>
      </c>
      <c r="AP173" s="29">
        <f>(tbl_główna_GRACZE[[#This Row],[stl]]+tbl_główna_GRACZE[[#This Row],[blk]]+0.5*tbl_główna_GRACZE[[#This Row],[dreb]])/tbl_główna_GRACZE[[#This Row],[min]]</f>
        <v>9.0909090909090912E-2</v>
      </c>
      <c r="AQ173" s="6">
        <f t="shared" si="207"/>
        <v>6.4</v>
      </c>
      <c r="AR173" s="6">
        <f>tbl_główna_GRACZE[[#This Row],[GmSc]]*(40/tbl_główna_GRACZE[[#This Row],[min]])</f>
        <v>7.7575757575757578</v>
      </c>
      <c r="AS173" s="6">
        <f>tbl_główna_GRACZE[[#This Row],[EVAL]]*(40/tbl_główna_GRACZE[[#This Row],[min]])</f>
        <v>7.2727272727272734</v>
      </c>
      <c r="AT173" s="11">
        <f>tbl_główna_GRACZE[[#This Row],[fgm]]-tbl_główna_GRACZE[[#This Row],[3pm]]</f>
        <v>4</v>
      </c>
      <c r="AU173" s="11">
        <f>tbl_główna_GRACZE[[#This Row],[fga]]-tbl_główna_GRACZE[[#This Row],[3pa]]</f>
        <v>12</v>
      </c>
      <c r="AV173">
        <f>IF(tbl_główna_GRACZE[[#This Row],[min]]&gt;0,1,0)</f>
        <v>1</v>
      </c>
      <c r="AW173" s="58" t="str">
        <f>tbl_główna_GRACZE[[#This Row],[I. Nazwisko]]</f>
        <v>F. Siemiątkowski</v>
      </c>
    </row>
    <row r="174" spans="1:49" x14ac:dyDescent="0.35">
      <c r="A174" t="s">
        <v>48</v>
      </c>
      <c r="B174" t="s">
        <v>50</v>
      </c>
      <c r="C174" t="s">
        <v>57</v>
      </c>
      <c r="D174" t="str">
        <f>IF(C174="H",VLOOKUP($A174,tab_nazwy_zespołów[],2,0)&amp;VLOOKUP($B174,tab_nazwy_zespołów[],2,0),VLOOKUP($B174,tab_nazwy_zespołów[],2,0)&amp;VLOOKUP($A174,tab_nazwy_zespołów[],2,0))</f>
        <v>ŁODKON</v>
      </c>
      <c r="E174">
        <v>4</v>
      </c>
      <c r="F174">
        <f>COUNTIF(tbl_zawodnicy_sumy[I. Nazwisko],tbl_główna_GRACZE[[#This Row],[I. Nazwisko]])</f>
        <v>1</v>
      </c>
      <c r="G174" s="58" t="str">
        <f>RIGHT(tbl_główna_GRACZE[[#This Row],[Kolumna1]],LEN(tbl_główna_GRACZE[[#This Row],[Kolumna1]])-FIND(" ",tbl_główna_GRACZE[[#This Row],[Kolumna1]]))</f>
        <v>M. Leśniak</v>
      </c>
      <c r="H174" s="2" t="s">
        <v>80</v>
      </c>
      <c r="I174" s="10">
        <v>4</v>
      </c>
      <c r="J174" s="10">
        <v>16</v>
      </c>
      <c r="K174" s="10">
        <v>2</v>
      </c>
      <c r="L174" s="10">
        <v>11</v>
      </c>
      <c r="M174" s="10">
        <v>0</v>
      </c>
      <c r="N174" s="10">
        <v>0</v>
      </c>
      <c r="O174" s="10">
        <v>1</v>
      </c>
      <c r="P174" s="10">
        <v>6</v>
      </c>
      <c r="Q174" s="10">
        <v>2</v>
      </c>
      <c r="R174" s="10">
        <v>3</v>
      </c>
      <c r="S174" s="10">
        <v>0</v>
      </c>
      <c r="T174" s="10">
        <v>1</v>
      </c>
      <c r="U174" s="10">
        <v>2</v>
      </c>
      <c r="V174" s="10">
        <v>36</v>
      </c>
      <c r="W174" s="10">
        <v>10</v>
      </c>
      <c r="X174" s="57">
        <f t="shared" si="197"/>
        <v>7</v>
      </c>
      <c r="Y174" s="4">
        <f t="shared" si="198"/>
        <v>0.25</v>
      </c>
      <c r="Z174" s="4">
        <f t="shared" si="199"/>
        <v>0.18181818181818182</v>
      </c>
      <c r="AA174" s="4">
        <f t="shared" si="200"/>
        <v>0</v>
      </c>
      <c r="AB174" s="4">
        <f>IFERROR(tbl_główna_GRACZE[[#This Row],[2pm]]/tbl_główna_GRACZE[[#This Row],[2pa]],0)</f>
        <v>0.4</v>
      </c>
      <c r="AC174" s="4">
        <f t="shared" si="201"/>
        <v>0.3125</v>
      </c>
      <c r="AD174" s="4">
        <f t="shared" si="202"/>
        <v>0.3125</v>
      </c>
      <c r="AE174" s="11">
        <f t="shared" si="203"/>
        <v>11</v>
      </c>
      <c r="AF174" s="4">
        <f t="shared" si="204"/>
        <v>0</v>
      </c>
      <c r="AG174" s="4">
        <f t="shared" si="205"/>
        <v>0.6875</v>
      </c>
      <c r="AH17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0.16977928692699493</v>
      </c>
      <c r="AI174" s="25">
        <f>tbl_główna_GRACZE[[#This Row],[pts]]*(40/tbl_główna_GRACZE[[#This Row],[min]])</f>
        <v>11.111111111111111</v>
      </c>
      <c r="AJ174" s="30">
        <f>tbl_główna_GRACZE[[#This Row],[reb total]]*(40/tbl_główna_GRACZE[[#This Row],[min]])</f>
        <v>7.7777777777777786</v>
      </c>
      <c r="AK174" s="30">
        <f>tbl_główna_GRACZE[[#This Row],[asst]]*(40/tbl_główna_GRACZE[[#This Row],[min]])</f>
        <v>2.2222222222222223</v>
      </c>
      <c r="AL174" s="5">
        <f t="shared" si="206"/>
        <v>0.625</v>
      </c>
      <c r="AM174" s="5">
        <f>(tbl_główna_GRACZE[[#This Row],[stl]]+tbl_główna_GRACZE[[#This Row],[blk]])*(40/tbl_główna_GRACZE[[#This Row],[min]])</f>
        <v>4.4444444444444446</v>
      </c>
      <c r="AN17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74" s="25">
        <f>tbl_główna_GRACZE[[#This Row],[stl]]+tbl_główna_GRACZE[[#This Row],[blk]]+(tbl_główna_GRACZE[[#This Row],[dreb]]*0.5)</f>
        <v>7</v>
      </c>
      <c r="AP174" s="29">
        <f>(tbl_główna_GRACZE[[#This Row],[stl]]+tbl_główna_GRACZE[[#This Row],[blk]]+0.5*tbl_główna_GRACZE[[#This Row],[dreb]])/tbl_główna_GRACZE[[#This Row],[min]]</f>
        <v>0.19444444444444445</v>
      </c>
      <c r="AQ174" s="6">
        <f t="shared" si="207"/>
        <v>8</v>
      </c>
      <c r="AR174" s="6">
        <f>tbl_główna_GRACZE[[#This Row],[GmSc]]*(40/tbl_główna_GRACZE[[#This Row],[min]])</f>
        <v>8.8888888888888893</v>
      </c>
      <c r="AS174" s="6">
        <f>tbl_główna_GRACZE[[#This Row],[EVAL]]*(40/tbl_główna_GRACZE[[#This Row],[min]])</f>
        <v>12.222222222222223</v>
      </c>
      <c r="AT174" s="11">
        <f>tbl_główna_GRACZE[[#This Row],[fgm]]-tbl_główna_GRACZE[[#This Row],[3pm]]</f>
        <v>2</v>
      </c>
      <c r="AU174" s="11">
        <f>tbl_główna_GRACZE[[#This Row],[fga]]-tbl_główna_GRACZE[[#This Row],[3pa]]</f>
        <v>5</v>
      </c>
      <c r="AV174">
        <f>IF(tbl_główna_GRACZE[[#This Row],[min]]&gt;0,1,0)</f>
        <v>1</v>
      </c>
      <c r="AW174" s="58" t="str">
        <f>tbl_główna_GRACZE[[#This Row],[I. Nazwisko]]</f>
        <v>M. Leśniak</v>
      </c>
    </row>
    <row r="175" spans="1:49" x14ac:dyDescent="0.35">
      <c r="A175" t="s">
        <v>48</v>
      </c>
      <c r="B175" t="s">
        <v>50</v>
      </c>
      <c r="C175" t="s">
        <v>57</v>
      </c>
      <c r="D175" t="str">
        <f>IF(C175="H",VLOOKUP($A175,tab_nazwy_zespołów[],2,0)&amp;VLOOKUP($B175,tab_nazwy_zespołów[],2,0),VLOOKUP($B175,tab_nazwy_zespołów[],2,0)&amp;VLOOKUP($A175,tab_nazwy_zespołów[],2,0))</f>
        <v>ŁODKON</v>
      </c>
      <c r="E175">
        <v>4</v>
      </c>
      <c r="F175">
        <f>COUNTIF(tbl_zawodnicy_sumy[I. Nazwisko],tbl_główna_GRACZE[[#This Row],[I. Nazwisko]])</f>
        <v>1</v>
      </c>
      <c r="G175" s="58" t="str">
        <f>RIGHT(tbl_główna_GRACZE[[#This Row],[Kolumna1]],LEN(tbl_główna_GRACZE[[#This Row],[Kolumna1]])-FIND(" ",tbl_główna_GRACZE[[#This Row],[Kolumna1]]))</f>
        <v>T. Prażmowski</v>
      </c>
      <c r="H175" s="2" t="s">
        <v>79</v>
      </c>
      <c r="I175" s="10">
        <v>4</v>
      </c>
      <c r="J175" s="10">
        <v>11</v>
      </c>
      <c r="K175" s="10">
        <v>0</v>
      </c>
      <c r="L175" s="10">
        <v>2</v>
      </c>
      <c r="M175" s="10">
        <v>0</v>
      </c>
      <c r="N175" s="10">
        <v>0</v>
      </c>
      <c r="O175" s="10">
        <v>1</v>
      </c>
      <c r="P175" s="10">
        <v>5</v>
      </c>
      <c r="Q175" s="10">
        <v>0</v>
      </c>
      <c r="R175" s="10">
        <v>1</v>
      </c>
      <c r="S175" s="10">
        <v>0</v>
      </c>
      <c r="T175" s="10">
        <v>0</v>
      </c>
      <c r="U175" s="10">
        <v>1</v>
      </c>
      <c r="V175" s="10">
        <v>22</v>
      </c>
      <c r="W175" s="10">
        <v>8</v>
      </c>
      <c r="X175" s="57">
        <f t="shared" si="197"/>
        <v>6</v>
      </c>
      <c r="Y175" s="4">
        <f t="shared" si="198"/>
        <v>0.36363636363636365</v>
      </c>
      <c r="Z175" s="4">
        <f t="shared" si="199"/>
        <v>0</v>
      </c>
      <c r="AA175" s="4">
        <f t="shared" si="200"/>
        <v>0</v>
      </c>
      <c r="AB175" s="4">
        <f>IFERROR(tbl_główna_GRACZE[[#This Row],[2pm]]/tbl_główna_GRACZE[[#This Row],[2pa]],0)</f>
        <v>0.44444444444444442</v>
      </c>
      <c r="AC175" s="4">
        <f t="shared" si="201"/>
        <v>0.36363636363636365</v>
      </c>
      <c r="AD175" s="4">
        <f t="shared" si="202"/>
        <v>0.36363636363636365</v>
      </c>
      <c r="AE175" s="11">
        <f t="shared" si="203"/>
        <v>9</v>
      </c>
      <c r="AF175" s="4">
        <f t="shared" si="204"/>
        <v>0</v>
      </c>
      <c r="AG175" s="4">
        <f t="shared" si="205"/>
        <v>0.18181818181818182</v>
      </c>
      <c r="AH17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0.116723259762309</v>
      </c>
      <c r="AI175" s="25">
        <f>tbl_główna_GRACZE[[#This Row],[pts]]*(40/tbl_główna_GRACZE[[#This Row],[min]])</f>
        <v>14.545454545454545</v>
      </c>
      <c r="AJ175" s="30">
        <f>tbl_główna_GRACZE[[#This Row],[reb total]]*(40/tbl_główna_GRACZE[[#This Row],[min]])</f>
        <v>10.909090909090908</v>
      </c>
      <c r="AK175" s="30">
        <f>tbl_główna_GRACZE[[#This Row],[asst]]*(40/tbl_główna_GRACZE[[#This Row],[min]])</f>
        <v>1.8181818181818181</v>
      </c>
      <c r="AL175" s="5">
        <f t="shared" si="206"/>
        <v>0.72727272727272729</v>
      </c>
      <c r="AM175" s="5">
        <f>(tbl_główna_GRACZE[[#This Row],[stl]]+tbl_główna_GRACZE[[#This Row],[blk]])*(40/tbl_główna_GRACZE[[#This Row],[min]])</f>
        <v>1.8181818181818181</v>
      </c>
      <c r="AN17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0.05</v>
      </c>
      <c r="AO175" s="25">
        <f>tbl_główna_GRACZE[[#This Row],[stl]]+tbl_główna_GRACZE[[#This Row],[blk]]+(tbl_główna_GRACZE[[#This Row],[dreb]]*0.5)</f>
        <v>3.5</v>
      </c>
      <c r="AP175" s="29">
        <f>(tbl_główna_GRACZE[[#This Row],[stl]]+tbl_główna_GRACZE[[#This Row],[blk]]+0.5*tbl_główna_GRACZE[[#This Row],[dreb]])/tbl_główna_GRACZE[[#This Row],[min]]</f>
        <v>0.15909090909090909</v>
      </c>
      <c r="AQ175" s="6">
        <f t="shared" si="207"/>
        <v>5.8000000000000007</v>
      </c>
      <c r="AR175" s="6">
        <f>tbl_główna_GRACZE[[#This Row],[GmSc]]*(40/tbl_główna_GRACZE[[#This Row],[min]])</f>
        <v>10.545454545454547</v>
      </c>
      <c r="AS175" s="6">
        <f>tbl_główna_GRACZE[[#This Row],[EVAL]]*(40/tbl_główna_GRACZE[[#This Row],[min]])</f>
        <v>16.363636363636363</v>
      </c>
      <c r="AT175" s="11">
        <f>tbl_główna_GRACZE[[#This Row],[fgm]]-tbl_główna_GRACZE[[#This Row],[3pm]]</f>
        <v>4</v>
      </c>
      <c r="AU175" s="11">
        <f>tbl_główna_GRACZE[[#This Row],[fga]]-tbl_główna_GRACZE[[#This Row],[3pa]]</f>
        <v>9</v>
      </c>
      <c r="AV175">
        <f>IF(tbl_główna_GRACZE[[#This Row],[min]]&gt;0,1,0)</f>
        <v>1</v>
      </c>
      <c r="AW175" s="58" t="str">
        <f>tbl_główna_GRACZE[[#This Row],[I. Nazwisko]]</f>
        <v>T. Prażmowski</v>
      </c>
    </row>
    <row r="176" spans="1:49" x14ac:dyDescent="0.35">
      <c r="A176" t="s">
        <v>48</v>
      </c>
      <c r="B176" t="s">
        <v>50</v>
      </c>
      <c r="C176" t="s">
        <v>57</v>
      </c>
      <c r="D176" t="str">
        <f>IF(C176="H",VLOOKUP($A176,tab_nazwy_zespołów[],2,0)&amp;VLOOKUP($B176,tab_nazwy_zespołów[],2,0),VLOOKUP($B176,tab_nazwy_zespołów[],2,0)&amp;VLOOKUP($A176,tab_nazwy_zespołów[],2,0))</f>
        <v>ŁODKON</v>
      </c>
      <c r="E176">
        <v>4</v>
      </c>
      <c r="F176">
        <f>COUNTIF(tbl_zawodnicy_sumy[I. Nazwisko],tbl_główna_GRACZE[[#This Row],[I. Nazwisko]])</f>
        <v>1</v>
      </c>
      <c r="G176" s="58" t="str">
        <f>RIGHT(tbl_główna_GRACZE[[#This Row],[Kolumna1]],LEN(tbl_główna_GRACZE[[#This Row],[Kolumna1]])-FIND(" ",tbl_główna_GRACZE[[#This Row],[Kolumna1]]))</f>
        <v>F. Gąsiorowski</v>
      </c>
      <c r="H176" s="2" t="s">
        <v>78</v>
      </c>
      <c r="I176" s="10">
        <v>0</v>
      </c>
      <c r="J176" s="10">
        <v>9</v>
      </c>
      <c r="K176" s="10">
        <v>0</v>
      </c>
      <c r="L176" s="10">
        <v>4</v>
      </c>
      <c r="M176" s="10">
        <v>1</v>
      </c>
      <c r="N176" s="10">
        <v>4</v>
      </c>
      <c r="O176" s="10">
        <v>2</v>
      </c>
      <c r="P176" s="10">
        <v>2</v>
      </c>
      <c r="Q176" s="10">
        <v>0</v>
      </c>
      <c r="R176" s="10">
        <v>2</v>
      </c>
      <c r="S176" s="10">
        <v>0</v>
      </c>
      <c r="T176" s="10">
        <v>0</v>
      </c>
      <c r="U176" s="10">
        <v>1</v>
      </c>
      <c r="V176" s="10">
        <v>25</v>
      </c>
      <c r="W176" s="10">
        <v>1</v>
      </c>
      <c r="X176" s="57">
        <f t="shared" si="197"/>
        <v>4</v>
      </c>
      <c r="Y176" s="4">
        <f t="shared" si="198"/>
        <v>0</v>
      </c>
      <c r="Z176" s="4">
        <f t="shared" si="199"/>
        <v>0</v>
      </c>
      <c r="AA176" s="4">
        <f t="shared" si="200"/>
        <v>0.25</v>
      </c>
      <c r="AB176" s="4">
        <f>IFERROR(tbl_główna_GRACZE[[#This Row],[2pm]]/tbl_główna_GRACZE[[#This Row],[2pa]],0)</f>
        <v>0</v>
      </c>
      <c r="AC176" s="4">
        <f t="shared" si="201"/>
        <v>4.6468401486988851E-2</v>
      </c>
      <c r="AD176" s="4">
        <f t="shared" si="202"/>
        <v>0</v>
      </c>
      <c r="AE176" s="11">
        <f t="shared" si="203"/>
        <v>-4</v>
      </c>
      <c r="AF176" s="4">
        <f t="shared" si="204"/>
        <v>0.44444444444444442</v>
      </c>
      <c r="AG176" s="4">
        <f t="shared" si="205"/>
        <v>0.44444444444444442</v>
      </c>
      <c r="AH17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0.11417657045840408</v>
      </c>
      <c r="AI176" s="25">
        <f>tbl_główna_GRACZE[[#This Row],[pts]]*(40/tbl_główna_GRACZE[[#This Row],[min]])</f>
        <v>1.6</v>
      </c>
      <c r="AJ176" s="30">
        <f>tbl_główna_GRACZE[[#This Row],[reb total]]*(40/tbl_główna_GRACZE[[#This Row],[min]])</f>
        <v>6.4</v>
      </c>
      <c r="AK176" s="30">
        <f>tbl_główna_GRACZE[[#This Row],[asst]]*(40/tbl_główna_GRACZE[[#This Row],[min]])</f>
        <v>1.6</v>
      </c>
      <c r="AL176" s="5">
        <f t="shared" si="206"/>
        <v>0.1111111111111111</v>
      </c>
      <c r="AM176" s="5">
        <f>(tbl_główna_GRACZE[[#This Row],[stl]]+tbl_główna_GRACZE[[#This Row],[blk]])*(40/tbl_główna_GRACZE[[#This Row],[min]])</f>
        <v>3.2</v>
      </c>
      <c r="AN17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176" s="25">
        <f>tbl_główna_GRACZE[[#This Row],[stl]]+tbl_główna_GRACZE[[#This Row],[blk]]+(tbl_główna_GRACZE[[#This Row],[dreb]]*0.5)</f>
        <v>3</v>
      </c>
      <c r="AP176" s="29">
        <f>(tbl_główna_GRACZE[[#This Row],[stl]]+tbl_główna_GRACZE[[#This Row],[blk]]+0.5*tbl_główna_GRACZE[[#This Row],[dreb]])/tbl_główna_GRACZE[[#This Row],[min]]</f>
        <v>0.12</v>
      </c>
      <c r="AQ176" s="6">
        <f t="shared" si="207"/>
        <v>-1.8</v>
      </c>
      <c r="AR176" s="6">
        <f>tbl_główna_GRACZE[[#This Row],[GmSc]]*(40/tbl_główna_GRACZE[[#This Row],[min]])</f>
        <v>-2.8800000000000003</v>
      </c>
      <c r="AS176" s="6">
        <f>tbl_główna_GRACZE[[#This Row],[EVAL]]*(40/tbl_główna_GRACZE[[#This Row],[min]])</f>
        <v>-6.4</v>
      </c>
      <c r="AT176" s="11">
        <f>tbl_główna_GRACZE[[#This Row],[fgm]]-tbl_główna_GRACZE[[#This Row],[3pm]]</f>
        <v>0</v>
      </c>
      <c r="AU176" s="11">
        <f>tbl_główna_GRACZE[[#This Row],[fga]]-tbl_główna_GRACZE[[#This Row],[3pa]]</f>
        <v>5</v>
      </c>
      <c r="AV176">
        <f>IF(tbl_główna_GRACZE[[#This Row],[min]]&gt;0,1,0)</f>
        <v>1</v>
      </c>
      <c r="AW176" s="58" t="str">
        <f>tbl_główna_GRACZE[[#This Row],[I. Nazwisko]]</f>
        <v>F. Gąsiorowski</v>
      </c>
    </row>
    <row r="177" spans="1:49" x14ac:dyDescent="0.35">
      <c r="A177" t="s">
        <v>48</v>
      </c>
      <c r="B177" t="s">
        <v>50</v>
      </c>
      <c r="C177" t="s">
        <v>57</v>
      </c>
      <c r="D177" t="str">
        <f>IF(C177="H",VLOOKUP($A177,tab_nazwy_zespołów[],2,0)&amp;VLOOKUP($B177,tab_nazwy_zespołów[],2,0),VLOOKUP($B177,tab_nazwy_zespołów[],2,0)&amp;VLOOKUP($A177,tab_nazwy_zespołów[],2,0))</f>
        <v>ŁODKON</v>
      </c>
      <c r="E177">
        <v>4</v>
      </c>
      <c r="F177">
        <f>COUNTIF(tbl_zawodnicy_sumy[I. Nazwisko],tbl_główna_GRACZE[[#This Row],[I. Nazwisko]])</f>
        <v>1</v>
      </c>
      <c r="G177" s="58" t="str">
        <f>RIGHT(tbl_główna_GRACZE[[#This Row],[Kolumna1]],LEN(tbl_główna_GRACZE[[#This Row],[Kolumna1]])-FIND(" ",tbl_główna_GRACZE[[#This Row],[Kolumna1]]))</f>
        <v>M. Bartosiewicz</v>
      </c>
      <c r="H177" s="2" t="s">
        <v>348</v>
      </c>
      <c r="I177" s="10">
        <v>0</v>
      </c>
      <c r="J177" s="10">
        <v>3</v>
      </c>
      <c r="K177" s="10">
        <v>0</v>
      </c>
      <c r="L177" s="10">
        <v>0</v>
      </c>
      <c r="M177" s="10">
        <v>0</v>
      </c>
      <c r="N177" s="10">
        <v>0</v>
      </c>
      <c r="O177" s="10">
        <v>1</v>
      </c>
      <c r="P177" s="10">
        <v>1</v>
      </c>
      <c r="Q177" s="10">
        <v>0</v>
      </c>
      <c r="R177" s="10">
        <v>1</v>
      </c>
      <c r="S177" s="10">
        <v>0</v>
      </c>
      <c r="T177" s="10">
        <v>0</v>
      </c>
      <c r="U177" s="10">
        <v>2</v>
      </c>
      <c r="V177" s="10">
        <v>19</v>
      </c>
      <c r="W177" s="10">
        <v>0</v>
      </c>
      <c r="X177" s="57">
        <f t="shared" si="197"/>
        <v>2</v>
      </c>
      <c r="Y177" s="4">
        <f t="shared" si="198"/>
        <v>0</v>
      </c>
      <c r="Z177" s="4">
        <f t="shared" si="199"/>
        <v>0</v>
      </c>
      <c r="AA177" s="4">
        <f t="shared" si="200"/>
        <v>0</v>
      </c>
      <c r="AB177" s="4">
        <f>IFERROR(tbl_główna_GRACZE[[#This Row],[2pm]]/tbl_główna_GRACZE[[#This Row],[2pa]],0)</f>
        <v>0</v>
      </c>
      <c r="AC177" s="4">
        <f t="shared" si="201"/>
        <v>0</v>
      </c>
      <c r="AD177" s="4">
        <f t="shared" si="202"/>
        <v>0</v>
      </c>
      <c r="AE177" s="11">
        <f t="shared" si="203"/>
        <v>2</v>
      </c>
      <c r="AF177" s="4">
        <f t="shared" si="204"/>
        <v>0</v>
      </c>
      <c r="AG177" s="4">
        <f t="shared" si="205"/>
        <v>0</v>
      </c>
      <c r="AH17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3.1833616298811547E-2</v>
      </c>
      <c r="AI177" s="25">
        <f>tbl_główna_GRACZE[[#This Row],[pts]]*(40/tbl_główna_GRACZE[[#This Row],[min]])</f>
        <v>0</v>
      </c>
      <c r="AJ177" s="30">
        <f>tbl_główna_GRACZE[[#This Row],[reb total]]*(40/tbl_główna_GRACZE[[#This Row],[min]])</f>
        <v>4.2105263157894735</v>
      </c>
      <c r="AK177" s="30">
        <f>tbl_główna_GRACZE[[#This Row],[asst]]*(40/tbl_główna_GRACZE[[#This Row],[min]])</f>
        <v>4.2105263157894735</v>
      </c>
      <c r="AL177" s="5">
        <f t="shared" si="206"/>
        <v>0</v>
      </c>
      <c r="AM177" s="5">
        <f>(tbl_główna_GRACZE[[#This Row],[stl]]+tbl_główna_GRACZE[[#This Row],[blk]])*(40/tbl_główna_GRACZE[[#This Row],[min]])</f>
        <v>2.1052631578947367</v>
      </c>
      <c r="AN17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0.05</v>
      </c>
      <c r="AO177" s="25">
        <f>tbl_główna_GRACZE[[#This Row],[stl]]+tbl_główna_GRACZE[[#This Row],[blk]]+(tbl_główna_GRACZE[[#This Row],[dreb]]*0.5)</f>
        <v>1.5</v>
      </c>
      <c r="AP177" s="29">
        <f>(tbl_główna_GRACZE[[#This Row],[stl]]+tbl_główna_GRACZE[[#This Row],[blk]]+0.5*tbl_główna_GRACZE[[#This Row],[dreb]])/tbl_główna_GRACZE[[#This Row],[min]]</f>
        <v>7.8947368421052627E-2</v>
      </c>
      <c r="AQ177" s="6">
        <f t="shared" si="207"/>
        <v>1.3000000000000003</v>
      </c>
      <c r="AR177" s="6">
        <f>tbl_główna_GRACZE[[#This Row],[GmSc]]*(40/tbl_główna_GRACZE[[#This Row],[min]])</f>
        <v>2.7368421052631584</v>
      </c>
      <c r="AS177" s="6">
        <f>tbl_główna_GRACZE[[#This Row],[EVAL]]*(40/tbl_główna_GRACZE[[#This Row],[min]])</f>
        <v>4.2105263157894735</v>
      </c>
      <c r="AT177" s="11">
        <f>tbl_główna_GRACZE[[#This Row],[fgm]]-tbl_główna_GRACZE[[#This Row],[3pm]]</f>
        <v>0</v>
      </c>
      <c r="AU177" s="11">
        <f>tbl_główna_GRACZE[[#This Row],[fga]]-tbl_główna_GRACZE[[#This Row],[3pa]]</f>
        <v>3</v>
      </c>
      <c r="AV177">
        <f>IF(tbl_główna_GRACZE[[#This Row],[min]]&gt;0,1,0)</f>
        <v>1</v>
      </c>
      <c r="AW177" s="58" t="str">
        <f>tbl_główna_GRACZE[[#This Row],[I. Nazwisko]]</f>
        <v>M. Bartosiewicz</v>
      </c>
    </row>
    <row r="178" spans="1:49" x14ac:dyDescent="0.35">
      <c r="A178" t="s">
        <v>50</v>
      </c>
      <c r="B178" t="s">
        <v>48</v>
      </c>
      <c r="C178" t="s">
        <v>58</v>
      </c>
      <c r="D178" t="str">
        <f>IF(C178="H",VLOOKUP($A178,tab_nazwy_zespołów[],2,0)&amp;VLOOKUP($B178,tab_nazwy_zespołów[],2,0),VLOOKUP($B178,tab_nazwy_zespołów[],2,0)&amp;VLOOKUP($A178,tab_nazwy_zespołów[],2,0))</f>
        <v>ŁODKON</v>
      </c>
      <c r="E178">
        <v>4</v>
      </c>
      <c r="F178">
        <f>COUNTIF(tbl_zawodnicy_sumy[I. Nazwisko],tbl_główna_GRACZE[[#This Row],[I. Nazwisko]])</f>
        <v>1</v>
      </c>
      <c r="G178" s="58" t="str">
        <f>RIGHT(tbl_główna_GRACZE[[#This Row],[Kolumna1]],LEN(tbl_główna_GRACZE[[#This Row],[Kolumna1]])-FIND(" ",tbl_główna_GRACZE[[#This Row],[Kolumna1]]))</f>
        <v>D. Hentosz</v>
      </c>
      <c r="H178" s="2" t="s">
        <v>84</v>
      </c>
      <c r="I178" s="10">
        <v>6</v>
      </c>
      <c r="J178" s="10">
        <v>14</v>
      </c>
      <c r="K178" s="10">
        <v>2</v>
      </c>
      <c r="L178" s="10">
        <v>4</v>
      </c>
      <c r="M178" s="10">
        <v>1</v>
      </c>
      <c r="N178" s="10">
        <v>1</v>
      </c>
      <c r="O178" s="10">
        <v>0</v>
      </c>
      <c r="P178" s="10">
        <v>13</v>
      </c>
      <c r="Q178" s="10">
        <v>5</v>
      </c>
      <c r="R178" s="10">
        <v>1</v>
      </c>
      <c r="S178" s="10">
        <v>0</v>
      </c>
      <c r="T178" s="10">
        <v>3</v>
      </c>
      <c r="U178" s="10">
        <v>4</v>
      </c>
      <c r="V178" s="10">
        <v>40</v>
      </c>
      <c r="W178" s="10">
        <v>15</v>
      </c>
      <c r="X178" s="57">
        <f t="shared" ref="X178:X182" si="208">O178+P178</f>
        <v>13</v>
      </c>
      <c r="Y178" s="4">
        <f t="shared" ref="Y178:Y182" si="209">I178/J178</f>
        <v>0.42857142857142855</v>
      </c>
      <c r="Z178" s="4">
        <f t="shared" ref="Z178:Z182" si="210">IFERROR(K178/L178,0)</f>
        <v>0.5</v>
      </c>
      <c r="AA178" s="4">
        <f t="shared" ref="AA178:AA182" si="211">IFERROR(M178/N178,0)</f>
        <v>1</v>
      </c>
      <c r="AB178" s="4">
        <f>IFERROR(tbl_główna_GRACZE[[#This Row],[2pm]]/tbl_główna_GRACZE[[#This Row],[2pa]],0)</f>
        <v>0.4</v>
      </c>
      <c r="AC178" s="4">
        <f t="shared" ref="AC178:AC182" si="212">W178/(2*(J178+0.44*N178))</f>
        <v>0.51939058171745156</v>
      </c>
      <c r="AD178" s="4">
        <f t="shared" ref="AD178:AD182" si="213">(I178+0.5*K178)/J178</f>
        <v>0.5</v>
      </c>
      <c r="AE178" s="11">
        <f t="shared" ref="AE178:AE182" si="214">R178+T178+U178+W178+X178-(J178-I178)-(N178-M178)</f>
        <v>28</v>
      </c>
      <c r="AF178" s="4">
        <f t="shared" ref="AF178:AF182" si="215">N178/J178</f>
        <v>7.1428571428571425E-2</v>
      </c>
      <c r="AG178" s="4">
        <f t="shared" ref="AG178:AG182" si="216">L178/J178</f>
        <v>0.2857142857142857</v>
      </c>
      <c r="AH17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0.20212765957446807</v>
      </c>
      <c r="AI178" s="25">
        <f>tbl_główna_GRACZE[[#This Row],[pts]]*(40/tbl_główna_GRACZE[[#This Row],[min]])</f>
        <v>15</v>
      </c>
      <c r="AJ178" s="30">
        <f>tbl_główna_GRACZE[[#This Row],[reb total]]*(40/tbl_główna_GRACZE[[#This Row],[min]])</f>
        <v>13</v>
      </c>
      <c r="AK178" s="30">
        <f>tbl_główna_GRACZE[[#This Row],[asst]]*(40/tbl_główna_GRACZE[[#This Row],[min]])</f>
        <v>4</v>
      </c>
      <c r="AL178" s="5">
        <f t="shared" ref="AL178:AL182" si="217">W178/J178</f>
        <v>1.0714285714285714</v>
      </c>
      <c r="AM178" s="5">
        <f>(tbl_główna_GRACZE[[#This Row],[stl]]+tbl_główna_GRACZE[[#This Row],[blk]])*(40/tbl_główna_GRACZE[[#This Row],[min]])</f>
        <v>4</v>
      </c>
      <c r="AN17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0.36363636363636365</v>
      </c>
      <c r="AO178" s="25">
        <f>tbl_główna_GRACZE[[#This Row],[stl]]+tbl_główna_GRACZE[[#This Row],[blk]]+(tbl_główna_GRACZE[[#This Row],[dreb]]*0.5)</f>
        <v>10.5</v>
      </c>
      <c r="AP178" s="29">
        <f>(tbl_główna_GRACZE[[#This Row],[stl]]+tbl_główna_GRACZE[[#This Row],[blk]]+0.5*tbl_główna_GRACZE[[#This Row],[dreb]])/tbl_główna_GRACZE[[#This Row],[min]]</f>
        <v>0.26250000000000001</v>
      </c>
      <c r="AQ178" s="6">
        <f t="shared" ref="AQ178:AQ182" si="218">W178+0.4*I178-0.7*J178-0.4*(N178-M178)+0.7*O178+0.3*P178+R178+0.7*U178+0.7*T178</f>
        <v>17.399999999999999</v>
      </c>
      <c r="AR178" s="6">
        <f>tbl_główna_GRACZE[[#This Row],[GmSc]]*(40/tbl_główna_GRACZE[[#This Row],[min]])</f>
        <v>17.399999999999999</v>
      </c>
      <c r="AS178" s="6">
        <f>tbl_główna_GRACZE[[#This Row],[EVAL]]*(40/tbl_główna_GRACZE[[#This Row],[min]])</f>
        <v>28</v>
      </c>
      <c r="AT178" s="11">
        <f>tbl_główna_GRACZE[[#This Row],[fgm]]-tbl_główna_GRACZE[[#This Row],[3pm]]</f>
        <v>4</v>
      </c>
      <c r="AU178" s="11">
        <f>tbl_główna_GRACZE[[#This Row],[fga]]-tbl_główna_GRACZE[[#This Row],[3pa]]</f>
        <v>10</v>
      </c>
      <c r="AV178">
        <f>IF(tbl_główna_GRACZE[[#This Row],[min]]&gt;0,1,0)</f>
        <v>1</v>
      </c>
      <c r="AW178" s="58" t="str">
        <f>tbl_główna_GRACZE[[#This Row],[I. Nazwisko]]</f>
        <v>D. Hentosz</v>
      </c>
    </row>
    <row r="179" spans="1:49" x14ac:dyDescent="0.35">
      <c r="A179" t="s">
        <v>50</v>
      </c>
      <c r="B179" t="s">
        <v>48</v>
      </c>
      <c r="C179" t="s">
        <v>58</v>
      </c>
      <c r="D179" t="str">
        <f>IF(C179="H",VLOOKUP($A179,tab_nazwy_zespołów[],2,0)&amp;VLOOKUP($B179,tab_nazwy_zespołów[],2,0),VLOOKUP($B179,tab_nazwy_zespołów[],2,0)&amp;VLOOKUP($A179,tab_nazwy_zespołów[],2,0))</f>
        <v>ŁODKON</v>
      </c>
      <c r="E179">
        <v>4</v>
      </c>
      <c r="F179">
        <f>COUNTIF(tbl_zawodnicy_sumy[I. Nazwisko],tbl_główna_GRACZE[[#This Row],[I. Nazwisko]])</f>
        <v>1</v>
      </c>
      <c r="G179" s="58" t="str">
        <f>RIGHT(tbl_główna_GRACZE[[#This Row],[Kolumna1]],LEN(tbl_główna_GRACZE[[#This Row],[Kolumna1]])-FIND(" ",tbl_główna_GRACZE[[#This Row],[Kolumna1]]))</f>
        <v>L. Prokopczuk</v>
      </c>
      <c r="H179" s="2" t="s">
        <v>327</v>
      </c>
      <c r="I179" s="10">
        <v>4</v>
      </c>
      <c r="J179" s="10">
        <v>10</v>
      </c>
      <c r="K179" s="10">
        <v>4</v>
      </c>
      <c r="L179" s="10">
        <v>7</v>
      </c>
      <c r="M179" s="10">
        <v>0</v>
      </c>
      <c r="N179" s="10">
        <v>0</v>
      </c>
      <c r="O179" s="10">
        <v>1</v>
      </c>
      <c r="P179" s="10">
        <v>15</v>
      </c>
      <c r="Q179" s="10">
        <v>3</v>
      </c>
      <c r="R179" s="10">
        <v>2</v>
      </c>
      <c r="S179" s="10">
        <v>0</v>
      </c>
      <c r="T179" s="10">
        <v>0</v>
      </c>
      <c r="U179" s="10">
        <v>3</v>
      </c>
      <c r="V179" s="10">
        <v>40</v>
      </c>
      <c r="W179" s="10">
        <v>12</v>
      </c>
      <c r="X179" s="57">
        <f t="shared" si="208"/>
        <v>16</v>
      </c>
      <c r="Y179" s="4">
        <f t="shared" si="209"/>
        <v>0.4</v>
      </c>
      <c r="Z179" s="4">
        <f t="shared" si="210"/>
        <v>0.5714285714285714</v>
      </c>
      <c r="AA179" s="4">
        <f t="shared" si="211"/>
        <v>0</v>
      </c>
      <c r="AB179" s="4">
        <f>IFERROR(tbl_główna_GRACZE[[#This Row],[2pm]]/tbl_główna_GRACZE[[#This Row],[2pa]],0)</f>
        <v>0</v>
      </c>
      <c r="AC179" s="4">
        <f t="shared" si="212"/>
        <v>0.6</v>
      </c>
      <c r="AD179" s="4">
        <f t="shared" si="213"/>
        <v>0.6</v>
      </c>
      <c r="AE179" s="11">
        <f t="shared" si="214"/>
        <v>27</v>
      </c>
      <c r="AF179" s="4">
        <f t="shared" si="215"/>
        <v>0</v>
      </c>
      <c r="AG179" s="4">
        <f t="shared" si="216"/>
        <v>0.7</v>
      </c>
      <c r="AH17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0.13997760358342665</v>
      </c>
      <c r="AI179" s="25">
        <f>tbl_główna_GRACZE[[#This Row],[pts]]*(40/tbl_główna_GRACZE[[#This Row],[min]])</f>
        <v>12</v>
      </c>
      <c r="AJ179" s="30">
        <f>tbl_główna_GRACZE[[#This Row],[reb total]]*(40/tbl_główna_GRACZE[[#This Row],[min]])</f>
        <v>16</v>
      </c>
      <c r="AK179" s="30">
        <f>tbl_główna_GRACZE[[#This Row],[asst]]*(40/tbl_główna_GRACZE[[#This Row],[min]])</f>
        <v>3</v>
      </c>
      <c r="AL179" s="5">
        <f t="shared" si="217"/>
        <v>1.2</v>
      </c>
      <c r="AM179" s="5">
        <f>(tbl_główna_GRACZE[[#This Row],[stl]]+tbl_główna_GRACZE[[#This Row],[blk]])*(40/tbl_główna_GRACZE[[#This Row],[min]])</f>
        <v>2</v>
      </c>
      <c r="AN17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0.18181818181818182</v>
      </c>
      <c r="AO179" s="25">
        <f>tbl_główna_GRACZE[[#This Row],[stl]]+tbl_główna_GRACZE[[#This Row],[blk]]+(tbl_główna_GRACZE[[#This Row],[dreb]]*0.5)</f>
        <v>9.5</v>
      </c>
      <c r="AP179" s="29">
        <f>(tbl_główna_GRACZE[[#This Row],[stl]]+tbl_główna_GRACZE[[#This Row],[blk]]+0.5*tbl_główna_GRACZE[[#This Row],[dreb]])/tbl_główna_GRACZE[[#This Row],[min]]</f>
        <v>0.23749999999999999</v>
      </c>
      <c r="AQ179" s="6">
        <f t="shared" si="218"/>
        <v>15.9</v>
      </c>
      <c r="AR179" s="6">
        <f>tbl_główna_GRACZE[[#This Row],[GmSc]]*(40/tbl_główna_GRACZE[[#This Row],[min]])</f>
        <v>15.9</v>
      </c>
      <c r="AS179" s="6">
        <f>tbl_główna_GRACZE[[#This Row],[EVAL]]*(40/tbl_główna_GRACZE[[#This Row],[min]])</f>
        <v>27</v>
      </c>
      <c r="AT179" s="11">
        <f>tbl_główna_GRACZE[[#This Row],[fgm]]-tbl_główna_GRACZE[[#This Row],[3pm]]</f>
        <v>0</v>
      </c>
      <c r="AU179" s="11">
        <f>tbl_główna_GRACZE[[#This Row],[fga]]-tbl_główna_GRACZE[[#This Row],[3pa]]</f>
        <v>3</v>
      </c>
      <c r="AV179">
        <f>IF(tbl_główna_GRACZE[[#This Row],[min]]&gt;0,1,0)</f>
        <v>1</v>
      </c>
      <c r="AW179" s="58" t="str">
        <f>tbl_główna_GRACZE[[#This Row],[I. Nazwisko]]</f>
        <v>L. Prokopczuk</v>
      </c>
    </row>
    <row r="180" spans="1:49" x14ac:dyDescent="0.35">
      <c r="A180" t="s">
        <v>50</v>
      </c>
      <c r="B180" t="s">
        <v>48</v>
      </c>
      <c r="C180" t="s">
        <v>58</v>
      </c>
      <c r="D180" t="str">
        <f>IF(C180="H",VLOOKUP($A180,tab_nazwy_zespołów[],2,0)&amp;VLOOKUP($B180,tab_nazwy_zespołów[],2,0),VLOOKUP($B180,tab_nazwy_zespołów[],2,0)&amp;VLOOKUP($A180,tab_nazwy_zespołów[],2,0))</f>
        <v>ŁODKON</v>
      </c>
      <c r="E180">
        <v>4</v>
      </c>
      <c r="F180">
        <f>COUNTIF(tbl_zawodnicy_sumy[I. Nazwisko],tbl_główna_GRACZE[[#This Row],[I. Nazwisko]])</f>
        <v>1</v>
      </c>
      <c r="G180" s="58" t="str">
        <f>RIGHT(tbl_główna_GRACZE[[#This Row],[Kolumna1]],LEN(tbl_główna_GRACZE[[#This Row],[Kolumna1]])-FIND(" ",tbl_główna_GRACZE[[#This Row],[Kolumna1]]))</f>
        <v>J. Radomski</v>
      </c>
      <c r="H180" s="2" t="s">
        <v>404</v>
      </c>
      <c r="I180" s="10">
        <v>4</v>
      </c>
      <c r="J180" s="10">
        <v>19</v>
      </c>
      <c r="K180" s="10">
        <v>3</v>
      </c>
      <c r="L180" s="10">
        <v>16</v>
      </c>
      <c r="M180" s="10">
        <v>0</v>
      </c>
      <c r="N180" s="10">
        <v>0</v>
      </c>
      <c r="O180" s="10">
        <v>1</v>
      </c>
      <c r="P180" s="10">
        <v>0</v>
      </c>
      <c r="Q180" s="10">
        <v>1</v>
      </c>
      <c r="R180" s="10">
        <v>0</v>
      </c>
      <c r="S180" s="10">
        <v>0</v>
      </c>
      <c r="T180" s="10">
        <v>0</v>
      </c>
      <c r="U180" s="10">
        <v>0</v>
      </c>
      <c r="V180" s="10">
        <v>40</v>
      </c>
      <c r="W180" s="10">
        <v>11</v>
      </c>
      <c r="X180" s="57">
        <f t="shared" si="208"/>
        <v>1</v>
      </c>
      <c r="Y180" s="4">
        <f t="shared" si="209"/>
        <v>0.21052631578947367</v>
      </c>
      <c r="Z180" s="4">
        <f t="shared" si="210"/>
        <v>0.1875</v>
      </c>
      <c r="AA180" s="4">
        <f t="shared" si="211"/>
        <v>0</v>
      </c>
      <c r="AB180" s="4">
        <f>IFERROR(tbl_główna_GRACZE[[#This Row],[2pm]]/tbl_główna_GRACZE[[#This Row],[2pa]],0)</f>
        <v>0.33333333333333331</v>
      </c>
      <c r="AC180" s="4">
        <f t="shared" si="212"/>
        <v>0.28947368421052633</v>
      </c>
      <c r="AD180" s="4">
        <f t="shared" si="213"/>
        <v>0.28947368421052633</v>
      </c>
      <c r="AE180" s="11">
        <f t="shared" si="214"/>
        <v>-3</v>
      </c>
      <c r="AF180" s="4">
        <f t="shared" si="215"/>
        <v>0</v>
      </c>
      <c r="AG180" s="4">
        <f t="shared" si="216"/>
        <v>0.84210526315789469</v>
      </c>
      <c r="AH18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0.26595744680851063</v>
      </c>
      <c r="AI180" s="25">
        <f>tbl_główna_GRACZE[[#This Row],[pts]]*(40/tbl_główna_GRACZE[[#This Row],[min]])</f>
        <v>11</v>
      </c>
      <c r="AJ180" s="30">
        <f>tbl_główna_GRACZE[[#This Row],[reb total]]*(40/tbl_główna_GRACZE[[#This Row],[min]])</f>
        <v>1</v>
      </c>
      <c r="AK180" s="30">
        <f>tbl_główna_GRACZE[[#This Row],[asst]]*(40/tbl_główna_GRACZE[[#This Row],[min]])</f>
        <v>0</v>
      </c>
      <c r="AL180" s="5">
        <f t="shared" si="217"/>
        <v>0.57894736842105265</v>
      </c>
      <c r="AM180" s="5">
        <f>(tbl_główna_GRACZE[[#This Row],[stl]]+tbl_główna_GRACZE[[#This Row],[blk]])*(40/tbl_główna_GRACZE[[#This Row],[min]])</f>
        <v>0</v>
      </c>
      <c r="AN18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80" s="25">
        <f>tbl_główna_GRACZE[[#This Row],[stl]]+tbl_główna_GRACZE[[#This Row],[blk]]+(tbl_główna_GRACZE[[#This Row],[dreb]]*0.5)</f>
        <v>0</v>
      </c>
      <c r="AP180" s="29">
        <f>(tbl_główna_GRACZE[[#This Row],[stl]]+tbl_główna_GRACZE[[#This Row],[blk]]+0.5*tbl_główna_GRACZE[[#This Row],[dreb]])/tbl_główna_GRACZE[[#This Row],[min]]</f>
        <v>0</v>
      </c>
      <c r="AQ180" s="6">
        <f t="shared" si="218"/>
        <v>6.6613381477509392E-16</v>
      </c>
      <c r="AR180" s="6">
        <f>tbl_główna_GRACZE[[#This Row],[GmSc]]*(40/tbl_główna_GRACZE[[#This Row],[min]])</f>
        <v>6.6613381477509392E-16</v>
      </c>
      <c r="AS180" s="6">
        <f>tbl_główna_GRACZE[[#This Row],[EVAL]]*(40/tbl_główna_GRACZE[[#This Row],[min]])</f>
        <v>-3</v>
      </c>
      <c r="AT180" s="11">
        <f>tbl_główna_GRACZE[[#This Row],[fgm]]-tbl_główna_GRACZE[[#This Row],[3pm]]</f>
        <v>1</v>
      </c>
      <c r="AU180" s="11">
        <f>tbl_główna_GRACZE[[#This Row],[fga]]-tbl_główna_GRACZE[[#This Row],[3pa]]</f>
        <v>3</v>
      </c>
      <c r="AV180">
        <f>IF(tbl_główna_GRACZE[[#This Row],[min]]&gt;0,1,0)</f>
        <v>1</v>
      </c>
      <c r="AW180" s="58" t="str">
        <f>tbl_główna_GRACZE[[#This Row],[I. Nazwisko]]</f>
        <v>J. Radomski</v>
      </c>
    </row>
    <row r="181" spans="1:49" x14ac:dyDescent="0.35">
      <c r="A181" t="s">
        <v>50</v>
      </c>
      <c r="B181" t="s">
        <v>48</v>
      </c>
      <c r="C181" t="s">
        <v>58</v>
      </c>
      <c r="D181" t="str">
        <f>IF(C181="H",VLOOKUP($A181,tab_nazwy_zespołów[],2,0)&amp;VLOOKUP($B181,tab_nazwy_zespołów[],2,0),VLOOKUP($B181,tab_nazwy_zespołów[],2,0)&amp;VLOOKUP($A181,tab_nazwy_zespołów[],2,0))</f>
        <v>ŁODKON</v>
      </c>
      <c r="E181">
        <v>4</v>
      </c>
      <c r="F181">
        <f>COUNTIF(tbl_zawodnicy_sumy[I. Nazwisko],tbl_główna_GRACZE[[#This Row],[I. Nazwisko]])</f>
        <v>1</v>
      </c>
      <c r="G181" s="58" t="str">
        <f>RIGHT(tbl_główna_GRACZE[[#This Row],[Kolumna1]],LEN(tbl_główna_GRACZE[[#This Row],[Kolumna1]])-FIND(" ",tbl_główna_GRACZE[[#This Row],[Kolumna1]]))</f>
        <v>M. Matusik</v>
      </c>
      <c r="H181" s="2" t="s">
        <v>86</v>
      </c>
      <c r="I181" s="10">
        <v>3</v>
      </c>
      <c r="J181" s="10">
        <v>18</v>
      </c>
      <c r="K181" s="10">
        <v>3</v>
      </c>
      <c r="L181" s="10">
        <v>13</v>
      </c>
      <c r="M181" s="10">
        <v>0</v>
      </c>
      <c r="N181" s="10">
        <v>0</v>
      </c>
      <c r="O181" s="10">
        <v>1</v>
      </c>
      <c r="P181" s="10">
        <v>7</v>
      </c>
      <c r="Q181" s="10">
        <v>1</v>
      </c>
      <c r="R181" s="10">
        <v>1</v>
      </c>
      <c r="S181" s="10">
        <v>0</v>
      </c>
      <c r="T181" s="10">
        <v>2</v>
      </c>
      <c r="U181" s="10">
        <v>2</v>
      </c>
      <c r="V181" s="10">
        <v>40</v>
      </c>
      <c r="W181" s="10">
        <v>9</v>
      </c>
      <c r="X181" s="57">
        <f t="shared" si="208"/>
        <v>8</v>
      </c>
      <c r="Y181" s="4">
        <f t="shared" si="209"/>
        <v>0.16666666666666666</v>
      </c>
      <c r="Z181" s="4">
        <f t="shared" si="210"/>
        <v>0.23076923076923078</v>
      </c>
      <c r="AA181" s="4">
        <f t="shared" si="211"/>
        <v>0</v>
      </c>
      <c r="AB181" s="4">
        <f>IFERROR(tbl_główna_GRACZE[[#This Row],[2pm]]/tbl_główna_GRACZE[[#This Row],[2pa]],0)</f>
        <v>0</v>
      </c>
      <c r="AC181" s="4">
        <f t="shared" si="212"/>
        <v>0.25</v>
      </c>
      <c r="AD181" s="4">
        <f t="shared" si="213"/>
        <v>0.25</v>
      </c>
      <c r="AE181" s="11">
        <f t="shared" si="214"/>
        <v>7</v>
      </c>
      <c r="AF181" s="4">
        <f t="shared" si="215"/>
        <v>0</v>
      </c>
      <c r="AG181" s="4">
        <f t="shared" si="216"/>
        <v>0.72222222222222221</v>
      </c>
      <c r="AH18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0.25195968645016797</v>
      </c>
      <c r="AI181" s="25">
        <f>tbl_główna_GRACZE[[#This Row],[pts]]*(40/tbl_główna_GRACZE[[#This Row],[min]])</f>
        <v>9</v>
      </c>
      <c r="AJ181" s="30">
        <f>tbl_główna_GRACZE[[#This Row],[reb total]]*(40/tbl_główna_GRACZE[[#This Row],[min]])</f>
        <v>8</v>
      </c>
      <c r="AK181" s="30">
        <f>tbl_główna_GRACZE[[#This Row],[asst]]*(40/tbl_główna_GRACZE[[#This Row],[min]])</f>
        <v>2</v>
      </c>
      <c r="AL181" s="5">
        <f t="shared" si="217"/>
        <v>0.5</v>
      </c>
      <c r="AM181" s="5">
        <f>(tbl_główna_GRACZE[[#This Row],[stl]]+tbl_główna_GRACZE[[#This Row],[blk]])*(40/tbl_główna_GRACZE[[#This Row],[min]])</f>
        <v>3</v>
      </c>
      <c r="AN18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0.27272727272727271</v>
      </c>
      <c r="AO181" s="25">
        <f>tbl_główna_GRACZE[[#This Row],[stl]]+tbl_główna_GRACZE[[#This Row],[blk]]+(tbl_główna_GRACZE[[#This Row],[dreb]]*0.5)</f>
        <v>6.5</v>
      </c>
      <c r="AP181" s="29">
        <f>(tbl_główna_GRACZE[[#This Row],[stl]]+tbl_główna_GRACZE[[#This Row],[blk]]+0.5*tbl_główna_GRACZE[[#This Row],[dreb]])/tbl_główna_GRACZE[[#This Row],[min]]</f>
        <v>0.16250000000000001</v>
      </c>
      <c r="AQ181" s="6">
        <f t="shared" si="218"/>
        <v>4.1999999999999993</v>
      </c>
      <c r="AR181" s="6">
        <f>tbl_główna_GRACZE[[#This Row],[GmSc]]*(40/tbl_główna_GRACZE[[#This Row],[min]])</f>
        <v>4.1999999999999993</v>
      </c>
      <c r="AS181" s="6">
        <f>tbl_główna_GRACZE[[#This Row],[EVAL]]*(40/tbl_główna_GRACZE[[#This Row],[min]])</f>
        <v>7</v>
      </c>
      <c r="AT181" s="11">
        <f>tbl_główna_GRACZE[[#This Row],[fgm]]-tbl_główna_GRACZE[[#This Row],[3pm]]</f>
        <v>0</v>
      </c>
      <c r="AU181" s="11">
        <f>tbl_główna_GRACZE[[#This Row],[fga]]-tbl_główna_GRACZE[[#This Row],[3pa]]</f>
        <v>5</v>
      </c>
      <c r="AV181">
        <f>IF(tbl_główna_GRACZE[[#This Row],[min]]&gt;0,1,0)</f>
        <v>1</v>
      </c>
      <c r="AW181" s="58" t="str">
        <f>tbl_główna_GRACZE[[#This Row],[I. Nazwisko]]</f>
        <v>M. Matusik</v>
      </c>
    </row>
    <row r="182" spans="1:49" x14ac:dyDescent="0.35">
      <c r="A182" t="s">
        <v>50</v>
      </c>
      <c r="B182" t="s">
        <v>48</v>
      </c>
      <c r="C182" t="s">
        <v>58</v>
      </c>
      <c r="D182" t="str">
        <f>IF(C182="H",VLOOKUP($A182,tab_nazwy_zespołów[],2,0)&amp;VLOOKUP($B182,tab_nazwy_zespołów[],2,0),VLOOKUP($B182,tab_nazwy_zespołów[],2,0)&amp;VLOOKUP($A182,tab_nazwy_zespołów[],2,0))</f>
        <v>ŁODKON</v>
      </c>
      <c r="E182">
        <v>4</v>
      </c>
      <c r="F182">
        <f>COUNTIF(tbl_zawodnicy_sumy[I. Nazwisko],tbl_główna_GRACZE[[#This Row],[I. Nazwisko]])</f>
        <v>1</v>
      </c>
      <c r="G182" s="58" t="str">
        <f>RIGHT(tbl_główna_GRACZE[[#This Row],[Kolumna1]],LEN(tbl_główna_GRACZE[[#This Row],[Kolumna1]])-FIND(" ",tbl_główna_GRACZE[[#This Row],[Kolumna1]]))</f>
        <v>D. Więcław</v>
      </c>
      <c r="H182" s="2" t="s">
        <v>87</v>
      </c>
      <c r="I182" s="10">
        <v>3</v>
      </c>
      <c r="J182" s="10">
        <v>10</v>
      </c>
      <c r="K182" s="10">
        <v>0</v>
      </c>
      <c r="L182" s="10">
        <v>1</v>
      </c>
      <c r="M182" s="10">
        <v>0</v>
      </c>
      <c r="N182" s="10">
        <v>0</v>
      </c>
      <c r="O182" s="10">
        <v>6</v>
      </c>
      <c r="P182" s="10">
        <v>7</v>
      </c>
      <c r="Q182" s="10">
        <v>1</v>
      </c>
      <c r="R182" s="10">
        <v>1</v>
      </c>
      <c r="S182" s="10">
        <v>0</v>
      </c>
      <c r="T182" s="10">
        <v>1</v>
      </c>
      <c r="U182" s="10">
        <v>2</v>
      </c>
      <c r="V182" s="10">
        <v>40</v>
      </c>
      <c r="W182" s="10">
        <v>6</v>
      </c>
      <c r="X182" s="57">
        <f t="shared" si="208"/>
        <v>13</v>
      </c>
      <c r="Y182" s="4">
        <f t="shared" si="209"/>
        <v>0.3</v>
      </c>
      <c r="Z182" s="4">
        <f t="shared" si="210"/>
        <v>0</v>
      </c>
      <c r="AA182" s="4">
        <f t="shared" si="211"/>
        <v>0</v>
      </c>
      <c r="AB182" s="4">
        <f>IFERROR(tbl_główna_GRACZE[[#This Row],[2pm]]/tbl_główna_GRACZE[[#This Row],[2pa]],0)</f>
        <v>0.33333333333333331</v>
      </c>
      <c r="AC182" s="4">
        <f t="shared" si="212"/>
        <v>0.3</v>
      </c>
      <c r="AD182" s="4">
        <f t="shared" si="213"/>
        <v>0.3</v>
      </c>
      <c r="AE182" s="11">
        <f t="shared" si="214"/>
        <v>16</v>
      </c>
      <c r="AF182" s="4">
        <f t="shared" si="215"/>
        <v>0</v>
      </c>
      <c r="AG182" s="4">
        <f t="shared" si="216"/>
        <v>0.1</v>
      </c>
      <c r="AH18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0.13997760358342665</v>
      </c>
      <c r="AI182" s="25">
        <f>tbl_główna_GRACZE[[#This Row],[pts]]*(40/tbl_główna_GRACZE[[#This Row],[min]])</f>
        <v>6</v>
      </c>
      <c r="AJ182" s="30">
        <f>tbl_główna_GRACZE[[#This Row],[reb total]]*(40/tbl_główna_GRACZE[[#This Row],[min]])</f>
        <v>13</v>
      </c>
      <c r="AK182" s="30">
        <f>tbl_główna_GRACZE[[#This Row],[asst]]*(40/tbl_główna_GRACZE[[#This Row],[min]])</f>
        <v>2</v>
      </c>
      <c r="AL182" s="5">
        <f t="shared" si="217"/>
        <v>0.6</v>
      </c>
      <c r="AM182" s="5">
        <f>(tbl_główna_GRACZE[[#This Row],[stl]]+tbl_główna_GRACZE[[#This Row],[blk]])*(40/tbl_główna_GRACZE[[#This Row],[min]])</f>
        <v>2</v>
      </c>
      <c r="AN18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0.18181818181818182</v>
      </c>
      <c r="AO182" s="25">
        <f>tbl_główna_GRACZE[[#This Row],[stl]]+tbl_główna_GRACZE[[#This Row],[blk]]+(tbl_główna_GRACZE[[#This Row],[dreb]]*0.5)</f>
        <v>5.5</v>
      </c>
      <c r="AP182" s="29">
        <f>(tbl_główna_GRACZE[[#This Row],[stl]]+tbl_główna_GRACZE[[#This Row],[blk]]+0.5*tbl_główna_GRACZE[[#This Row],[dreb]])/tbl_główna_GRACZE[[#This Row],[min]]</f>
        <v>0.13750000000000001</v>
      </c>
      <c r="AQ182" s="6">
        <f t="shared" si="218"/>
        <v>9.6</v>
      </c>
      <c r="AR182" s="6">
        <f>tbl_główna_GRACZE[[#This Row],[GmSc]]*(40/tbl_główna_GRACZE[[#This Row],[min]])</f>
        <v>9.6</v>
      </c>
      <c r="AS182" s="6">
        <f>tbl_główna_GRACZE[[#This Row],[EVAL]]*(40/tbl_główna_GRACZE[[#This Row],[min]])</f>
        <v>16</v>
      </c>
      <c r="AT182" s="11">
        <f>tbl_główna_GRACZE[[#This Row],[fgm]]-tbl_główna_GRACZE[[#This Row],[3pm]]</f>
        <v>3</v>
      </c>
      <c r="AU182" s="11">
        <f>tbl_główna_GRACZE[[#This Row],[fga]]-tbl_główna_GRACZE[[#This Row],[3pa]]</f>
        <v>9</v>
      </c>
      <c r="AV182">
        <f>IF(tbl_główna_GRACZE[[#This Row],[min]]&gt;0,1,0)</f>
        <v>1</v>
      </c>
      <c r="AW182" s="58" t="str">
        <f>tbl_główna_GRACZE[[#This Row],[I. Nazwisko]]</f>
        <v>D. Więcław</v>
      </c>
    </row>
    <row r="183" spans="1:49" x14ac:dyDescent="0.35">
      <c r="A183" t="s">
        <v>52</v>
      </c>
      <c r="B183" t="s">
        <v>25</v>
      </c>
      <c r="C183" t="s">
        <v>57</v>
      </c>
      <c r="D183" t="str">
        <f>IF(C183="H",VLOOKUP($A183,tab_nazwy_zespołów[],2,0)&amp;VLOOKUP($B183,tab_nazwy_zespołów[],2,0),VLOOKUP($B183,tab_nazwy_zespołów[],2,0)&amp;VLOOKUP($A183,tab_nazwy_zespołów[],2,0))</f>
        <v>WILHUT</v>
      </c>
      <c r="E183">
        <v>4</v>
      </c>
      <c r="F183">
        <f>COUNTIF(tbl_zawodnicy_sumy[I. Nazwisko],tbl_główna_GRACZE[[#This Row],[I. Nazwisko]])</f>
        <v>1</v>
      </c>
      <c r="G183" s="58" t="str">
        <f>RIGHT(tbl_główna_GRACZE[[#This Row],[Kolumna1]],LEN(tbl_główna_GRACZE[[#This Row],[Kolumna1]])-FIND(" ",tbl_główna_GRACZE[[#This Row],[Kolumna1]]))</f>
        <v>C. Mavity</v>
      </c>
      <c r="H183" s="2" t="s">
        <v>343</v>
      </c>
      <c r="I183" s="10">
        <v>9</v>
      </c>
      <c r="J183" s="10">
        <v>21</v>
      </c>
      <c r="K183" s="10">
        <v>1</v>
      </c>
      <c r="L183" s="10">
        <v>3</v>
      </c>
      <c r="M183" s="10">
        <v>3</v>
      </c>
      <c r="N183" s="10">
        <v>3</v>
      </c>
      <c r="O183" s="10">
        <v>3</v>
      </c>
      <c r="P183" s="10">
        <v>15</v>
      </c>
      <c r="Q183" s="10">
        <v>1</v>
      </c>
      <c r="R183" s="10">
        <v>2</v>
      </c>
      <c r="S183" s="10">
        <v>0</v>
      </c>
      <c r="T183" s="10">
        <v>1</v>
      </c>
      <c r="U183" s="10">
        <v>6</v>
      </c>
      <c r="V183" s="10">
        <v>40</v>
      </c>
      <c r="W183" s="10">
        <v>22</v>
      </c>
      <c r="X183" s="57">
        <f t="shared" ref="X183:X190" si="219">O183+P183</f>
        <v>18</v>
      </c>
      <c r="Y183" s="4">
        <f t="shared" ref="Y183:Y190" si="220">I183/J183</f>
        <v>0.42857142857142855</v>
      </c>
      <c r="Z183" s="4">
        <f t="shared" ref="Z183:Z190" si="221">IFERROR(K183/L183,0)</f>
        <v>0.33333333333333331</v>
      </c>
      <c r="AA183" s="4">
        <f t="shared" ref="AA183:AA190" si="222">IFERROR(M183/N183,0)</f>
        <v>1</v>
      </c>
      <c r="AB183" s="4">
        <f>IFERROR(tbl_główna_GRACZE[[#This Row],[2pm]]/tbl_główna_GRACZE[[#This Row],[2pa]],0)</f>
        <v>0.44444444444444442</v>
      </c>
      <c r="AC183" s="4">
        <f t="shared" ref="AC183:AC190" si="223">W183/(2*(J183+0.44*N183))</f>
        <v>0.49283154121863798</v>
      </c>
      <c r="AD183" s="4">
        <f t="shared" ref="AD183:AD190" si="224">(I183+0.5*K183)/J183</f>
        <v>0.45238095238095238</v>
      </c>
      <c r="AE183" s="11">
        <f t="shared" ref="AE183:AE190" si="225">R183+T183+U183+W183+X183-(J183-I183)-(N183-M183)</f>
        <v>37</v>
      </c>
      <c r="AF183" s="4">
        <f t="shared" ref="AF183:AF190" si="226">N183/J183</f>
        <v>0.14285714285714285</v>
      </c>
      <c r="AG183" s="4">
        <f t="shared" ref="AG183:AG190" si="227">L183/J183</f>
        <v>0.14285714285714285</v>
      </c>
      <c r="AH18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0.27153284671532846</v>
      </c>
      <c r="AI183" s="25">
        <f>tbl_główna_GRACZE[[#This Row],[pts]]*(40/tbl_główna_GRACZE[[#This Row],[min]])</f>
        <v>22</v>
      </c>
      <c r="AJ183" s="30">
        <f>tbl_główna_GRACZE[[#This Row],[reb total]]*(40/tbl_główna_GRACZE[[#This Row],[min]])</f>
        <v>18</v>
      </c>
      <c r="AK183" s="30">
        <f>tbl_główna_GRACZE[[#This Row],[asst]]*(40/tbl_główna_GRACZE[[#This Row],[min]])</f>
        <v>6</v>
      </c>
      <c r="AL183" s="5">
        <f t="shared" ref="AL183:AL190" si="228">W183/J183</f>
        <v>1.0476190476190477</v>
      </c>
      <c r="AM183" s="5">
        <f>(tbl_główna_GRACZE[[#This Row],[stl]]+tbl_główna_GRACZE[[#This Row],[blk]])*(40/tbl_główna_GRACZE[[#This Row],[min]])</f>
        <v>3</v>
      </c>
      <c r="AN18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0.21428571428571427</v>
      </c>
      <c r="AO183" s="25">
        <f>tbl_główna_GRACZE[[#This Row],[stl]]+tbl_główna_GRACZE[[#This Row],[blk]]+(tbl_główna_GRACZE[[#This Row],[dreb]]*0.5)</f>
        <v>10.5</v>
      </c>
      <c r="AP183" s="29">
        <f>(tbl_główna_GRACZE[[#This Row],[stl]]+tbl_główna_GRACZE[[#This Row],[blk]]+0.5*tbl_główna_GRACZE[[#This Row],[dreb]])/tbl_główna_GRACZE[[#This Row],[min]]</f>
        <v>0.26250000000000001</v>
      </c>
      <c r="AQ183" s="6">
        <f t="shared" ref="AQ183:AQ190" si="229">W183+0.4*I183-0.7*J183-0.4*(N183-M183)+0.7*O183+0.3*P183+R183+0.7*U183+0.7*T183</f>
        <v>24.4</v>
      </c>
      <c r="AR183" s="6">
        <f>tbl_główna_GRACZE[[#This Row],[GmSc]]*(40/tbl_główna_GRACZE[[#This Row],[min]])</f>
        <v>24.4</v>
      </c>
      <c r="AS183" s="6">
        <f>tbl_główna_GRACZE[[#This Row],[EVAL]]*(40/tbl_główna_GRACZE[[#This Row],[min]])</f>
        <v>37</v>
      </c>
      <c r="AT183" s="11">
        <f>tbl_główna_GRACZE[[#This Row],[fgm]]-tbl_główna_GRACZE[[#This Row],[3pm]]</f>
        <v>8</v>
      </c>
      <c r="AU183" s="11">
        <f>tbl_główna_GRACZE[[#This Row],[fga]]-tbl_główna_GRACZE[[#This Row],[3pa]]</f>
        <v>18</v>
      </c>
      <c r="AV183">
        <f>IF(tbl_główna_GRACZE[[#This Row],[min]]&gt;0,1,0)</f>
        <v>1</v>
      </c>
      <c r="AW183" s="58" t="str">
        <f>tbl_główna_GRACZE[[#This Row],[I. Nazwisko]]</f>
        <v>C. Mavity</v>
      </c>
    </row>
    <row r="184" spans="1:49" x14ac:dyDescent="0.35">
      <c r="A184" t="s">
        <v>52</v>
      </c>
      <c r="B184" t="s">
        <v>25</v>
      </c>
      <c r="C184" t="s">
        <v>57</v>
      </c>
      <c r="D184" t="str">
        <f>IF(C184="H",VLOOKUP($A184,tab_nazwy_zespołów[],2,0)&amp;VLOOKUP($B184,tab_nazwy_zespołów[],2,0),VLOOKUP($B184,tab_nazwy_zespołów[],2,0)&amp;VLOOKUP($A184,tab_nazwy_zespołów[],2,0))</f>
        <v>WILHUT</v>
      </c>
      <c r="E184">
        <v>4</v>
      </c>
      <c r="F184">
        <f>COUNTIF(tbl_zawodnicy_sumy[I. Nazwisko],tbl_główna_GRACZE[[#This Row],[I. Nazwisko]])</f>
        <v>1</v>
      </c>
      <c r="G184" s="58" t="str">
        <f>RIGHT(tbl_główna_GRACZE[[#This Row],[Kolumna1]],LEN(tbl_główna_GRACZE[[#This Row],[Kolumna1]])-FIND(" ",tbl_główna_GRACZE[[#This Row],[Kolumna1]]))</f>
        <v>D. Sobański</v>
      </c>
      <c r="H184" s="2" t="s">
        <v>93</v>
      </c>
      <c r="I184" s="10">
        <v>8</v>
      </c>
      <c r="J184" s="10">
        <v>17</v>
      </c>
      <c r="K184" s="10">
        <v>0</v>
      </c>
      <c r="L184" s="10">
        <v>1</v>
      </c>
      <c r="M184" s="10">
        <v>0</v>
      </c>
      <c r="N184" s="10">
        <v>0</v>
      </c>
      <c r="O184" s="10">
        <v>2</v>
      </c>
      <c r="P184" s="10">
        <v>3</v>
      </c>
      <c r="Q184" s="10">
        <v>2</v>
      </c>
      <c r="R184" s="10">
        <v>1</v>
      </c>
      <c r="S184" s="10">
        <v>0</v>
      </c>
      <c r="T184" s="10">
        <v>0</v>
      </c>
      <c r="U184" s="10">
        <v>4</v>
      </c>
      <c r="V184" s="10">
        <v>31</v>
      </c>
      <c r="W184" s="10">
        <v>16</v>
      </c>
      <c r="X184" s="57">
        <f t="shared" si="219"/>
        <v>5</v>
      </c>
      <c r="Y184" s="4">
        <f t="shared" si="220"/>
        <v>0.47058823529411764</v>
      </c>
      <c r="Z184" s="4">
        <f t="shared" si="221"/>
        <v>0</v>
      </c>
      <c r="AA184" s="4">
        <f t="shared" si="222"/>
        <v>0</v>
      </c>
      <c r="AB184" s="4">
        <f>IFERROR(tbl_główna_GRACZE[[#This Row],[2pm]]/tbl_główna_GRACZE[[#This Row],[2pa]],0)</f>
        <v>0.5</v>
      </c>
      <c r="AC184" s="4">
        <f t="shared" si="223"/>
        <v>0.47058823529411764</v>
      </c>
      <c r="AD184" s="4">
        <f t="shared" si="224"/>
        <v>0.47058823529411764</v>
      </c>
      <c r="AE184" s="11">
        <f t="shared" si="225"/>
        <v>17</v>
      </c>
      <c r="AF184" s="4">
        <f t="shared" si="226"/>
        <v>0</v>
      </c>
      <c r="AG184" s="4">
        <f t="shared" si="227"/>
        <v>5.8823529411764705E-2</v>
      </c>
      <c r="AH18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0.20681265206812652</v>
      </c>
      <c r="AI184" s="25">
        <f>tbl_główna_GRACZE[[#This Row],[pts]]*(40/tbl_główna_GRACZE[[#This Row],[min]])</f>
        <v>20.64516129032258</v>
      </c>
      <c r="AJ184" s="30">
        <f>tbl_główna_GRACZE[[#This Row],[reb total]]*(40/tbl_główna_GRACZE[[#This Row],[min]])</f>
        <v>6.4516129032258061</v>
      </c>
      <c r="AK184" s="30">
        <f>tbl_główna_GRACZE[[#This Row],[asst]]*(40/tbl_główna_GRACZE[[#This Row],[min]])</f>
        <v>5.161290322580645</v>
      </c>
      <c r="AL184" s="5">
        <f t="shared" si="228"/>
        <v>0.94117647058823528</v>
      </c>
      <c r="AM184" s="5">
        <f>(tbl_główna_GRACZE[[#This Row],[stl]]+tbl_główna_GRACZE[[#This Row],[blk]])*(40/tbl_główna_GRACZE[[#This Row],[min]])</f>
        <v>1.2903225806451613</v>
      </c>
      <c r="AN18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7.1428571428571425E-2</v>
      </c>
      <c r="AO184" s="25">
        <f>tbl_główna_GRACZE[[#This Row],[stl]]+tbl_główna_GRACZE[[#This Row],[blk]]+(tbl_główna_GRACZE[[#This Row],[dreb]]*0.5)</f>
        <v>2.5</v>
      </c>
      <c r="AP184" s="29">
        <f>(tbl_główna_GRACZE[[#This Row],[stl]]+tbl_główna_GRACZE[[#This Row],[blk]]+0.5*tbl_główna_GRACZE[[#This Row],[dreb]])/tbl_główna_GRACZE[[#This Row],[min]]</f>
        <v>8.0645161290322578E-2</v>
      </c>
      <c r="AQ184" s="6">
        <f t="shared" si="229"/>
        <v>13.400000000000002</v>
      </c>
      <c r="AR184" s="6">
        <f>tbl_główna_GRACZE[[#This Row],[GmSc]]*(40/tbl_główna_GRACZE[[#This Row],[min]])</f>
        <v>17.290322580645164</v>
      </c>
      <c r="AS184" s="6">
        <f>tbl_główna_GRACZE[[#This Row],[EVAL]]*(40/tbl_główna_GRACZE[[#This Row],[min]])</f>
        <v>21.93548387096774</v>
      </c>
      <c r="AT184" s="11">
        <f>tbl_główna_GRACZE[[#This Row],[fgm]]-tbl_główna_GRACZE[[#This Row],[3pm]]</f>
        <v>8</v>
      </c>
      <c r="AU184" s="11">
        <f>tbl_główna_GRACZE[[#This Row],[fga]]-tbl_główna_GRACZE[[#This Row],[3pa]]</f>
        <v>16</v>
      </c>
      <c r="AV184">
        <f>IF(tbl_główna_GRACZE[[#This Row],[min]]&gt;0,1,0)</f>
        <v>1</v>
      </c>
      <c r="AW184" s="58" t="str">
        <f>tbl_główna_GRACZE[[#This Row],[I. Nazwisko]]</f>
        <v>D. Sobański</v>
      </c>
    </row>
    <row r="185" spans="1:49" x14ac:dyDescent="0.35">
      <c r="A185" t="s">
        <v>52</v>
      </c>
      <c r="B185" t="s">
        <v>25</v>
      </c>
      <c r="C185" t="s">
        <v>57</v>
      </c>
      <c r="D185" t="str">
        <f>IF(C185="H",VLOOKUP($A185,tab_nazwy_zespołów[],2,0)&amp;VLOOKUP($B185,tab_nazwy_zespołów[],2,0),VLOOKUP($B185,tab_nazwy_zespołów[],2,0)&amp;VLOOKUP($A185,tab_nazwy_zespołów[],2,0))</f>
        <v>WILHUT</v>
      </c>
      <c r="E185">
        <v>4</v>
      </c>
      <c r="F185">
        <f>COUNTIF(tbl_zawodnicy_sumy[I. Nazwisko],tbl_główna_GRACZE[[#This Row],[I. Nazwisko]])</f>
        <v>1</v>
      </c>
      <c r="G185" s="58" t="str">
        <f>RIGHT(tbl_główna_GRACZE[[#This Row],[Kolumna1]],LEN(tbl_główna_GRACZE[[#This Row],[Kolumna1]])-FIND(" ",tbl_główna_GRACZE[[#This Row],[Kolumna1]]))</f>
        <v>W. Sienkowski</v>
      </c>
      <c r="H185" s="2" t="s">
        <v>94</v>
      </c>
      <c r="I185" s="10">
        <v>5</v>
      </c>
      <c r="J185" s="10">
        <v>11</v>
      </c>
      <c r="K185" s="10">
        <v>2</v>
      </c>
      <c r="L185" s="10">
        <v>6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4</v>
      </c>
      <c r="S185" s="10">
        <v>0</v>
      </c>
      <c r="T185" s="10">
        <v>0</v>
      </c>
      <c r="U185" s="10">
        <v>3</v>
      </c>
      <c r="V185" s="10">
        <v>33</v>
      </c>
      <c r="W185" s="10">
        <v>12</v>
      </c>
      <c r="X185" s="57">
        <f t="shared" si="219"/>
        <v>0</v>
      </c>
      <c r="Y185" s="4">
        <f t="shared" si="220"/>
        <v>0.45454545454545453</v>
      </c>
      <c r="Z185" s="4">
        <f t="shared" si="221"/>
        <v>0.33333333333333331</v>
      </c>
      <c r="AA185" s="4">
        <f t="shared" si="222"/>
        <v>0</v>
      </c>
      <c r="AB185" s="4">
        <f>IFERROR(tbl_główna_GRACZE[[#This Row],[2pm]]/tbl_główna_GRACZE[[#This Row],[2pa]],0)</f>
        <v>0.6</v>
      </c>
      <c r="AC185" s="4">
        <f t="shared" si="223"/>
        <v>0.54545454545454541</v>
      </c>
      <c r="AD185" s="4">
        <f t="shared" si="224"/>
        <v>0.54545454545454541</v>
      </c>
      <c r="AE185" s="11">
        <f t="shared" si="225"/>
        <v>13</v>
      </c>
      <c r="AF185" s="4">
        <f t="shared" si="226"/>
        <v>0</v>
      </c>
      <c r="AG185" s="4">
        <f t="shared" si="227"/>
        <v>0.54545454545454541</v>
      </c>
      <c r="AH18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0.13381995133819952</v>
      </c>
      <c r="AI185" s="25">
        <f>tbl_główna_GRACZE[[#This Row],[pts]]*(40/tbl_główna_GRACZE[[#This Row],[min]])</f>
        <v>14.545454545454547</v>
      </c>
      <c r="AJ185" s="30">
        <f>tbl_główna_GRACZE[[#This Row],[reb total]]*(40/tbl_główna_GRACZE[[#This Row],[min]])</f>
        <v>0</v>
      </c>
      <c r="AK185" s="30">
        <f>tbl_główna_GRACZE[[#This Row],[asst]]*(40/tbl_główna_GRACZE[[#This Row],[min]])</f>
        <v>3.6363636363636367</v>
      </c>
      <c r="AL185" s="5">
        <f t="shared" si="228"/>
        <v>1.0909090909090908</v>
      </c>
      <c r="AM185" s="5">
        <f>(tbl_główna_GRACZE[[#This Row],[stl]]+tbl_główna_GRACZE[[#This Row],[blk]])*(40/tbl_główna_GRACZE[[#This Row],[min]])</f>
        <v>4.8484848484848486</v>
      </c>
      <c r="AN18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0.2857142857142857</v>
      </c>
      <c r="AO185" s="25">
        <f>tbl_główna_GRACZE[[#This Row],[stl]]+tbl_główna_GRACZE[[#This Row],[blk]]+(tbl_główna_GRACZE[[#This Row],[dreb]]*0.5)</f>
        <v>4</v>
      </c>
      <c r="AP185" s="29">
        <f>(tbl_główna_GRACZE[[#This Row],[stl]]+tbl_główna_GRACZE[[#This Row],[blk]]+0.5*tbl_główna_GRACZE[[#This Row],[dreb]])/tbl_główna_GRACZE[[#This Row],[min]]</f>
        <v>0.12121212121212122</v>
      </c>
      <c r="AQ185" s="6">
        <f t="shared" si="229"/>
        <v>12.4</v>
      </c>
      <c r="AR185" s="6">
        <f>tbl_główna_GRACZE[[#This Row],[GmSc]]*(40/tbl_główna_GRACZE[[#This Row],[min]])</f>
        <v>15.030303030303031</v>
      </c>
      <c r="AS185" s="6">
        <f>tbl_główna_GRACZE[[#This Row],[EVAL]]*(40/tbl_główna_GRACZE[[#This Row],[min]])</f>
        <v>15.757575757575758</v>
      </c>
      <c r="AT185" s="11">
        <f>tbl_główna_GRACZE[[#This Row],[fgm]]-tbl_główna_GRACZE[[#This Row],[3pm]]</f>
        <v>3</v>
      </c>
      <c r="AU185" s="11">
        <f>tbl_główna_GRACZE[[#This Row],[fga]]-tbl_główna_GRACZE[[#This Row],[3pa]]</f>
        <v>5</v>
      </c>
      <c r="AV185">
        <f>IF(tbl_główna_GRACZE[[#This Row],[min]]&gt;0,1,0)</f>
        <v>1</v>
      </c>
      <c r="AW185" s="58" t="str">
        <f>tbl_główna_GRACZE[[#This Row],[I. Nazwisko]]</f>
        <v>W. Sienkowski</v>
      </c>
    </row>
    <row r="186" spans="1:49" x14ac:dyDescent="0.35">
      <c r="A186" t="s">
        <v>52</v>
      </c>
      <c r="B186" t="s">
        <v>25</v>
      </c>
      <c r="C186" t="s">
        <v>57</v>
      </c>
      <c r="D186" t="str">
        <f>IF(C186="H",VLOOKUP($A186,tab_nazwy_zespołów[],2,0)&amp;VLOOKUP($B186,tab_nazwy_zespołów[],2,0),VLOOKUP($B186,tab_nazwy_zespołów[],2,0)&amp;VLOOKUP($A186,tab_nazwy_zespołów[],2,0))</f>
        <v>WILHUT</v>
      </c>
      <c r="E186">
        <v>4</v>
      </c>
      <c r="F186">
        <f>COUNTIF(tbl_zawodnicy_sumy[I. Nazwisko],tbl_główna_GRACZE[[#This Row],[I. Nazwisko]])</f>
        <v>1</v>
      </c>
      <c r="G186" s="58" t="str">
        <f>RIGHT(tbl_główna_GRACZE[[#This Row],[Kolumna1]],LEN(tbl_główna_GRACZE[[#This Row],[Kolumna1]])-FIND(" ",tbl_główna_GRACZE[[#This Row],[Kolumna1]]))</f>
        <v>M. Nagrodzki</v>
      </c>
      <c r="H186" s="2" t="s">
        <v>96</v>
      </c>
      <c r="I186" s="10">
        <v>4</v>
      </c>
      <c r="J186" s="10">
        <v>14</v>
      </c>
      <c r="K186" s="10">
        <v>1</v>
      </c>
      <c r="L186" s="10">
        <v>2</v>
      </c>
      <c r="M186" s="10">
        <v>0</v>
      </c>
      <c r="N186" s="10">
        <v>2</v>
      </c>
      <c r="O186" s="10">
        <v>4</v>
      </c>
      <c r="P186" s="10">
        <v>4</v>
      </c>
      <c r="Q186" s="10">
        <v>0</v>
      </c>
      <c r="R186" s="10">
        <v>2</v>
      </c>
      <c r="S186" s="10">
        <v>0</v>
      </c>
      <c r="T186" s="10">
        <v>1</v>
      </c>
      <c r="U186" s="10">
        <v>1</v>
      </c>
      <c r="V186" s="10">
        <v>28</v>
      </c>
      <c r="W186" s="10">
        <v>9</v>
      </c>
      <c r="X186" s="57">
        <f t="shared" si="219"/>
        <v>8</v>
      </c>
      <c r="Y186" s="4">
        <f t="shared" si="220"/>
        <v>0.2857142857142857</v>
      </c>
      <c r="Z186" s="4">
        <f t="shared" si="221"/>
        <v>0.5</v>
      </c>
      <c r="AA186" s="4">
        <f t="shared" si="222"/>
        <v>0</v>
      </c>
      <c r="AB186" s="4">
        <f>IFERROR(tbl_główna_GRACZE[[#This Row],[2pm]]/tbl_główna_GRACZE[[#This Row],[2pa]],0)</f>
        <v>0.25</v>
      </c>
      <c r="AC186" s="4">
        <f t="shared" si="223"/>
        <v>0.30241935483870969</v>
      </c>
      <c r="AD186" s="4">
        <f t="shared" si="224"/>
        <v>0.32142857142857145</v>
      </c>
      <c r="AE186" s="11">
        <f t="shared" si="225"/>
        <v>9</v>
      </c>
      <c r="AF186" s="4">
        <f t="shared" si="226"/>
        <v>0.14285714285714285</v>
      </c>
      <c r="AG186" s="4">
        <f t="shared" si="227"/>
        <v>0.14285714285714285</v>
      </c>
      <c r="AH18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0.18102189781021899</v>
      </c>
      <c r="AI186" s="25">
        <f>tbl_główna_GRACZE[[#This Row],[pts]]*(40/tbl_główna_GRACZE[[#This Row],[min]])</f>
        <v>12.857142857142858</v>
      </c>
      <c r="AJ186" s="30">
        <f>tbl_główna_GRACZE[[#This Row],[reb total]]*(40/tbl_główna_GRACZE[[#This Row],[min]])</f>
        <v>11.428571428571429</v>
      </c>
      <c r="AK186" s="30">
        <f>tbl_główna_GRACZE[[#This Row],[asst]]*(40/tbl_główna_GRACZE[[#This Row],[min]])</f>
        <v>1.4285714285714286</v>
      </c>
      <c r="AL186" s="5">
        <f t="shared" si="228"/>
        <v>0.6428571428571429</v>
      </c>
      <c r="AM186" s="5">
        <f>(tbl_główna_GRACZE[[#This Row],[stl]]+tbl_główna_GRACZE[[#This Row],[blk]])*(40/tbl_główna_GRACZE[[#This Row],[min]])</f>
        <v>4.2857142857142856</v>
      </c>
      <c r="AN18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0.21428571428571427</v>
      </c>
      <c r="AO186" s="25">
        <f>tbl_główna_GRACZE[[#This Row],[stl]]+tbl_główna_GRACZE[[#This Row],[blk]]+(tbl_główna_GRACZE[[#This Row],[dreb]]*0.5)</f>
        <v>5</v>
      </c>
      <c r="AP186" s="29">
        <f>(tbl_główna_GRACZE[[#This Row],[stl]]+tbl_główna_GRACZE[[#This Row],[blk]]+0.5*tbl_główna_GRACZE[[#This Row],[dreb]])/tbl_główna_GRACZE[[#This Row],[min]]</f>
        <v>0.17857142857142858</v>
      </c>
      <c r="AQ186" s="6">
        <f t="shared" si="229"/>
        <v>7.4000000000000012</v>
      </c>
      <c r="AR186" s="6">
        <f>tbl_główna_GRACZE[[#This Row],[GmSc]]*(40/tbl_główna_GRACZE[[#This Row],[min]])</f>
        <v>10.571428571428573</v>
      </c>
      <c r="AS186" s="6">
        <f>tbl_główna_GRACZE[[#This Row],[EVAL]]*(40/tbl_główna_GRACZE[[#This Row],[min]])</f>
        <v>12.857142857142858</v>
      </c>
      <c r="AT186" s="11">
        <f>tbl_główna_GRACZE[[#This Row],[fgm]]-tbl_główna_GRACZE[[#This Row],[3pm]]</f>
        <v>3</v>
      </c>
      <c r="AU186" s="11">
        <f>tbl_główna_GRACZE[[#This Row],[fga]]-tbl_główna_GRACZE[[#This Row],[3pa]]</f>
        <v>12</v>
      </c>
      <c r="AV186">
        <f>IF(tbl_główna_GRACZE[[#This Row],[min]]&gt;0,1,0)</f>
        <v>1</v>
      </c>
      <c r="AW186" s="58" t="str">
        <f>tbl_główna_GRACZE[[#This Row],[I. Nazwisko]]</f>
        <v>M. Nagrodzki</v>
      </c>
    </row>
    <row r="187" spans="1:49" x14ac:dyDescent="0.35">
      <c r="A187" t="s">
        <v>52</v>
      </c>
      <c r="B187" t="s">
        <v>25</v>
      </c>
      <c r="C187" t="s">
        <v>57</v>
      </c>
      <c r="D187" t="str">
        <f>IF(C187="H",VLOOKUP($A187,tab_nazwy_zespołów[],2,0)&amp;VLOOKUP($B187,tab_nazwy_zespołów[],2,0),VLOOKUP($B187,tab_nazwy_zespołów[],2,0)&amp;VLOOKUP($A187,tab_nazwy_zespołów[],2,0))</f>
        <v>WILHUT</v>
      </c>
      <c r="E187">
        <v>4</v>
      </c>
      <c r="F187">
        <f>COUNTIF(tbl_zawodnicy_sumy[I. Nazwisko],tbl_główna_GRACZE[[#This Row],[I. Nazwisko]])</f>
        <v>1</v>
      </c>
      <c r="G187" s="58" t="str">
        <f>RIGHT(tbl_główna_GRACZE[[#This Row],[Kolumna1]],LEN(tbl_główna_GRACZE[[#This Row],[Kolumna1]])-FIND(" ",tbl_główna_GRACZE[[#This Row],[Kolumna1]]))</f>
        <v>J. Karolczuk</v>
      </c>
      <c r="H187" s="2" t="s">
        <v>97</v>
      </c>
      <c r="I187" s="10">
        <v>4</v>
      </c>
      <c r="J187" s="10">
        <v>11</v>
      </c>
      <c r="K187" s="10">
        <v>0</v>
      </c>
      <c r="L187" s="10">
        <v>1</v>
      </c>
      <c r="M187" s="10">
        <v>0</v>
      </c>
      <c r="N187" s="10">
        <v>0</v>
      </c>
      <c r="O187" s="10">
        <v>4</v>
      </c>
      <c r="P187" s="10">
        <v>5</v>
      </c>
      <c r="Q187" s="10">
        <v>2</v>
      </c>
      <c r="R187" s="10">
        <v>1</v>
      </c>
      <c r="S187" s="10">
        <v>0</v>
      </c>
      <c r="T187" s="10">
        <v>0</v>
      </c>
      <c r="U187" s="10">
        <v>1</v>
      </c>
      <c r="V187" s="10">
        <v>19</v>
      </c>
      <c r="W187" s="10">
        <v>8</v>
      </c>
      <c r="X187" s="57">
        <f t="shared" si="219"/>
        <v>9</v>
      </c>
      <c r="Y187" s="4">
        <f t="shared" si="220"/>
        <v>0.36363636363636365</v>
      </c>
      <c r="Z187" s="4">
        <f t="shared" si="221"/>
        <v>0</v>
      </c>
      <c r="AA187" s="4">
        <f t="shared" si="222"/>
        <v>0</v>
      </c>
      <c r="AB187" s="4">
        <f>IFERROR(tbl_główna_GRACZE[[#This Row],[2pm]]/tbl_główna_GRACZE[[#This Row],[2pa]],0)</f>
        <v>0.4</v>
      </c>
      <c r="AC187" s="4">
        <f t="shared" si="223"/>
        <v>0.36363636363636365</v>
      </c>
      <c r="AD187" s="4">
        <f t="shared" si="224"/>
        <v>0.36363636363636365</v>
      </c>
      <c r="AE187" s="11">
        <f t="shared" si="225"/>
        <v>12</v>
      </c>
      <c r="AF187" s="4">
        <f t="shared" si="226"/>
        <v>0</v>
      </c>
      <c r="AG187" s="4">
        <f t="shared" si="227"/>
        <v>9.0909090909090912E-2</v>
      </c>
      <c r="AH18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0.13381995133819952</v>
      </c>
      <c r="AI187" s="25">
        <f>tbl_główna_GRACZE[[#This Row],[pts]]*(40/tbl_główna_GRACZE[[#This Row],[min]])</f>
        <v>16.842105263157894</v>
      </c>
      <c r="AJ187" s="30">
        <f>tbl_główna_GRACZE[[#This Row],[reb total]]*(40/tbl_główna_GRACZE[[#This Row],[min]])</f>
        <v>18.94736842105263</v>
      </c>
      <c r="AK187" s="30">
        <f>tbl_główna_GRACZE[[#This Row],[asst]]*(40/tbl_główna_GRACZE[[#This Row],[min]])</f>
        <v>2.1052631578947367</v>
      </c>
      <c r="AL187" s="5">
        <f t="shared" si="228"/>
        <v>0.72727272727272729</v>
      </c>
      <c r="AM187" s="5">
        <f>(tbl_główna_GRACZE[[#This Row],[stl]]+tbl_główna_GRACZE[[#This Row],[blk]])*(40/tbl_główna_GRACZE[[#This Row],[min]])</f>
        <v>2.1052631578947367</v>
      </c>
      <c r="AN18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7.1428571428571425E-2</v>
      </c>
      <c r="AO187" s="25">
        <f>tbl_główna_GRACZE[[#This Row],[stl]]+tbl_główna_GRACZE[[#This Row],[blk]]+(tbl_główna_GRACZE[[#This Row],[dreb]]*0.5)</f>
        <v>3.5</v>
      </c>
      <c r="AP187" s="29">
        <f>(tbl_główna_GRACZE[[#This Row],[stl]]+tbl_główna_GRACZE[[#This Row],[blk]]+0.5*tbl_główna_GRACZE[[#This Row],[dreb]])/tbl_główna_GRACZE[[#This Row],[min]]</f>
        <v>0.18421052631578946</v>
      </c>
      <c r="AQ187" s="6">
        <f t="shared" si="229"/>
        <v>7.9</v>
      </c>
      <c r="AR187" s="6">
        <f>tbl_główna_GRACZE[[#This Row],[GmSc]]*(40/tbl_główna_GRACZE[[#This Row],[min]])</f>
        <v>16.631578947368421</v>
      </c>
      <c r="AS187" s="6">
        <f>tbl_główna_GRACZE[[#This Row],[EVAL]]*(40/tbl_główna_GRACZE[[#This Row],[min]])</f>
        <v>25.263157894736842</v>
      </c>
      <c r="AT187" s="11">
        <f>tbl_główna_GRACZE[[#This Row],[fgm]]-tbl_główna_GRACZE[[#This Row],[3pm]]</f>
        <v>4</v>
      </c>
      <c r="AU187" s="11">
        <f>tbl_główna_GRACZE[[#This Row],[fga]]-tbl_główna_GRACZE[[#This Row],[3pa]]</f>
        <v>10</v>
      </c>
      <c r="AV187">
        <f>IF(tbl_główna_GRACZE[[#This Row],[min]]&gt;0,1,0)</f>
        <v>1</v>
      </c>
      <c r="AW187" s="58" t="str">
        <f>tbl_główna_GRACZE[[#This Row],[I. Nazwisko]]</f>
        <v>J. Karolczuk</v>
      </c>
    </row>
    <row r="188" spans="1:49" x14ac:dyDescent="0.35">
      <c r="A188" t="s">
        <v>52</v>
      </c>
      <c r="B188" t="s">
        <v>25</v>
      </c>
      <c r="C188" t="s">
        <v>57</v>
      </c>
      <c r="D188" t="str">
        <f>IF(C188="H",VLOOKUP($A188,tab_nazwy_zespołów[],2,0)&amp;VLOOKUP($B188,tab_nazwy_zespołów[],2,0),VLOOKUP($B188,tab_nazwy_zespołów[],2,0)&amp;VLOOKUP($A188,tab_nazwy_zespołów[],2,0))</f>
        <v>WILHUT</v>
      </c>
      <c r="E188">
        <v>4</v>
      </c>
      <c r="F188">
        <f>COUNTIF(tbl_zawodnicy_sumy[I. Nazwisko],tbl_główna_GRACZE[[#This Row],[I. Nazwisko]])</f>
        <v>1</v>
      </c>
      <c r="G188" s="58" t="str">
        <f>RIGHT(tbl_główna_GRACZE[[#This Row],[Kolumna1]],LEN(tbl_główna_GRACZE[[#This Row],[Kolumna1]])-FIND(" ",tbl_główna_GRACZE[[#This Row],[Kolumna1]]))</f>
        <v>A. Sikora</v>
      </c>
      <c r="H188" s="2" t="s">
        <v>346</v>
      </c>
      <c r="I188" s="10">
        <v>1</v>
      </c>
      <c r="J188" s="10">
        <v>1</v>
      </c>
      <c r="K188" s="10">
        <v>0</v>
      </c>
      <c r="L188" s="10">
        <v>0</v>
      </c>
      <c r="M188" s="10">
        <v>0</v>
      </c>
      <c r="N188" s="10">
        <v>0</v>
      </c>
      <c r="O188" s="10">
        <v>2</v>
      </c>
      <c r="P188" s="10">
        <v>4</v>
      </c>
      <c r="Q188" s="10">
        <v>1</v>
      </c>
      <c r="R188" s="10">
        <v>1</v>
      </c>
      <c r="S188" s="10">
        <v>0</v>
      </c>
      <c r="T188" s="10">
        <v>0</v>
      </c>
      <c r="U188" s="10">
        <v>1</v>
      </c>
      <c r="V188" s="10">
        <v>19</v>
      </c>
      <c r="W188" s="10">
        <v>2</v>
      </c>
      <c r="X188" s="57">
        <f t="shared" si="219"/>
        <v>6</v>
      </c>
      <c r="Y188" s="4">
        <f t="shared" si="220"/>
        <v>1</v>
      </c>
      <c r="Z188" s="4">
        <f t="shared" si="221"/>
        <v>0</v>
      </c>
      <c r="AA188" s="4">
        <f t="shared" si="222"/>
        <v>0</v>
      </c>
      <c r="AB188" s="4">
        <f>IFERROR(tbl_główna_GRACZE[[#This Row],[2pm]]/tbl_główna_GRACZE[[#This Row],[2pa]],0)</f>
        <v>1</v>
      </c>
      <c r="AC188" s="4">
        <f t="shared" si="223"/>
        <v>1</v>
      </c>
      <c r="AD188" s="4">
        <f t="shared" si="224"/>
        <v>1</v>
      </c>
      <c r="AE188" s="11">
        <f t="shared" si="225"/>
        <v>10</v>
      </c>
      <c r="AF188" s="4">
        <f t="shared" si="226"/>
        <v>0</v>
      </c>
      <c r="AG188" s="4">
        <f t="shared" si="227"/>
        <v>0</v>
      </c>
      <c r="AH18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1.21654501216545E-2</v>
      </c>
      <c r="AI188" s="25">
        <f>tbl_główna_GRACZE[[#This Row],[pts]]*(40/tbl_główna_GRACZE[[#This Row],[min]])</f>
        <v>4.2105263157894735</v>
      </c>
      <c r="AJ188" s="30">
        <f>tbl_główna_GRACZE[[#This Row],[reb total]]*(40/tbl_główna_GRACZE[[#This Row],[min]])</f>
        <v>12.631578947368421</v>
      </c>
      <c r="AK188" s="30">
        <f>tbl_główna_GRACZE[[#This Row],[asst]]*(40/tbl_główna_GRACZE[[#This Row],[min]])</f>
        <v>2.1052631578947367</v>
      </c>
      <c r="AL188" s="5">
        <f t="shared" si="228"/>
        <v>2</v>
      </c>
      <c r="AM188" s="5">
        <f>(tbl_główna_GRACZE[[#This Row],[stl]]+tbl_główna_GRACZE[[#This Row],[blk]])*(40/tbl_główna_GRACZE[[#This Row],[min]])</f>
        <v>2.1052631578947367</v>
      </c>
      <c r="AN18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7.1428571428571425E-2</v>
      </c>
      <c r="AO188" s="25">
        <f>tbl_główna_GRACZE[[#This Row],[stl]]+tbl_główna_GRACZE[[#This Row],[blk]]+(tbl_główna_GRACZE[[#This Row],[dreb]]*0.5)</f>
        <v>3</v>
      </c>
      <c r="AP188" s="29">
        <f>(tbl_główna_GRACZE[[#This Row],[stl]]+tbl_główna_GRACZE[[#This Row],[blk]]+0.5*tbl_główna_GRACZE[[#This Row],[dreb]])/tbl_główna_GRACZE[[#This Row],[min]]</f>
        <v>0.15789473684210525</v>
      </c>
      <c r="AQ188" s="6">
        <f t="shared" si="229"/>
        <v>6</v>
      </c>
      <c r="AR188" s="6">
        <f>tbl_główna_GRACZE[[#This Row],[GmSc]]*(40/tbl_główna_GRACZE[[#This Row],[min]])</f>
        <v>12.631578947368421</v>
      </c>
      <c r="AS188" s="6">
        <f>tbl_główna_GRACZE[[#This Row],[EVAL]]*(40/tbl_główna_GRACZE[[#This Row],[min]])</f>
        <v>21.052631578947366</v>
      </c>
      <c r="AT188" s="11">
        <f>tbl_główna_GRACZE[[#This Row],[fgm]]-tbl_główna_GRACZE[[#This Row],[3pm]]</f>
        <v>1</v>
      </c>
      <c r="AU188" s="11">
        <f>tbl_główna_GRACZE[[#This Row],[fga]]-tbl_główna_GRACZE[[#This Row],[3pa]]</f>
        <v>1</v>
      </c>
      <c r="AV188">
        <f>IF(tbl_główna_GRACZE[[#This Row],[min]]&gt;0,1,0)</f>
        <v>1</v>
      </c>
      <c r="AW188" s="58" t="str">
        <f>tbl_główna_GRACZE[[#This Row],[I. Nazwisko]]</f>
        <v>A. Sikora</v>
      </c>
    </row>
    <row r="189" spans="1:49" x14ac:dyDescent="0.35">
      <c r="A189" t="s">
        <v>52</v>
      </c>
      <c r="B189" t="s">
        <v>25</v>
      </c>
      <c r="C189" t="s">
        <v>57</v>
      </c>
      <c r="D189" t="str">
        <f>IF(C189="H",VLOOKUP($A189,tab_nazwy_zespołów[],2,0)&amp;VLOOKUP($B189,tab_nazwy_zespołów[],2,0),VLOOKUP($B189,tab_nazwy_zespołów[],2,0)&amp;VLOOKUP($A189,tab_nazwy_zespołów[],2,0))</f>
        <v>WILHUT</v>
      </c>
      <c r="E189">
        <v>4</v>
      </c>
      <c r="F189">
        <f>COUNTIF(tbl_zawodnicy_sumy[I. Nazwisko],tbl_główna_GRACZE[[#This Row],[I. Nazwisko]])</f>
        <v>1</v>
      </c>
      <c r="G189" s="58" t="str">
        <f>RIGHT(tbl_główna_GRACZE[[#This Row],[Kolumna1]],LEN(tbl_główna_GRACZE[[#This Row],[Kolumna1]])-FIND(" ",tbl_główna_GRACZE[[#This Row],[Kolumna1]]))</f>
        <v>M. Karczmarczyk</v>
      </c>
      <c r="H189" s="2" t="s">
        <v>95</v>
      </c>
      <c r="I189" s="10">
        <v>1</v>
      </c>
      <c r="J189" s="10">
        <v>3</v>
      </c>
      <c r="K189" s="10">
        <v>0</v>
      </c>
      <c r="L189" s="10">
        <v>1</v>
      </c>
      <c r="M189" s="10">
        <v>0</v>
      </c>
      <c r="N189" s="10">
        <v>0</v>
      </c>
      <c r="O189" s="10">
        <v>1</v>
      </c>
      <c r="P189" s="10">
        <v>2</v>
      </c>
      <c r="Q189" s="10">
        <v>1</v>
      </c>
      <c r="R189" s="10">
        <v>0</v>
      </c>
      <c r="S189" s="10">
        <v>0</v>
      </c>
      <c r="T189" s="10">
        <v>0</v>
      </c>
      <c r="U189" s="10">
        <v>1</v>
      </c>
      <c r="V189" s="10">
        <v>18</v>
      </c>
      <c r="W189" s="10">
        <v>2</v>
      </c>
      <c r="X189" s="57">
        <f t="shared" si="219"/>
        <v>3</v>
      </c>
      <c r="Y189" s="4">
        <f t="shared" si="220"/>
        <v>0.33333333333333331</v>
      </c>
      <c r="Z189" s="4">
        <f t="shared" si="221"/>
        <v>0</v>
      </c>
      <c r="AA189" s="4">
        <f t="shared" si="222"/>
        <v>0</v>
      </c>
      <c r="AB189" s="4">
        <f>IFERROR(tbl_główna_GRACZE[[#This Row],[2pm]]/tbl_główna_GRACZE[[#This Row],[2pa]],0)</f>
        <v>0.5</v>
      </c>
      <c r="AC189" s="4">
        <f t="shared" si="223"/>
        <v>0.33333333333333331</v>
      </c>
      <c r="AD189" s="4">
        <f t="shared" si="224"/>
        <v>0.33333333333333331</v>
      </c>
      <c r="AE189" s="11">
        <f t="shared" si="225"/>
        <v>4</v>
      </c>
      <c r="AF189" s="4">
        <f t="shared" si="226"/>
        <v>0</v>
      </c>
      <c r="AG189" s="4">
        <f t="shared" si="227"/>
        <v>0.33333333333333331</v>
      </c>
      <c r="AH18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3.6496350364963501E-2</v>
      </c>
      <c r="AI189" s="25">
        <f>tbl_główna_GRACZE[[#This Row],[pts]]*(40/tbl_główna_GRACZE[[#This Row],[min]])</f>
        <v>4.4444444444444446</v>
      </c>
      <c r="AJ189" s="30">
        <f>tbl_główna_GRACZE[[#This Row],[reb total]]*(40/tbl_główna_GRACZE[[#This Row],[min]])</f>
        <v>6.666666666666667</v>
      </c>
      <c r="AK189" s="30">
        <f>tbl_główna_GRACZE[[#This Row],[asst]]*(40/tbl_główna_GRACZE[[#This Row],[min]])</f>
        <v>2.2222222222222223</v>
      </c>
      <c r="AL189" s="5">
        <f t="shared" si="228"/>
        <v>0.66666666666666663</v>
      </c>
      <c r="AM189" s="5">
        <f>(tbl_główna_GRACZE[[#This Row],[stl]]+tbl_główna_GRACZE[[#This Row],[blk]])*(40/tbl_główna_GRACZE[[#This Row],[min]])</f>
        <v>0</v>
      </c>
      <c r="AN18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89" s="25">
        <f>tbl_główna_GRACZE[[#This Row],[stl]]+tbl_główna_GRACZE[[#This Row],[blk]]+(tbl_główna_GRACZE[[#This Row],[dreb]]*0.5)</f>
        <v>1</v>
      </c>
      <c r="AP189" s="29">
        <f>(tbl_główna_GRACZE[[#This Row],[stl]]+tbl_główna_GRACZE[[#This Row],[blk]]+0.5*tbl_główna_GRACZE[[#This Row],[dreb]])/tbl_główna_GRACZE[[#This Row],[min]]</f>
        <v>5.5555555555555552E-2</v>
      </c>
      <c r="AQ189" s="6">
        <f t="shared" si="229"/>
        <v>2.2999999999999998</v>
      </c>
      <c r="AR189" s="6">
        <f>tbl_główna_GRACZE[[#This Row],[GmSc]]*(40/tbl_główna_GRACZE[[#This Row],[min]])</f>
        <v>5.1111111111111107</v>
      </c>
      <c r="AS189" s="6">
        <f>tbl_główna_GRACZE[[#This Row],[EVAL]]*(40/tbl_główna_GRACZE[[#This Row],[min]])</f>
        <v>8.8888888888888893</v>
      </c>
      <c r="AT189" s="11">
        <f>tbl_główna_GRACZE[[#This Row],[fgm]]-tbl_główna_GRACZE[[#This Row],[3pm]]</f>
        <v>1</v>
      </c>
      <c r="AU189" s="11">
        <f>tbl_główna_GRACZE[[#This Row],[fga]]-tbl_główna_GRACZE[[#This Row],[3pa]]</f>
        <v>2</v>
      </c>
      <c r="AV189">
        <f>IF(tbl_główna_GRACZE[[#This Row],[min]]&gt;0,1,0)</f>
        <v>1</v>
      </c>
      <c r="AW189" s="58" t="str">
        <f>tbl_główna_GRACZE[[#This Row],[I. Nazwisko]]</f>
        <v>M. Karczmarczyk</v>
      </c>
    </row>
    <row r="190" spans="1:49" x14ac:dyDescent="0.35">
      <c r="A190" t="s">
        <v>52</v>
      </c>
      <c r="B190" t="s">
        <v>25</v>
      </c>
      <c r="C190" t="s">
        <v>57</v>
      </c>
      <c r="D190" t="str">
        <f>IF(C190="H",VLOOKUP($A190,tab_nazwy_zespołów[],2,0)&amp;VLOOKUP($B190,tab_nazwy_zespołów[],2,0),VLOOKUP($B190,tab_nazwy_zespołów[],2,0)&amp;VLOOKUP($A190,tab_nazwy_zespołów[],2,0))</f>
        <v>WILHUT</v>
      </c>
      <c r="E190">
        <v>4</v>
      </c>
      <c r="F190">
        <f>COUNTIF(tbl_zawodnicy_sumy[I. Nazwisko],tbl_główna_GRACZE[[#This Row],[I. Nazwisko]])</f>
        <v>1</v>
      </c>
      <c r="G190" s="58" t="str">
        <f>RIGHT(tbl_główna_GRACZE[[#This Row],[Kolumna1]],LEN(tbl_główna_GRACZE[[#This Row],[Kolumna1]])-FIND(" ",tbl_główna_GRACZE[[#This Row],[Kolumna1]]))</f>
        <v>P. Michalski</v>
      </c>
      <c r="H190" s="2" t="s">
        <v>347</v>
      </c>
      <c r="I190" s="10">
        <v>0</v>
      </c>
      <c r="J190" s="10">
        <v>2</v>
      </c>
      <c r="K190" s="10">
        <v>0</v>
      </c>
      <c r="L190" s="10">
        <v>1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1</v>
      </c>
      <c r="S190" s="10">
        <v>0</v>
      </c>
      <c r="T190" s="10">
        <v>0</v>
      </c>
      <c r="U190" s="10">
        <v>1</v>
      </c>
      <c r="V190" s="10">
        <v>8</v>
      </c>
      <c r="W190" s="10">
        <v>0</v>
      </c>
      <c r="X190" s="57">
        <f t="shared" si="219"/>
        <v>0</v>
      </c>
      <c r="Y190" s="4">
        <f t="shared" si="220"/>
        <v>0</v>
      </c>
      <c r="Z190" s="4">
        <f t="shared" si="221"/>
        <v>0</v>
      </c>
      <c r="AA190" s="4">
        <f t="shared" si="222"/>
        <v>0</v>
      </c>
      <c r="AB190" s="4">
        <f>IFERROR(tbl_główna_GRACZE[[#This Row],[2pm]]/tbl_główna_GRACZE[[#This Row],[2pa]],0)</f>
        <v>0</v>
      </c>
      <c r="AC190" s="4">
        <f t="shared" si="223"/>
        <v>0</v>
      </c>
      <c r="AD190" s="4">
        <f t="shared" si="224"/>
        <v>0</v>
      </c>
      <c r="AE190" s="11">
        <f t="shared" si="225"/>
        <v>0</v>
      </c>
      <c r="AF190" s="4">
        <f t="shared" si="226"/>
        <v>0</v>
      </c>
      <c r="AG190" s="4">
        <f t="shared" si="227"/>
        <v>0.5</v>
      </c>
      <c r="AH19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2.4330900243309E-2</v>
      </c>
      <c r="AI190" s="25">
        <f>tbl_główna_GRACZE[[#This Row],[pts]]*(40/tbl_główna_GRACZE[[#This Row],[min]])</f>
        <v>0</v>
      </c>
      <c r="AJ190" s="30">
        <f>tbl_główna_GRACZE[[#This Row],[reb total]]*(40/tbl_główna_GRACZE[[#This Row],[min]])</f>
        <v>0</v>
      </c>
      <c r="AK190" s="30">
        <f>tbl_główna_GRACZE[[#This Row],[asst]]*(40/tbl_główna_GRACZE[[#This Row],[min]])</f>
        <v>5</v>
      </c>
      <c r="AL190" s="5">
        <f t="shared" si="228"/>
        <v>0</v>
      </c>
      <c r="AM190" s="5">
        <f>(tbl_główna_GRACZE[[#This Row],[stl]]+tbl_główna_GRACZE[[#This Row],[blk]])*(40/tbl_główna_GRACZE[[#This Row],[min]])</f>
        <v>5</v>
      </c>
      <c r="AN19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7.1428571428571425E-2</v>
      </c>
      <c r="AO190" s="25">
        <f>tbl_główna_GRACZE[[#This Row],[stl]]+tbl_główna_GRACZE[[#This Row],[blk]]+(tbl_główna_GRACZE[[#This Row],[dreb]]*0.5)</f>
        <v>1</v>
      </c>
      <c r="AP190" s="29">
        <f>(tbl_główna_GRACZE[[#This Row],[stl]]+tbl_główna_GRACZE[[#This Row],[blk]]+0.5*tbl_główna_GRACZE[[#This Row],[dreb]])/tbl_główna_GRACZE[[#This Row],[min]]</f>
        <v>0.125</v>
      </c>
      <c r="AQ190" s="6">
        <f t="shared" si="229"/>
        <v>0.30000000000000004</v>
      </c>
      <c r="AR190" s="6">
        <f>tbl_główna_GRACZE[[#This Row],[GmSc]]*(40/tbl_główna_GRACZE[[#This Row],[min]])</f>
        <v>1.5000000000000002</v>
      </c>
      <c r="AS190" s="6">
        <f>tbl_główna_GRACZE[[#This Row],[EVAL]]*(40/tbl_główna_GRACZE[[#This Row],[min]])</f>
        <v>0</v>
      </c>
      <c r="AT190" s="11">
        <f>tbl_główna_GRACZE[[#This Row],[fgm]]-tbl_główna_GRACZE[[#This Row],[3pm]]</f>
        <v>0</v>
      </c>
      <c r="AU190" s="11">
        <f>tbl_główna_GRACZE[[#This Row],[fga]]-tbl_główna_GRACZE[[#This Row],[3pa]]</f>
        <v>1</v>
      </c>
      <c r="AV190">
        <f>IF(tbl_główna_GRACZE[[#This Row],[min]]&gt;0,1,0)</f>
        <v>1</v>
      </c>
      <c r="AW190" s="58" t="str">
        <f>tbl_główna_GRACZE[[#This Row],[I. Nazwisko]]</f>
        <v>P. Michalski</v>
      </c>
    </row>
    <row r="191" spans="1:49" x14ac:dyDescent="0.35">
      <c r="A191" t="s">
        <v>25</v>
      </c>
      <c r="B191" t="s">
        <v>52</v>
      </c>
      <c r="C191" t="s">
        <v>58</v>
      </c>
      <c r="D191" t="str">
        <f>IF(C191="H",VLOOKUP($A191,tab_nazwy_zespołów[],2,0)&amp;VLOOKUP($B191,tab_nazwy_zespołów[],2,0),VLOOKUP($B191,tab_nazwy_zespołów[],2,0)&amp;VLOOKUP($A191,tab_nazwy_zespołów[],2,0))</f>
        <v>WILHUT</v>
      </c>
      <c r="E191">
        <v>4</v>
      </c>
      <c r="F191">
        <f>COUNTIF(tbl_zawodnicy_sumy[I. Nazwisko],tbl_główna_GRACZE[[#This Row],[I. Nazwisko]])</f>
        <v>1</v>
      </c>
      <c r="G191" s="58" t="str">
        <f>RIGHT(tbl_główna_GRACZE[[#This Row],[Kolumna1]],LEN(tbl_główna_GRACZE[[#This Row],[Kolumna1]])-FIND(" ",tbl_główna_GRACZE[[#This Row],[Kolumna1]]))</f>
        <v>D. Reguła</v>
      </c>
      <c r="H191" s="9" t="s">
        <v>23</v>
      </c>
      <c r="I191" s="10">
        <v>10</v>
      </c>
      <c r="J191" s="10">
        <v>37</v>
      </c>
      <c r="K191" s="10">
        <v>9</v>
      </c>
      <c r="L191" s="10">
        <v>33</v>
      </c>
      <c r="M191" s="10">
        <v>1</v>
      </c>
      <c r="N191" s="10">
        <v>4</v>
      </c>
      <c r="O191" s="9">
        <v>0</v>
      </c>
      <c r="P191" s="9">
        <v>2</v>
      </c>
      <c r="Q191" s="9">
        <v>0</v>
      </c>
      <c r="R191" s="9">
        <v>0</v>
      </c>
      <c r="S191" s="9">
        <v>0</v>
      </c>
      <c r="T191" s="9">
        <v>1</v>
      </c>
      <c r="U191" s="9">
        <v>1</v>
      </c>
      <c r="V191" s="9">
        <v>40</v>
      </c>
      <c r="W191" s="9">
        <v>30</v>
      </c>
      <c r="X191" s="57">
        <f>O191+P191</f>
        <v>2</v>
      </c>
      <c r="Y191" s="4">
        <f>I191/J191</f>
        <v>0.27027027027027029</v>
      </c>
      <c r="Z191" s="4">
        <f>IFERROR(K191/L191,0)</f>
        <v>0.27272727272727271</v>
      </c>
      <c r="AA191" s="4">
        <f>IFERROR(M191/N191,0)</f>
        <v>0.25</v>
      </c>
      <c r="AB191" s="4">
        <f>IFERROR(tbl_główna_GRACZE[[#This Row],[2pm]]/tbl_główna_GRACZE[[#This Row],[2pa]],0)</f>
        <v>0.25</v>
      </c>
      <c r="AC191" s="4">
        <f>W191/(2*(J191+0.44*N191))</f>
        <v>0.38699690402476783</v>
      </c>
      <c r="AD191" s="4">
        <f>(I191+0.5*K191)/J191</f>
        <v>0.39189189189189189</v>
      </c>
      <c r="AE191" s="11">
        <f>R191+T191+U191+W191+X191-(J191-I191)-(N191-M191)</f>
        <v>4</v>
      </c>
      <c r="AF191" s="4">
        <f>N191/J191</f>
        <v>0.10810810810810811</v>
      </c>
      <c r="AG191" s="4">
        <f>L191/J191</f>
        <v>0.89189189189189189</v>
      </c>
      <c r="AH19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0.55657668006892591</v>
      </c>
      <c r="AI191" s="25">
        <f>tbl_główna_GRACZE[[#This Row],[pts]]*(40/tbl_główna_GRACZE[[#This Row],[min]])</f>
        <v>30</v>
      </c>
      <c r="AJ191" s="30">
        <f>tbl_główna_GRACZE[[#This Row],[reb total]]*(40/tbl_główna_GRACZE[[#This Row],[min]])</f>
        <v>2</v>
      </c>
      <c r="AK191" s="30">
        <f>tbl_główna_GRACZE[[#This Row],[asst]]*(40/tbl_główna_GRACZE[[#This Row],[min]])</f>
        <v>1</v>
      </c>
      <c r="AL191" s="5">
        <f>W191/J191</f>
        <v>0.81081081081081086</v>
      </c>
      <c r="AM191" s="5">
        <f>(tbl_główna_GRACZE[[#This Row],[stl]]+tbl_główna_GRACZE[[#This Row],[blk]])*(40/tbl_główna_GRACZE[[#This Row],[min]])</f>
        <v>1</v>
      </c>
      <c r="AN19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191" s="25">
        <f>tbl_główna_GRACZE[[#This Row],[stl]]+tbl_główna_GRACZE[[#This Row],[blk]]+(tbl_główna_GRACZE[[#This Row],[dreb]]*0.5)</f>
        <v>2</v>
      </c>
      <c r="AP191" s="29">
        <f>(tbl_główna_GRACZE[[#This Row],[stl]]+tbl_główna_GRACZE[[#This Row],[blk]]+0.5*tbl_główna_GRACZE[[#This Row],[dreb]])/tbl_główna_GRACZE[[#This Row],[min]]</f>
        <v>0.05</v>
      </c>
      <c r="AQ191" s="6">
        <f>W191+0.4*I191-0.7*J191-0.4*(N191-M191)+0.7*O191+0.3*P191+R191+0.7*U191+0.7*T191</f>
        <v>8.9</v>
      </c>
      <c r="AR191" s="6">
        <f>tbl_główna_GRACZE[[#This Row],[GmSc]]*(40/tbl_główna_GRACZE[[#This Row],[min]])</f>
        <v>8.9</v>
      </c>
      <c r="AS191" s="6">
        <f>tbl_główna_GRACZE[[#This Row],[EVAL]]*(40/tbl_główna_GRACZE[[#This Row],[min]])</f>
        <v>4</v>
      </c>
      <c r="AT191" s="11">
        <f>tbl_główna_GRACZE[[#This Row],[fgm]]-tbl_główna_GRACZE[[#This Row],[3pm]]</f>
        <v>1</v>
      </c>
      <c r="AU191" s="11">
        <f>tbl_główna_GRACZE[[#This Row],[fga]]-tbl_główna_GRACZE[[#This Row],[3pa]]</f>
        <v>4</v>
      </c>
      <c r="AV191">
        <f>IF(tbl_główna_GRACZE[[#This Row],[min]]&gt;0,1,0)</f>
        <v>1</v>
      </c>
      <c r="AW191" s="58" t="str">
        <f>tbl_główna_GRACZE[[#This Row],[I. Nazwisko]]</f>
        <v>D. Reguła</v>
      </c>
    </row>
    <row r="192" spans="1:49" x14ac:dyDescent="0.35">
      <c r="A192" t="s">
        <v>25</v>
      </c>
      <c r="B192" t="s">
        <v>52</v>
      </c>
      <c r="C192" t="s">
        <v>58</v>
      </c>
      <c r="D192" t="str">
        <f>IF(C192="H",VLOOKUP($A192,tab_nazwy_zespołów[],2,0)&amp;VLOOKUP($B192,tab_nazwy_zespołów[],2,0),VLOOKUP($B192,tab_nazwy_zespołów[],2,0)&amp;VLOOKUP($A192,tab_nazwy_zespołów[],2,0))</f>
        <v>WILHUT</v>
      </c>
      <c r="E192">
        <v>4</v>
      </c>
      <c r="F192">
        <f>COUNTIF(tbl_zawodnicy_sumy[I. Nazwisko],tbl_główna_GRACZE[[#This Row],[I. Nazwisko]])</f>
        <v>1</v>
      </c>
      <c r="G192" s="58" t="str">
        <f>RIGHT(tbl_główna_GRACZE[[#This Row],[Kolumna1]],LEN(tbl_główna_GRACZE[[#This Row],[Kolumna1]])-FIND(" ",tbl_główna_GRACZE[[#This Row],[Kolumna1]]))</f>
        <v>K. Grzegorzak</v>
      </c>
      <c r="H192" s="2" t="s">
        <v>391</v>
      </c>
      <c r="I192" s="10">
        <v>4</v>
      </c>
      <c r="J192" s="10">
        <v>14</v>
      </c>
      <c r="K192" s="10">
        <v>1</v>
      </c>
      <c r="L192" s="10">
        <v>6</v>
      </c>
      <c r="M192" s="10">
        <v>0</v>
      </c>
      <c r="N192" s="10">
        <v>0</v>
      </c>
      <c r="O192" s="10">
        <v>3</v>
      </c>
      <c r="P192" s="10">
        <v>8</v>
      </c>
      <c r="Q192" s="10">
        <v>2</v>
      </c>
      <c r="R192" s="10">
        <v>3</v>
      </c>
      <c r="S192" s="10">
        <v>0</v>
      </c>
      <c r="T192" s="10">
        <v>0</v>
      </c>
      <c r="U192" s="10">
        <v>4</v>
      </c>
      <c r="V192" s="10">
        <v>40</v>
      </c>
      <c r="W192" s="10">
        <v>9</v>
      </c>
      <c r="X192" s="57">
        <f t="shared" ref="X192:X194" si="230">O192+P192</f>
        <v>11</v>
      </c>
      <c r="Y192" s="4">
        <f t="shared" ref="Y192:Y194" si="231">I192/J192</f>
        <v>0.2857142857142857</v>
      </c>
      <c r="Z192" s="4">
        <f t="shared" ref="Z192:Z194" si="232">IFERROR(K192/L192,0)</f>
        <v>0.16666666666666666</v>
      </c>
      <c r="AA192" s="4">
        <f t="shared" ref="AA192:AA194" si="233">IFERROR(M192/N192,0)</f>
        <v>0</v>
      </c>
      <c r="AB192" s="4">
        <f>IFERROR(tbl_główna_GRACZE[[#This Row],[2pm]]/tbl_główna_GRACZE[[#This Row],[2pa]],0)</f>
        <v>0.375</v>
      </c>
      <c r="AC192" s="4">
        <f t="shared" ref="AC192:AC194" si="234">W192/(2*(J192+0.44*N192))</f>
        <v>0.32142857142857145</v>
      </c>
      <c r="AD192" s="4">
        <f t="shared" ref="AD192:AD194" si="235">(I192+0.5*K192)/J192</f>
        <v>0.32142857142857145</v>
      </c>
      <c r="AE192" s="11">
        <f t="shared" ref="AE192:AE194" si="236">R192+T192+U192+W192+X192-(J192-I192)-(N192-M192)</f>
        <v>17</v>
      </c>
      <c r="AF192" s="4">
        <f t="shared" ref="AF192:AF194" si="237">N192/J192</f>
        <v>0</v>
      </c>
      <c r="AG192" s="4">
        <f t="shared" ref="AG192:AG194" si="238">L192/J192</f>
        <v>0.42857142857142855</v>
      </c>
      <c r="AH19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0.20103388856978749</v>
      </c>
      <c r="AI192" s="25">
        <f>tbl_główna_GRACZE[[#This Row],[pts]]*(40/tbl_główna_GRACZE[[#This Row],[min]])</f>
        <v>9</v>
      </c>
      <c r="AJ192" s="30">
        <f>tbl_główna_GRACZE[[#This Row],[reb total]]*(40/tbl_główna_GRACZE[[#This Row],[min]])</f>
        <v>11</v>
      </c>
      <c r="AK192" s="30">
        <f>tbl_główna_GRACZE[[#This Row],[asst]]*(40/tbl_główna_GRACZE[[#This Row],[min]])</f>
        <v>4</v>
      </c>
      <c r="AL192" s="5">
        <f t="shared" ref="AL192:AL194" si="239">W192/J192</f>
        <v>0.6428571428571429</v>
      </c>
      <c r="AM192" s="5">
        <f>(tbl_główna_GRACZE[[#This Row],[stl]]+tbl_główna_GRACZE[[#This Row],[blk]])*(40/tbl_główna_GRACZE[[#This Row],[min]])</f>
        <v>3</v>
      </c>
      <c r="AN19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0.42857142857142855</v>
      </c>
      <c r="AO192" s="25">
        <f>tbl_główna_GRACZE[[#This Row],[stl]]+tbl_główna_GRACZE[[#This Row],[blk]]+(tbl_główna_GRACZE[[#This Row],[dreb]]*0.5)</f>
        <v>7</v>
      </c>
      <c r="AP192" s="29">
        <f>(tbl_główna_GRACZE[[#This Row],[stl]]+tbl_główna_GRACZE[[#This Row],[blk]]+0.5*tbl_główna_GRACZE[[#This Row],[dreb]])/tbl_główna_GRACZE[[#This Row],[min]]</f>
        <v>0.17499999999999999</v>
      </c>
      <c r="AQ192" s="6">
        <f t="shared" ref="AQ192:AQ194" si="240">W192+0.4*I192-0.7*J192-0.4*(N192-M192)+0.7*O192+0.3*P192+R192+0.7*U192+0.7*T192</f>
        <v>11.100000000000001</v>
      </c>
      <c r="AR192" s="6">
        <f>tbl_główna_GRACZE[[#This Row],[GmSc]]*(40/tbl_główna_GRACZE[[#This Row],[min]])</f>
        <v>11.100000000000001</v>
      </c>
      <c r="AS192" s="6">
        <f>tbl_główna_GRACZE[[#This Row],[EVAL]]*(40/tbl_główna_GRACZE[[#This Row],[min]])</f>
        <v>17</v>
      </c>
      <c r="AT192" s="11">
        <f>tbl_główna_GRACZE[[#This Row],[fgm]]-tbl_główna_GRACZE[[#This Row],[3pm]]</f>
        <v>3</v>
      </c>
      <c r="AU192" s="11">
        <f>tbl_główna_GRACZE[[#This Row],[fga]]-tbl_główna_GRACZE[[#This Row],[3pa]]</f>
        <v>8</v>
      </c>
      <c r="AV192">
        <f>IF(tbl_główna_GRACZE[[#This Row],[min]]&gt;0,1,0)</f>
        <v>1</v>
      </c>
      <c r="AW192" s="58" t="str">
        <f>tbl_główna_GRACZE[[#This Row],[I. Nazwisko]]</f>
        <v>K. Grzegorzak</v>
      </c>
    </row>
    <row r="193" spans="1:49" x14ac:dyDescent="0.35">
      <c r="A193" t="s">
        <v>25</v>
      </c>
      <c r="B193" t="s">
        <v>52</v>
      </c>
      <c r="C193" t="s">
        <v>58</v>
      </c>
      <c r="D193" t="str">
        <f>IF(C193="H",VLOOKUP($A193,tab_nazwy_zespołów[],2,0)&amp;VLOOKUP($B193,tab_nazwy_zespołów[],2,0),VLOOKUP($B193,tab_nazwy_zespołów[],2,0)&amp;VLOOKUP($A193,tab_nazwy_zespołów[],2,0))</f>
        <v>WILHUT</v>
      </c>
      <c r="E193">
        <v>4</v>
      </c>
      <c r="F193">
        <f>COUNTIF(tbl_zawodnicy_sumy[I. Nazwisko],tbl_główna_GRACZE[[#This Row],[I. Nazwisko]])</f>
        <v>1</v>
      </c>
      <c r="G193" s="58" t="str">
        <f>RIGHT(tbl_główna_GRACZE[[#This Row],[Kolumna1]],LEN(tbl_główna_GRACZE[[#This Row],[Kolumna1]])-FIND(" ",tbl_główna_GRACZE[[#This Row],[Kolumna1]]))</f>
        <v>P. Targoński</v>
      </c>
      <c r="H193" s="2" t="s">
        <v>24</v>
      </c>
      <c r="I193" s="10">
        <v>3</v>
      </c>
      <c r="J193" s="10">
        <v>11</v>
      </c>
      <c r="K193" s="10">
        <v>1</v>
      </c>
      <c r="L193" s="10">
        <v>4</v>
      </c>
      <c r="M193" s="10">
        <v>0</v>
      </c>
      <c r="N193" s="10">
        <v>2</v>
      </c>
      <c r="O193" s="10">
        <v>8</v>
      </c>
      <c r="P193" s="10">
        <v>15</v>
      </c>
      <c r="Q193" s="10">
        <v>2</v>
      </c>
      <c r="R193" s="10">
        <v>0</v>
      </c>
      <c r="S193" s="10">
        <v>0</v>
      </c>
      <c r="T193" s="10">
        <v>0</v>
      </c>
      <c r="U193" s="10">
        <v>4</v>
      </c>
      <c r="V193" s="10">
        <v>40</v>
      </c>
      <c r="W193" s="10">
        <v>9</v>
      </c>
      <c r="X193" s="57">
        <f t="shared" si="230"/>
        <v>23</v>
      </c>
      <c r="Y193" s="4">
        <f t="shared" si="231"/>
        <v>0.27272727272727271</v>
      </c>
      <c r="Z193" s="4">
        <f t="shared" si="232"/>
        <v>0.25</v>
      </c>
      <c r="AA193" s="4">
        <f t="shared" si="233"/>
        <v>0</v>
      </c>
      <c r="AB193" s="4">
        <f>IFERROR(tbl_główna_GRACZE[[#This Row],[2pm]]/tbl_główna_GRACZE[[#This Row],[2pa]],0)</f>
        <v>0.2857142857142857</v>
      </c>
      <c r="AC193" s="4">
        <f t="shared" si="234"/>
        <v>0.37878787878787878</v>
      </c>
      <c r="AD193" s="4">
        <f t="shared" si="235"/>
        <v>0.31818181818181818</v>
      </c>
      <c r="AE193" s="11">
        <f t="shared" si="236"/>
        <v>26</v>
      </c>
      <c r="AF193" s="4">
        <f t="shared" si="237"/>
        <v>0.18181818181818182</v>
      </c>
      <c r="AG193" s="4">
        <f t="shared" si="238"/>
        <v>0.36363636363636365</v>
      </c>
      <c r="AH19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0.17059161401493395</v>
      </c>
      <c r="AI193" s="25">
        <f>tbl_główna_GRACZE[[#This Row],[pts]]*(40/tbl_główna_GRACZE[[#This Row],[min]])</f>
        <v>9</v>
      </c>
      <c r="AJ193" s="30">
        <f>tbl_główna_GRACZE[[#This Row],[reb total]]*(40/tbl_główna_GRACZE[[#This Row],[min]])</f>
        <v>23</v>
      </c>
      <c r="AK193" s="30">
        <f>tbl_główna_GRACZE[[#This Row],[asst]]*(40/tbl_główna_GRACZE[[#This Row],[min]])</f>
        <v>4</v>
      </c>
      <c r="AL193" s="5">
        <f t="shared" si="239"/>
        <v>0.81818181818181823</v>
      </c>
      <c r="AM193" s="5">
        <f>(tbl_główna_GRACZE[[#This Row],[stl]]+tbl_główna_GRACZE[[#This Row],[blk]])*(40/tbl_główna_GRACZE[[#This Row],[min]])</f>
        <v>0</v>
      </c>
      <c r="AN19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93" s="25">
        <f>tbl_główna_GRACZE[[#This Row],[stl]]+tbl_główna_GRACZE[[#This Row],[blk]]+(tbl_główna_GRACZE[[#This Row],[dreb]]*0.5)</f>
        <v>7.5</v>
      </c>
      <c r="AP193" s="29">
        <f>(tbl_główna_GRACZE[[#This Row],[stl]]+tbl_główna_GRACZE[[#This Row],[blk]]+0.5*tbl_główna_GRACZE[[#This Row],[dreb]])/tbl_główna_GRACZE[[#This Row],[min]]</f>
        <v>0.1875</v>
      </c>
      <c r="AQ193" s="6">
        <f t="shared" si="240"/>
        <v>14.600000000000001</v>
      </c>
      <c r="AR193" s="6">
        <f>tbl_główna_GRACZE[[#This Row],[GmSc]]*(40/tbl_główna_GRACZE[[#This Row],[min]])</f>
        <v>14.600000000000001</v>
      </c>
      <c r="AS193" s="6">
        <f>tbl_główna_GRACZE[[#This Row],[EVAL]]*(40/tbl_główna_GRACZE[[#This Row],[min]])</f>
        <v>26</v>
      </c>
      <c r="AT193" s="11">
        <f>tbl_główna_GRACZE[[#This Row],[fgm]]-tbl_główna_GRACZE[[#This Row],[3pm]]</f>
        <v>2</v>
      </c>
      <c r="AU193" s="11">
        <f>tbl_główna_GRACZE[[#This Row],[fga]]-tbl_główna_GRACZE[[#This Row],[3pa]]</f>
        <v>7</v>
      </c>
      <c r="AV193">
        <f>IF(tbl_główna_GRACZE[[#This Row],[min]]&gt;0,1,0)</f>
        <v>1</v>
      </c>
      <c r="AW193" s="58" t="str">
        <f>tbl_główna_GRACZE[[#This Row],[I. Nazwisko]]</f>
        <v>P. Targoński</v>
      </c>
    </row>
    <row r="194" spans="1:49" x14ac:dyDescent="0.35">
      <c r="A194" t="s">
        <v>25</v>
      </c>
      <c r="B194" t="s">
        <v>52</v>
      </c>
      <c r="C194" t="s">
        <v>58</v>
      </c>
      <c r="D194" t="str">
        <f>IF(C194="H",VLOOKUP($A194,tab_nazwy_zespołów[],2,0)&amp;VLOOKUP($B194,tab_nazwy_zespołów[],2,0),VLOOKUP($B194,tab_nazwy_zespołów[],2,0)&amp;VLOOKUP($A194,tab_nazwy_zespołów[],2,0))</f>
        <v>WILHUT</v>
      </c>
      <c r="E194">
        <v>4</v>
      </c>
      <c r="F194">
        <f>COUNTIF(tbl_zawodnicy_sumy[I. Nazwisko],tbl_główna_GRACZE[[#This Row],[I. Nazwisko]])</f>
        <v>1</v>
      </c>
      <c r="G194" s="58" t="str">
        <f>RIGHT(tbl_główna_GRACZE[[#This Row],[Kolumna1]],LEN(tbl_główna_GRACZE[[#This Row],[Kolumna1]])-FIND(" ",tbl_główna_GRACZE[[#This Row],[Kolumna1]]))</f>
        <v>V. Kurshynov</v>
      </c>
      <c r="H194" s="2" t="s">
        <v>405</v>
      </c>
      <c r="I194" s="10">
        <v>1</v>
      </c>
      <c r="J194" s="10">
        <v>5</v>
      </c>
      <c r="K194" s="10">
        <v>0</v>
      </c>
      <c r="L194" s="10">
        <v>2</v>
      </c>
      <c r="M194" s="10">
        <v>0</v>
      </c>
      <c r="N194" s="10">
        <v>0</v>
      </c>
      <c r="O194" s="10">
        <v>3</v>
      </c>
      <c r="P194" s="10">
        <v>6</v>
      </c>
      <c r="Q194" s="10">
        <v>1</v>
      </c>
      <c r="R194" s="10">
        <v>3</v>
      </c>
      <c r="S194" s="10">
        <v>0</v>
      </c>
      <c r="T194" s="10">
        <v>0</v>
      </c>
      <c r="U194" s="10">
        <v>2</v>
      </c>
      <c r="V194" s="10">
        <v>40</v>
      </c>
      <c r="W194" s="10">
        <v>2</v>
      </c>
      <c r="X194" s="57">
        <f t="shared" si="230"/>
        <v>9</v>
      </c>
      <c r="Y194" s="4">
        <f t="shared" si="231"/>
        <v>0.2</v>
      </c>
      <c r="Z194" s="4">
        <f t="shared" si="232"/>
        <v>0</v>
      </c>
      <c r="AA194" s="4">
        <f t="shared" si="233"/>
        <v>0</v>
      </c>
      <c r="AB194" s="4">
        <f>IFERROR(tbl_główna_GRACZE[[#This Row],[2pm]]/tbl_główna_GRACZE[[#This Row],[2pa]],0)</f>
        <v>0.33333333333333331</v>
      </c>
      <c r="AC194" s="4">
        <f t="shared" si="234"/>
        <v>0.2</v>
      </c>
      <c r="AD194" s="4">
        <f t="shared" si="235"/>
        <v>0.2</v>
      </c>
      <c r="AE194" s="11">
        <f t="shared" si="236"/>
        <v>12</v>
      </c>
      <c r="AF194" s="4">
        <f t="shared" si="237"/>
        <v>0</v>
      </c>
      <c r="AG194" s="4">
        <f t="shared" si="238"/>
        <v>0.4</v>
      </c>
      <c r="AH19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7.1797817346352669E-2</v>
      </c>
      <c r="AI194" s="25">
        <f>tbl_główna_GRACZE[[#This Row],[pts]]*(40/tbl_główna_GRACZE[[#This Row],[min]])</f>
        <v>2</v>
      </c>
      <c r="AJ194" s="30">
        <f>tbl_główna_GRACZE[[#This Row],[reb total]]*(40/tbl_główna_GRACZE[[#This Row],[min]])</f>
        <v>9</v>
      </c>
      <c r="AK194" s="30">
        <f>tbl_główna_GRACZE[[#This Row],[asst]]*(40/tbl_główna_GRACZE[[#This Row],[min]])</f>
        <v>2</v>
      </c>
      <c r="AL194" s="5">
        <f t="shared" si="239"/>
        <v>0.4</v>
      </c>
      <c r="AM194" s="5">
        <f>(tbl_główna_GRACZE[[#This Row],[stl]]+tbl_główna_GRACZE[[#This Row],[blk]])*(40/tbl_główna_GRACZE[[#This Row],[min]])</f>
        <v>3</v>
      </c>
      <c r="AN19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0.42857142857142855</v>
      </c>
      <c r="AO194" s="25">
        <f>tbl_główna_GRACZE[[#This Row],[stl]]+tbl_główna_GRACZE[[#This Row],[blk]]+(tbl_główna_GRACZE[[#This Row],[dreb]]*0.5)</f>
        <v>6</v>
      </c>
      <c r="AP194" s="29">
        <f>(tbl_główna_GRACZE[[#This Row],[stl]]+tbl_główna_GRACZE[[#This Row],[blk]]+0.5*tbl_główna_GRACZE[[#This Row],[dreb]])/tbl_główna_GRACZE[[#This Row],[min]]</f>
        <v>0.15</v>
      </c>
      <c r="AQ194" s="6">
        <f t="shared" si="240"/>
        <v>7.1999999999999993</v>
      </c>
      <c r="AR194" s="6">
        <f>tbl_główna_GRACZE[[#This Row],[GmSc]]*(40/tbl_główna_GRACZE[[#This Row],[min]])</f>
        <v>7.1999999999999993</v>
      </c>
      <c r="AS194" s="6">
        <f>tbl_główna_GRACZE[[#This Row],[EVAL]]*(40/tbl_główna_GRACZE[[#This Row],[min]])</f>
        <v>12</v>
      </c>
      <c r="AT194" s="11">
        <f>tbl_główna_GRACZE[[#This Row],[fgm]]-tbl_główna_GRACZE[[#This Row],[3pm]]</f>
        <v>1</v>
      </c>
      <c r="AU194" s="11">
        <f>tbl_główna_GRACZE[[#This Row],[fga]]-tbl_główna_GRACZE[[#This Row],[3pa]]</f>
        <v>3</v>
      </c>
      <c r="AV194">
        <f>IF(tbl_główna_GRACZE[[#This Row],[min]]&gt;0,1,0)</f>
        <v>1</v>
      </c>
      <c r="AW194" s="58" t="str">
        <f>tbl_główna_GRACZE[[#This Row],[I. Nazwisko]]</f>
        <v>V. Kurshynov</v>
      </c>
    </row>
  </sheetData>
  <sheetProtection algorithmName="SHA-512" hashValue="pkbEC9Kw8pHP4IFVgqjist20HWTxu9sY+nCy1/vTYLDVdXgJf8UvAqeL5jEJoHm9Cz317sLRlts6uRlbhvzTIw==" saltValue="/HrVZKG+ZKKEFi8d9FGDBA==" spinCount="100000" sheet="1" objects="1" scenarios="1" pivotTables="0"/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99A0-3C76-4EEC-BB49-C56063A7F24F}">
  <dimension ref="A2:BD28"/>
  <sheetViews>
    <sheetView workbookViewId="0">
      <pane xSplit="1" topLeftCell="B1" activePane="topRight" state="frozen"/>
      <selection pane="topRight" activeCell="AZ28" sqref="AZ28"/>
    </sheetView>
  </sheetViews>
  <sheetFormatPr defaultRowHeight="14.5" x14ac:dyDescent="0.35"/>
  <cols>
    <col min="1" max="2" width="15.54296875" bestFit="1" customWidth="1"/>
    <col min="3" max="3" width="2.6328125" customWidth="1"/>
    <col min="5" max="5" width="3.1796875" customWidth="1"/>
    <col min="6" max="45" width="7.1796875" customWidth="1"/>
    <col min="46" max="46" width="7.81640625" customWidth="1"/>
    <col min="47" max="47" width="3.81640625" customWidth="1"/>
    <col min="48" max="55" width="5.6328125" customWidth="1"/>
  </cols>
  <sheetData>
    <row r="2" spans="1:56" s="27" customFormat="1" ht="52.5" x14ac:dyDescent="0.25">
      <c r="AJ2" s="27" t="s">
        <v>122</v>
      </c>
      <c r="AK2" s="27" t="s">
        <v>130</v>
      </c>
      <c r="AQ2" s="27" t="s">
        <v>142</v>
      </c>
      <c r="AR2" s="27" t="s">
        <v>145</v>
      </c>
      <c r="AT2" s="27" t="s">
        <v>151</v>
      </c>
    </row>
    <row r="3" spans="1:56" ht="58" x14ac:dyDescent="0.35">
      <c r="V3" s="4"/>
      <c r="W3" s="4"/>
      <c r="X3" s="4"/>
      <c r="AA3" s="8" t="s">
        <v>67</v>
      </c>
      <c r="AB3" s="8" t="s">
        <v>61</v>
      </c>
      <c r="AC3" s="8" t="s">
        <v>63</v>
      </c>
      <c r="AD3" s="8" t="s">
        <v>125</v>
      </c>
      <c r="AE3" s="8" t="s">
        <v>129</v>
      </c>
      <c r="AF3" s="36" t="s">
        <v>127</v>
      </c>
      <c r="AG3" s="36" t="s">
        <v>128</v>
      </c>
      <c r="AH3" s="36" t="s">
        <v>132</v>
      </c>
      <c r="AI3" s="36" t="s">
        <v>42</v>
      </c>
      <c r="AJ3" s="35" t="s">
        <v>121</v>
      </c>
      <c r="AK3" s="35" t="s">
        <v>131</v>
      </c>
      <c r="AL3" s="35" t="s">
        <v>148</v>
      </c>
      <c r="AM3" s="33"/>
      <c r="AN3" s="33"/>
      <c r="AO3" s="33"/>
      <c r="AP3" s="33"/>
      <c r="AQ3" s="34" t="s">
        <v>141</v>
      </c>
      <c r="AR3" s="34" t="s">
        <v>144</v>
      </c>
    </row>
    <row r="4" spans="1:56" x14ac:dyDescent="0.35">
      <c r="A4" t="s">
        <v>38</v>
      </c>
      <c r="B4" t="s">
        <v>39</v>
      </c>
      <c r="C4" t="s">
        <v>56</v>
      </c>
      <c r="D4" t="s">
        <v>37</v>
      </c>
      <c r="E4" t="s">
        <v>36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Q4" t="s">
        <v>7</v>
      </c>
      <c r="R4" t="s">
        <v>8</v>
      </c>
      <c r="S4" t="s">
        <v>9</v>
      </c>
      <c r="T4" t="s">
        <v>10</v>
      </c>
      <c r="U4" t="s">
        <v>32</v>
      </c>
      <c r="V4" s="4" t="s">
        <v>0</v>
      </c>
      <c r="W4" s="4" t="s">
        <v>33</v>
      </c>
      <c r="X4" s="4" t="s">
        <v>1</v>
      </c>
      <c r="Y4" t="s">
        <v>34</v>
      </c>
      <c r="Z4" t="s">
        <v>40</v>
      </c>
      <c r="AA4" t="s">
        <v>35</v>
      </c>
      <c r="AB4" t="s">
        <v>60</v>
      </c>
      <c r="AC4" t="s">
        <v>62</v>
      </c>
      <c r="AD4" t="s">
        <v>126</v>
      </c>
      <c r="AE4" t="s">
        <v>133</v>
      </c>
      <c r="AF4" t="s">
        <v>135</v>
      </c>
      <c r="AG4" t="s">
        <v>134</v>
      </c>
      <c r="AH4" t="s">
        <v>153</v>
      </c>
      <c r="AI4" t="s">
        <v>42</v>
      </c>
      <c r="AJ4" t="s">
        <v>120</v>
      </c>
      <c r="AK4" t="s">
        <v>123</v>
      </c>
      <c r="AL4" t="s">
        <v>147</v>
      </c>
      <c r="AM4" t="s">
        <v>136</v>
      </c>
      <c r="AN4" t="s">
        <v>137</v>
      </c>
      <c r="AO4" t="s">
        <v>138</v>
      </c>
      <c r="AP4" t="s">
        <v>139</v>
      </c>
      <c r="AQ4" t="s">
        <v>140</v>
      </c>
      <c r="AR4" t="s">
        <v>143</v>
      </c>
      <c r="AS4" t="s">
        <v>146</v>
      </c>
      <c r="AT4" t="s">
        <v>323</v>
      </c>
      <c r="AU4" t="s">
        <v>150</v>
      </c>
      <c r="AV4" t="s">
        <v>356</v>
      </c>
      <c r="AW4" t="s">
        <v>357</v>
      </c>
      <c r="AX4" t="s">
        <v>358</v>
      </c>
      <c r="AY4" t="s">
        <v>359</v>
      </c>
      <c r="AZ4" t="s">
        <v>360</v>
      </c>
      <c r="BA4" t="s">
        <v>361</v>
      </c>
      <c r="BB4" t="s">
        <v>362</v>
      </c>
      <c r="BC4" t="s">
        <v>363</v>
      </c>
      <c r="BD4" t="s">
        <v>364</v>
      </c>
    </row>
    <row r="5" spans="1:56" x14ac:dyDescent="0.35">
      <c r="A5" s="32" t="s">
        <v>19</v>
      </c>
      <c r="B5" t="s">
        <v>25</v>
      </c>
      <c r="C5" t="s">
        <v>57</v>
      </c>
      <c r="D5" s="7" t="str">
        <f>IF(C5="H",VLOOKUP($A5,tab_nazwy_zespołów[],2,0)&amp;VLOOKUP($B5,tab_nazwy_zespołów[],2,0),VLOOKUP($B5,tab_nazwy_zespołów[],2,0)&amp;VLOOKUP($A5,tab_nazwy_zespołów[],2,0))</f>
        <v>STAHUT</v>
      </c>
      <c r="E5">
        <v>1</v>
      </c>
      <c r="F5">
        <f>SUMIFS(tbl_główna_GRACZE[fgm],tbl_główna_GRACZE[zespół],tbl_ZESPOŁY_dane[[#This Row],[zespół]],tbl_główna_GRACZE['#mecz],tbl_ZESPOŁY_dane[[#This Row],['#mecz]])</f>
        <v>21</v>
      </c>
      <c r="G5">
        <f>SUMIFS(tbl_główna_GRACZE[fga],tbl_główna_GRACZE[zespół],tbl_ZESPOŁY_dane[[#This Row],[zespół]],tbl_główna_GRACZE['#mecz],tbl_ZESPOŁY_dane[[#This Row],['#mecz]])</f>
        <v>69</v>
      </c>
      <c r="H5">
        <f>SUMIFS(tbl_główna_GRACZE[3pm],tbl_główna_GRACZE[zespół],tbl_ZESPOŁY_dane[[#This Row],[zespół]],tbl_główna_GRACZE['#mecz],tbl_ZESPOŁY_dane[[#This Row],['#mecz]])</f>
        <v>3</v>
      </c>
      <c r="I5">
        <f>SUMIFS(tbl_główna_GRACZE[3pa],tbl_główna_GRACZE[zespół],tbl_ZESPOŁY_dane[[#This Row],[zespół]],tbl_główna_GRACZE['#mecz],tbl_ZESPOŁY_dane[[#This Row],['#mecz]])</f>
        <v>21</v>
      </c>
      <c r="J5">
        <f>SUMIFS(tbl_główna_GRACZE[ftm],tbl_główna_GRACZE[zespół],tbl_ZESPOŁY_dane[[#This Row],[zespół]],tbl_główna_GRACZE['#mecz],tbl_ZESPOŁY_dane[[#This Row],['#mecz]])</f>
        <v>3</v>
      </c>
      <c r="K5">
        <f>SUMIFS(tbl_główna_GRACZE[fta],tbl_główna_GRACZE[zespół],tbl_ZESPOŁY_dane[[#This Row],[zespół]],tbl_główna_GRACZE['#mecz],tbl_ZESPOŁY_dane[[#This Row],['#mecz]])</f>
        <v>6</v>
      </c>
      <c r="L5">
        <f>SUMIFS(tbl_główna_GRACZE[oreb],tbl_główna_GRACZE[zespół],tbl_ZESPOŁY_dane[[#This Row],[zespół]],tbl_główna_GRACZE['#mecz],tbl_ZESPOŁY_dane[[#This Row],['#mecz]])</f>
        <v>15</v>
      </c>
      <c r="M5">
        <f>SUMIFS(tbl_główna_GRACZE[dreb],tbl_główna_GRACZE[zespół],tbl_ZESPOŁY_dane[[#This Row],[zespół]],tbl_główna_GRACZE['#mecz],tbl_ZESPOŁY_dane[[#This Row],['#mecz]])</f>
        <v>32</v>
      </c>
      <c r="N5">
        <f>SUMIFS(tbl_główna_GRACZE[foul],tbl_główna_GRACZE[zespół],tbl_ZESPOŁY_dane[[#This Row],[zespół]],tbl_główna_GRACZE['#mecz],tbl_ZESPOŁY_dane[[#This Row],['#mecz]])</f>
        <v>9</v>
      </c>
      <c r="O5">
        <f>SUMIFS(tbl_główna_GRACZE[stl],tbl_główna_GRACZE[zespół],tbl_ZESPOŁY_dane[[#This Row],[zespół]],tbl_główna_GRACZE['#mecz],tbl_ZESPOŁY_dane[[#This Row],['#mecz]])</f>
        <v>6</v>
      </c>
      <c r="P5">
        <f>SUMIFS(tbl_główna_GRACZE[to],tbl_główna_GRACZE[zespół],tbl_ZESPOŁY_dane[[#This Row],[zespół]],tbl_główna_GRACZE['#mecz],tbl_ZESPOŁY_dane[[#This Row],['#mecz]])</f>
        <v>0</v>
      </c>
      <c r="Q5">
        <f>SUMIFS(tbl_główna_GRACZE[blk],tbl_główna_GRACZE[zespół],tbl_ZESPOŁY_dane[[#This Row],[zespół]],tbl_główna_GRACZE['#mecz],tbl_ZESPOŁY_dane[[#This Row],['#mecz]])</f>
        <v>0</v>
      </c>
      <c r="R5">
        <f>SUMIFS(tbl_główna_GRACZE[asst],tbl_główna_GRACZE[zespół],tbl_ZESPOŁY_dane[[#This Row],[zespół]],tbl_główna_GRACZE['#mecz],tbl_ZESPOŁY_dane[[#This Row],['#mecz]])</f>
        <v>14</v>
      </c>
      <c r="S5">
        <f>SUMIFS(tbl_główna_GRACZE[min],tbl_główna_GRACZE[zespół],tbl_ZESPOŁY_dane[[#This Row],[zespół]],tbl_główna_GRACZE['#mecz],tbl_ZESPOŁY_dane[[#This Row],['#mecz]])</f>
        <v>196</v>
      </c>
      <c r="T5">
        <f>SUMIFS(tbl_główna_GRACZE[pts],tbl_główna_GRACZE[zespół],tbl_ZESPOŁY_dane[[#This Row],[zespół]],tbl_główna_GRACZE['#mecz],tbl_ZESPOŁY_dane[[#This Row],['#mecz]])</f>
        <v>48</v>
      </c>
      <c r="U5">
        <f>tbl_ZESPOŁY_dane[[#This Row],[oreb]]+tbl_ZESPOŁY_dane[[#This Row],[dreb]]</f>
        <v>47</v>
      </c>
      <c r="V5" s="16">
        <f t="shared" ref="V5:V10" si="0">F5/G5</f>
        <v>0.30434782608695654</v>
      </c>
      <c r="W5" s="16">
        <f t="shared" ref="W5:W10" si="1">H5/I5</f>
        <v>0.14285714285714285</v>
      </c>
      <c r="X5" s="12">
        <f t="shared" ref="X5:X10" si="2">IFERROR(J5/K5,"-")</f>
        <v>0.5</v>
      </c>
      <c r="Y5" s="12">
        <f t="shared" ref="Y5:Y10" si="3">T5/(2*(G5+0.44*K5))</f>
        <v>0.3350083752093802</v>
      </c>
      <c r="Z5" s="12">
        <f t="shared" ref="Z5:Z10" si="4">(F5+0.5*H5)/G5</f>
        <v>0.32608695652173914</v>
      </c>
      <c r="AA5">
        <f>SUMIFS(tbl_główna_GRACZE[EVAL],tbl_główna_GRACZE[zespół],$A5,tbl_główna_GRACZE['#mecz],tbl_ZESPOŁY_dane[[#This Row],['#mecz]])</f>
        <v>64</v>
      </c>
      <c r="AB5" s="12">
        <f t="shared" ref="AB5:AB10" si="5">K5/G5</f>
        <v>8.6956521739130432E-2</v>
      </c>
      <c r="AC5" s="12">
        <f t="shared" ref="AC5:AC10" si="6">I5/G5</f>
        <v>0.30434782608695654</v>
      </c>
      <c r="AD5" s="31">
        <f>tbl_ZESPOŁY_dane[[#This Row],[fga]]+0.44*tbl_ZESPOŁY_dane[[#This Row],[fta]]-tbl_ZESPOŁY_dane[[#This Row],[oreb]]</f>
        <v>56.64</v>
      </c>
      <c r="AE5" s="31">
        <f>SUMIFS(tbl_ZESPOŁY_dane[Poss],tbl_ZESPOŁY_dane['#mecz],tbl_ZESPOŁY_dane[[#This Row],['#mecz]])/2</f>
        <v>60.12</v>
      </c>
      <c r="AF5" s="31">
        <f>tbl_ZESPOŁY_dane[[#This Row],[pts]]/tbl_ZESPOŁY_dane[[#This Row],[Poss]]*100</f>
        <v>84.745762711864401</v>
      </c>
      <c r="AG5" s="31">
        <f>SUMIFS(tbl_ZESPOŁY_dane[Orating],tbl_ZESPOŁY_dane['#mecz],tbl_ZESPOŁY_dane[[#This Row],['#mecz]],tbl_ZESPOŁY_dane[zespół],tbl_ZESPOŁY_dane[[#This Row],[przeciwnik]])</f>
        <v>94.33962264150945</v>
      </c>
      <c r="AH5" s="6">
        <f>tbl_ZESPOŁY_dane[[#This Row],[Orating]]-tbl_ZESPOŁY_dane[[#This Row],[Drating]]</f>
        <v>-9.5938599296450491</v>
      </c>
      <c r="AI5" s="13">
        <f t="shared" ref="AI5:AI10" si="7">T5/G5</f>
        <v>0.69565217391304346</v>
      </c>
      <c r="AJ5" s="16">
        <f>tbl_ZESPOŁY_dane[[#This Row],[asst]]/tbl_ZESPOŁY_dane[[#This Row],[fgm]]</f>
        <v>0.66666666666666663</v>
      </c>
      <c r="AK5" s="31">
        <f>tbl_ZESPOŁY_dane[[#This Row],[asst]]/tbl_ZESPOŁY_dane[[#This Row],[Poss]]*100</f>
        <v>24.717514124293785</v>
      </c>
      <c r="AL5" s="14">
        <f>(tbl_ZESPOŁY_dane[[#This Row],[eFG%]]*0.7+tbl_ZESPOŁY_dane[[#This Row],[AST%]]*0.3)*100</f>
        <v>42.826086956521735</v>
      </c>
      <c r="AM5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0.375</v>
      </c>
      <c r="AN5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0.62745098039215685</v>
      </c>
      <c r="AO5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0.51648351648351654</v>
      </c>
      <c r="AP5">
        <f>tbl_ZESPOŁY_dane[[#This Row],[reb total]]-SUMIFS(tbl_ZESPOŁY_dane[reb total],tbl_ZESPOŁY_dane[zespół],tbl_ZESPOŁY_dane[[#This Row],[przeciwnik]],tbl_ZESPOŁY_dane['#mecz],tbl_ZESPOŁY_dane[[#This Row],['#mecz]])</f>
        <v>3</v>
      </c>
      <c r="AQ5" s="16">
        <f>tbl_ZESPOŁY_dane[[#This Row],[oreb]]/(tbl_ZESPOŁY_dane[[#This Row],[fga]]-tbl_ZESPOŁY_dane[[#This Row],[fgm]])</f>
        <v>0.3125</v>
      </c>
      <c r="AR5">
        <f>(tbl_ZESPOŁY_dane[[#This Row],[oreb]]*1.1)+(tbl_ZESPOŁY_dane[[#This Row],[dreb]]*0.3)</f>
        <v>26.1</v>
      </c>
      <c r="AS5">
        <f>T5+0.4*F5-0.7*G5-0.4*(K5-J5)+0.7*L5+0.3*M5+O5+0.7*R5+0.7*Q5</f>
        <v>42.8</v>
      </c>
      <c r="AT5" s="4">
        <f>(tbl_ZESPOŁY_dane[[#This Row],[fgm]]-tbl_ZESPOŁY_dane[[#This Row],[3pm]])/(tbl_ZESPOŁY_dane[[#This Row],[fga]]-tbl_ZESPOŁY_dane[[#This Row],[3pa]])</f>
        <v>0.375</v>
      </c>
      <c r="AU5">
        <f>IF(tbl_ZESPOŁY_dane[[#This Row],[pts]]&gt;0,1,0)</f>
        <v>1</v>
      </c>
      <c r="AV5">
        <v>9</v>
      </c>
      <c r="AW5">
        <v>15</v>
      </c>
      <c r="AX5">
        <v>15</v>
      </c>
      <c r="AY5">
        <v>9</v>
      </c>
      <c r="AZ5">
        <f>SUMIFS(tbl_ZESPOŁY_dane[Q1],tbl_ZESPOŁY_dane[przeciwnik],tbl_ZESPOŁY_dane[[#This Row],[zespół]],tbl_ZESPOŁY_dane[GW],tbl_ZESPOŁY_dane[[#This Row],[GW]])</f>
        <v>16</v>
      </c>
      <c r="BA5">
        <f>SUMIFS(tbl_ZESPOŁY_dane[Q2],tbl_ZESPOŁY_dane[przeciwnik],tbl_ZESPOŁY_dane[[#This Row],[zespół]],tbl_ZESPOŁY_dane[GW],tbl_ZESPOŁY_dane[[#This Row],[GW]])</f>
        <v>17</v>
      </c>
      <c r="BB5">
        <f>SUMIFS(tbl_ZESPOŁY_dane[Q3],tbl_ZESPOŁY_dane[przeciwnik],tbl_ZESPOŁY_dane[[#This Row],[zespół]],tbl_ZESPOŁY_dane[GW],tbl_ZESPOŁY_dane[[#This Row],[GW]])</f>
        <v>15</v>
      </c>
      <c r="BC5">
        <f>SUMIFS(tbl_ZESPOŁY_dane[Q4],tbl_ZESPOŁY_dane[przeciwnik],tbl_ZESPOŁY_dane[[#This Row],[zespół]],tbl_ZESPOŁY_dane[GW],tbl_ZESPOŁY_dane[[#This Row],[GW]])</f>
        <v>12</v>
      </c>
      <c r="BD5">
        <f>tbl_ZESPOŁY_dane[[#This Row],[O1]]+tbl_ZESPOŁY_dane[[#This Row],[O2]]+tbl_ZESPOŁY_dane[[#This Row],[O3]]+tbl_ZESPOŁY_dane[[#This Row],[O4]]</f>
        <v>60</v>
      </c>
    </row>
    <row r="6" spans="1:56" x14ac:dyDescent="0.35">
      <c r="A6" s="32" t="s">
        <v>25</v>
      </c>
      <c r="B6" t="s">
        <v>19</v>
      </c>
      <c r="C6" t="s">
        <v>58</v>
      </c>
      <c r="D6" s="7" t="str">
        <f>IF(C6="H",VLOOKUP($A6,tab_nazwy_zespołów[],2,0)&amp;VLOOKUP($B6,tab_nazwy_zespołów[],2,0),VLOOKUP($B6,tab_nazwy_zespołów[],2,0)&amp;VLOOKUP($A6,tab_nazwy_zespołów[],2,0))</f>
        <v>STAHUT</v>
      </c>
      <c r="E6">
        <v>1</v>
      </c>
      <c r="F6">
        <f>SUMIFS(tbl_główna_GRACZE[fgm],tbl_główna_GRACZE[zespół],tbl_ZESPOŁY_dane[[#This Row],[zespół]],tbl_główna_GRACZE['#mecz],tbl_ZESPOŁY_dane[[#This Row],['#mecz]])</f>
        <v>24</v>
      </c>
      <c r="G6">
        <f>SUMIFS(tbl_główna_GRACZE[fga],tbl_główna_GRACZE[zespół],tbl_ZESPOŁY_dane[[#This Row],[zespół]],tbl_główna_GRACZE['#mecz],tbl_ZESPOŁY_dane[[#This Row],['#mecz]])</f>
        <v>76</v>
      </c>
      <c r="H6">
        <f>SUMIFS(tbl_główna_GRACZE[3pm],tbl_główna_GRACZE[zespół],tbl_ZESPOŁY_dane[[#This Row],[zespół]],tbl_główna_GRACZE['#mecz],tbl_ZESPOŁY_dane[[#This Row],['#mecz]])</f>
        <v>4</v>
      </c>
      <c r="I6">
        <f>SUMIFS(tbl_główna_GRACZE[3pa],tbl_główna_GRACZE[zespół],tbl_ZESPOŁY_dane[[#This Row],[zespół]],tbl_główna_GRACZE['#mecz],tbl_ZESPOŁY_dane[[#This Row],['#mecz]])</f>
        <v>32</v>
      </c>
      <c r="J6">
        <f>SUMIFS(tbl_główna_GRACZE[ftm],tbl_główna_GRACZE[zespół],tbl_ZESPOŁY_dane[[#This Row],[zespół]],tbl_główna_GRACZE['#mecz],tbl_ZESPOŁY_dane[[#This Row],['#mecz]])</f>
        <v>8</v>
      </c>
      <c r="K6">
        <f>SUMIFS(tbl_główna_GRACZE[fta],tbl_główna_GRACZE[zespół],tbl_ZESPOŁY_dane[[#This Row],[zespół]],tbl_główna_GRACZE['#mecz],tbl_ZESPOŁY_dane[[#This Row],['#mecz]])</f>
        <v>15</v>
      </c>
      <c r="L6">
        <f>SUMIFS(tbl_główna_GRACZE[oreb],tbl_główna_GRACZE[zespół],tbl_ZESPOŁY_dane[[#This Row],[zespół]],tbl_główna_GRACZE['#mecz],tbl_ZESPOŁY_dane[[#This Row],['#mecz]])</f>
        <v>19</v>
      </c>
      <c r="M6">
        <f>SUMIFS(tbl_główna_GRACZE[dreb],tbl_główna_GRACZE[zespół],tbl_ZESPOŁY_dane[[#This Row],[zespół]],tbl_główna_GRACZE['#mecz],tbl_ZESPOŁY_dane[[#This Row],['#mecz]])</f>
        <v>25</v>
      </c>
      <c r="N6">
        <f>SUMIFS(tbl_główna_GRACZE[foul],tbl_główna_GRACZE[zespół],tbl_ZESPOŁY_dane[[#This Row],[zespół]],tbl_główna_GRACZE['#mecz],tbl_ZESPOŁY_dane[[#This Row],['#mecz]])</f>
        <v>2</v>
      </c>
      <c r="O6">
        <f>SUMIFS(tbl_główna_GRACZE[stl],tbl_główna_GRACZE[zespół],tbl_ZESPOŁY_dane[[#This Row],[zespół]],tbl_główna_GRACZE['#mecz],tbl_ZESPOŁY_dane[[#This Row],['#mecz]])</f>
        <v>17</v>
      </c>
      <c r="P6">
        <f>SUMIFS(tbl_główna_GRACZE[to],tbl_główna_GRACZE[zespół],tbl_ZESPOŁY_dane[[#This Row],[zespół]],tbl_główna_GRACZE['#mecz],tbl_ZESPOŁY_dane[[#This Row],['#mecz]])</f>
        <v>0</v>
      </c>
      <c r="Q6">
        <f>SUMIFS(tbl_główna_GRACZE[blk],tbl_główna_GRACZE[zespół],tbl_ZESPOŁY_dane[[#This Row],[zespół]],tbl_główna_GRACZE['#mecz],tbl_ZESPOŁY_dane[[#This Row],['#mecz]])</f>
        <v>0</v>
      </c>
      <c r="R6">
        <f>SUMIFS(tbl_główna_GRACZE[asst],tbl_główna_GRACZE[zespół],tbl_ZESPOŁY_dane[[#This Row],[zespół]],tbl_główna_GRACZE['#mecz],tbl_ZESPOŁY_dane[[#This Row],['#mecz]])</f>
        <v>21</v>
      </c>
      <c r="S6">
        <f>SUMIFS(tbl_główna_GRACZE[min],tbl_główna_GRACZE[zespół],tbl_ZESPOŁY_dane[[#This Row],[zespół]],tbl_główna_GRACZE['#mecz],tbl_ZESPOŁY_dane[[#This Row],['#mecz]])</f>
        <v>200</v>
      </c>
      <c r="T6">
        <f>SUMIFS(tbl_główna_GRACZE[pts],tbl_główna_GRACZE[zespół],tbl_ZESPOŁY_dane[[#This Row],[zespół]],tbl_główna_GRACZE['#mecz],tbl_ZESPOŁY_dane[[#This Row],['#mecz]])</f>
        <v>60</v>
      </c>
      <c r="U6">
        <f>tbl_ZESPOŁY_dane[[#This Row],[oreb]]+tbl_ZESPOŁY_dane[[#This Row],[dreb]]</f>
        <v>44</v>
      </c>
      <c r="V6" s="16">
        <f t="shared" si="0"/>
        <v>0.31578947368421051</v>
      </c>
      <c r="W6" s="16">
        <f t="shared" si="1"/>
        <v>0.125</v>
      </c>
      <c r="X6" s="12">
        <f t="shared" si="2"/>
        <v>0.53333333333333333</v>
      </c>
      <c r="Y6" s="12">
        <f t="shared" si="3"/>
        <v>0.36319612590799033</v>
      </c>
      <c r="Z6" s="12">
        <f t="shared" si="4"/>
        <v>0.34210526315789475</v>
      </c>
      <c r="AA6">
        <f>SUMIFS(tbl_główna_GRACZE[EVAL],tbl_główna_GRACZE[zespół],$A6,tbl_główna_GRACZE['#mecz],tbl_ZESPOŁY_dane[[#This Row],['#mecz]])</f>
        <v>83</v>
      </c>
      <c r="AB6" s="12">
        <f t="shared" si="5"/>
        <v>0.19736842105263158</v>
      </c>
      <c r="AC6" s="12">
        <f t="shared" si="6"/>
        <v>0.42105263157894735</v>
      </c>
      <c r="AD6" s="31">
        <f>tbl_ZESPOŁY_dane[[#This Row],[fga]]+0.44*tbl_ZESPOŁY_dane[[#This Row],[fta]]-tbl_ZESPOŁY_dane[[#This Row],[oreb]]</f>
        <v>63.599999999999994</v>
      </c>
      <c r="AE6" s="31">
        <f>SUMIFS(tbl_ZESPOŁY_dane[Poss],tbl_ZESPOŁY_dane['#mecz],tbl_ZESPOŁY_dane[[#This Row],['#mecz]])/2</f>
        <v>60.12</v>
      </c>
      <c r="AF6" s="31">
        <f>tbl_ZESPOŁY_dane[[#This Row],[pts]]/tbl_ZESPOŁY_dane[[#This Row],[Poss]]*100</f>
        <v>94.33962264150945</v>
      </c>
      <c r="AG6" s="31">
        <f>SUMIFS(tbl_ZESPOŁY_dane[Orating],tbl_ZESPOŁY_dane['#mecz],tbl_ZESPOŁY_dane[[#This Row],['#mecz]],tbl_ZESPOŁY_dane[zespół],tbl_ZESPOŁY_dane[[#This Row],[przeciwnik]])</f>
        <v>84.745762711864401</v>
      </c>
      <c r="AH6" s="6">
        <f>tbl_ZESPOŁY_dane[[#This Row],[Orating]]-tbl_ZESPOŁY_dane[[#This Row],[Drating]]</f>
        <v>9.5938599296450491</v>
      </c>
      <c r="AI6" s="13">
        <f t="shared" si="7"/>
        <v>0.78947368421052633</v>
      </c>
      <c r="AJ6" s="16">
        <f>tbl_ZESPOŁY_dane[[#This Row],[asst]]/tbl_ZESPOŁY_dane[[#This Row],[fgm]]</f>
        <v>0.875</v>
      </c>
      <c r="AK6" s="31">
        <f>tbl_ZESPOŁY_dane[[#This Row],[asst]]/tbl_ZESPOŁY_dane[[#This Row],[Poss]]*100</f>
        <v>33.018867924528308</v>
      </c>
      <c r="AL6" s="14">
        <f>(tbl_ZESPOŁY_dane[[#This Row],[eFG%]]*0.7+tbl_ZESPOŁY_dane[[#This Row],[AST%]]*0.3)*100</f>
        <v>50.197368421052637</v>
      </c>
      <c r="AM6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0.37254901960784315</v>
      </c>
      <c r="AN6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0.625</v>
      </c>
      <c r="AO6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0.48351648351648352</v>
      </c>
      <c r="AP6">
        <f>tbl_ZESPOŁY_dane[[#This Row],[reb total]]-SUMIFS(tbl_ZESPOŁY_dane[reb total],tbl_ZESPOŁY_dane[zespół],tbl_ZESPOŁY_dane[[#This Row],[przeciwnik]],tbl_ZESPOŁY_dane['#mecz],tbl_ZESPOŁY_dane[[#This Row],['#mecz]])</f>
        <v>-3</v>
      </c>
      <c r="AQ6" s="16">
        <f>tbl_ZESPOŁY_dane[[#This Row],[oreb]]/(tbl_ZESPOŁY_dane[[#This Row],[fga]]-tbl_ZESPOŁY_dane[[#This Row],[fgm]])</f>
        <v>0.36538461538461536</v>
      </c>
      <c r="AR6">
        <f>(tbl_ZESPOŁY_dane[[#This Row],[oreb]]*1.1)+(tbl_ZESPOŁY_dane[[#This Row],[dreb]]*0.3)</f>
        <v>28.400000000000002</v>
      </c>
      <c r="AS6">
        <f t="shared" ref="AS6:AS16" si="8">T6+0.4*F6-0.7*G6-0.4*(K6-J6)+0.7*L6+0.3*M6+O6+0.7*R6+0.7*Q6</f>
        <v>66.099999999999994</v>
      </c>
      <c r="AT6" s="4">
        <f>(tbl_ZESPOŁY_dane[[#This Row],[fgm]]-tbl_ZESPOŁY_dane[[#This Row],[3pm]])/(tbl_ZESPOŁY_dane[[#This Row],[fga]]-tbl_ZESPOŁY_dane[[#This Row],[3pa]])</f>
        <v>0.45454545454545453</v>
      </c>
      <c r="AU6">
        <f>IF(tbl_ZESPOŁY_dane[[#This Row],[pts]]&gt;0,1,0)</f>
        <v>1</v>
      </c>
      <c r="AV6">
        <v>16</v>
      </c>
      <c r="AW6">
        <v>17</v>
      </c>
      <c r="AX6">
        <v>15</v>
      </c>
      <c r="AY6">
        <v>12</v>
      </c>
      <c r="AZ6">
        <f>SUMIFS(tbl_ZESPOŁY_dane[Q1],tbl_ZESPOŁY_dane[przeciwnik],tbl_ZESPOŁY_dane[[#This Row],[zespół]],tbl_ZESPOŁY_dane[GW],tbl_ZESPOŁY_dane[[#This Row],[GW]])</f>
        <v>9</v>
      </c>
      <c r="BA6">
        <f>SUMIFS(tbl_ZESPOŁY_dane[Q2],tbl_ZESPOŁY_dane[przeciwnik],tbl_ZESPOŁY_dane[[#This Row],[zespół]],tbl_ZESPOŁY_dane[GW],tbl_ZESPOŁY_dane[[#This Row],[GW]])</f>
        <v>15</v>
      </c>
      <c r="BB6">
        <f>SUMIFS(tbl_ZESPOŁY_dane[Q3],tbl_ZESPOŁY_dane[przeciwnik],tbl_ZESPOŁY_dane[[#This Row],[zespół]],tbl_ZESPOŁY_dane[GW],tbl_ZESPOŁY_dane[[#This Row],[GW]])</f>
        <v>15</v>
      </c>
      <c r="BC6">
        <f>SUMIFS(tbl_ZESPOŁY_dane[Q4],tbl_ZESPOŁY_dane[przeciwnik],tbl_ZESPOŁY_dane[[#This Row],[zespół]],tbl_ZESPOŁY_dane[GW],tbl_ZESPOŁY_dane[[#This Row],[GW]])</f>
        <v>9</v>
      </c>
      <c r="BD6">
        <f>tbl_ZESPOŁY_dane[[#This Row],[O1]]+tbl_ZESPOŁY_dane[[#This Row],[O2]]+tbl_ZESPOŁY_dane[[#This Row],[O3]]+tbl_ZESPOŁY_dane[[#This Row],[O4]]</f>
        <v>48</v>
      </c>
    </row>
    <row r="7" spans="1:56" x14ac:dyDescent="0.35">
      <c r="A7" s="32" t="s">
        <v>46</v>
      </c>
      <c r="B7" t="s">
        <v>48</v>
      </c>
      <c r="C7" t="s">
        <v>57</v>
      </c>
      <c r="D7" s="15" t="str">
        <f>IF(C7="H",VLOOKUP($A7,tab_nazwy_zespołów[],2,0)&amp;VLOOKUP($B7,tab_nazwy_zespołów[],2,0),VLOOKUP($B7,tab_nazwy_zespołów[],2,0)&amp;VLOOKUP($A7,tab_nazwy_zespołów[],2,0))</f>
        <v>BYPŁOD</v>
      </c>
      <c r="E7">
        <v>1</v>
      </c>
      <c r="F7">
        <f>SUMIFS(tbl_główna_GRACZE[fgm],tbl_główna_GRACZE[zespół],tbl_ZESPOŁY_dane[[#This Row],[zespół]],tbl_główna_GRACZE['#mecz],tbl_ZESPOŁY_dane[[#This Row],['#mecz]])</f>
        <v>19</v>
      </c>
      <c r="G7">
        <f>SUMIFS(tbl_główna_GRACZE[fga],tbl_główna_GRACZE[zespół],tbl_ZESPOŁY_dane[[#This Row],[zespół]],tbl_główna_GRACZE['#mecz],tbl_ZESPOŁY_dane[[#This Row],['#mecz]])</f>
        <v>63</v>
      </c>
      <c r="H7">
        <f>SUMIFS(tbl_główna_GRACZE[3pm],tbl_główna_GRACZE[zespół],tbl_ZESPOŁY_dane[[#This Row],[zespół]],tbl_główna_GRACZE['#mecz],tbl_ZESPOŁY_dane[[#This Row],['#mecz]])</f>
        <v>2</v>
      </c>
      <c r="I7">
        <f>SUMIFS(tbl_główna_GRACZE[3pa],tbl_główna_GRACZE[zespół],tbl_ZESPOŁY_dane[[#This Row],[zespół]],tbl_główna_GRACZE['#mecz],tbl_ZESPOŁY_dane[[#This Row],['#mecz]])</f>
        <v>18</v>
      </c>
      <c r="J7">
        <f>SUMIFS(tbl_główna_GRACZE[ftm],tbl_główna_GRACZE[zespół],tbl_ZESPOŁY_dane[[#This Row],[zespół]],tbl_główna_GRACZE['#mecz],tbl_ZESPOŁY_dane[[#This Row],['#mecz]])</f>
        <v>9</v>
      </c>
      <c r="K7">
        <f>SUMIFS(tbl_główna_GRACZE[fta],tbl_główna_GRACZE[zespół],tbl_ZESPOŁY_dane[[#This Row],[zespół]],tbl_główna_GRACZE['#mecz],tbl_ZESPOŁY_dane[[#This Row],['#mecz]])</f>
        <v>16</v>
      </c>
      <c r="L7">
        <f>SUMIFS(tbl_główna_GRACZE[oreb],tbl_główna_GRACZE[zespół],tbl_ZESPOŁY_dane[[#This Row],[zespół]],tbl_główna_GRACZE['#mecz],tbl_ZESPOŁY_dane[[#This Row],['#mecz]])</f>
        <v>7</v>
      </c>
      <c r="M7">
        <f>SUMIFS(tbl_główna_GRACZE[dreb],tbl_główna_GRACZE[zespół],tbl_ZESPOŁY_dane[[#This Row],[zespół]],tbl_główna_GRACZE['#mecz],tbl_ZESPOŁY_dane[[#This Row],['#mecz]])</f>
        <v>35</v>
      </c>
      <c r="N7">
        <f>SUMIFS(tbl_główna_GRACZE[foul],tbl_główna_GRACZE[zespół],tbl_ZESPOŁY_dane[[#This Row],[zespół]],tbl_główna_GRACZE['#mecz],tbl_ZESPOŁY_dane[[#This Row],['#mecz]])</f>
        <v>7</v>
      </c>
      <c r="O7">
        <f>SUMIFS(tbl_główna_GRACZE[stl],tbl_główna_GRACZE[zespół],tbl_ZESPOŁY_dane[[#This Row],[zespół]],tbl_główna_GRACZE['#mecz],tbl_ZESPOŁY_dane[[#This Row],['#mecz]])</f>
        <v>4</v>
      </c>
      <c r="P7">
        <f>SUMIFS(tbl_główna_GRACZE[to],tbl_główna_GRACZE[zespół],tbl_ZESPOŁY_dane[[#This Row],[zespół]],tbl_główna_GRACZE['#mecz],tbl_ZESPOŁY_dane[[#This Row],['#mecz]])</f>
        <v>0</v>
      </c>
      <c r="Q7">
        <f>SUMIFS(tbl_główna_GRACZE[blk],tbl_główna_GRACZE[zespół],tbl_ZESPOŁY_dane[[#This Row],[zespół]],tbl_główna_GRACZE['#mecz],tbl_ZESPOŁY_dane[[#This Row],['#mecz]])</f>
        <v>5</v>
      </c>
      <c r="R7">
        <f>SUMIFS(tbl_główna_GRACZE[asst],tbl_główna_GRACZE[zespół],tbl_ZESPOŁY_dane[[#This Row],[zespół]],tbl_główna_GRACZE['#mecz],tbl_ZESPOŁY_dane[[#This Row],['#mecz]])</f>
        <v>13</v>
      </c>
      <c r="S7">
        <f>SUMIFS(tbl_główna_GRACZE[min],tbl_główna_GRACZE[zespół],tbl_ZESPOŁY_dane[[#This Row],[zespół]],tbl_główna_GRACZE['#mecz],tbl_ZESPOŁY_dane[[#This Row],['#mecz]])</f>
        <v>196</v>
      </c>
      <c r="T7">
        <f>SUMIFS(tbl_główna_GRACZE[pts],tbl_główna_GRACZE[zespół],tbl_ZESPOŁY_dane[[#This Row],[zespół]],tbl_główna_GRACZE['#mecz],tbl_ZESPOŁY_dane[[#This Row],['#mecz]])</f>
        <v>49</v>
      </c>
      <c r="U7">
        <f>tbl_ZESPOŁY_dane[[#This Row],[oreb]]+tbl_ZESPOŁY_dane[[#This Row],[dreb]]</f>
        <v>42</v>
      </c>
      <c r="V7" s="16">
        <f t="shared" si="0"/>
        <v>0.30158730158730157</v>
      </c>
      <c r="W7" s="16">
        <f t="shared" si="1"/>
        <v>0.1111111111111111</v>
      </c>
      <c r="X7" s="17">
        <f t="shared" si="2"/>
        <v>0.5625</v>
      </c>
      <c r="Y7" s="17">
        <f t="shared" si="3"/>
        <v>0.34980011422044544</v>
      </c>
      <c r="Z7" s="17">
        <f t="shared" si="4"/>
        <v>0.31746031746031744</v>
      </c>
      <c r="AA7">
        <f>SUMIFS(tbl_główna_GRACZE[EVAL],tbl_główna_GRACZE[zespół],$A7,tbl_główna_GRACZE['#mecz],tbl_ZESPOŁY_dane[[#This Row],['#mecz]])</f>
        <v>62</v>
      </c>
      <c r="AB7" s="17">
        <f t="shared" si="5"/>
        <v>0.25396825396825395</v>
      </c>
      <c r="AC7" s="17">
        <f t="shared" si="6"/>
        <v>0.2857142857142857</v>
      </c>
      <c r="AD7" s="31">
        <f>tbl_ZESPOŁY_dane[[#This Row],[fga]]+0.44*tbl_ZESPOŁY_dane[[#This Row],[fta]]-tbl_ZESPOŁY_dane[[#This Row],[oreb]]</f>
        <v>63.040000000000006</v>
      </c>
      <c r="AE7" s="31">
        <f>SUMIFS(tbl_ZESPOŁY_dane[Poss],tbl_ZESPOŁY_dane['#mecz],tbl_ZESPOŁY_dane[[#This Row],['#mecz]])/2</f>
        <v>68.819999999999993</v>
      </c>
      <c r="AF7" s="31">
        <f>tbl_ZESPOŁY_dane[[#This Row],[pts]]/tbl_ZESPOŁY_dane[[#This Row],[Poss]]*100</f>
        <v>77.728426395939081</v>
      </c>
      <c r="AG7" s="31">
        <f>SUMIFS(tbl_ZESPOŁY_dane[Orating],tbl_ZESPOŁY_dane['#mecz],tbl_ZESPOŁY_dane[[#This Row],['#mecz]],tbl_ZESPOŁY_dane[zespół],tbl_ZESPOŁY_dane[[#This Row],[przeciwnik]])</f>
        <v>117.96246648793567</v>
      </c>
      <c r="AH7" s="6">
        <f>tbl_ZESPOŁY_dane[[#This Row],[Orating]]-tbl_ZESPOŁY_dane[[#This Row],[Drating]]</f>
        <v>-40.23404009199659</v>
      </c>
      <c r="AI7" s="18">
        <f t="shared" si="7"/>
        <v>0.77777777777777779</v>
      </c>
      <c r="AJ7" s="16">
        <f>tbl_ZESPOŁY_dane[[#This Row],[asst]]/tbl_ZESPOŁY_dane[[#This Row],[fgm]]</f>
        <v>0.68421052631578949</v>
      </c>
      <c r="AK7" s="31">
        <f>tbl_ZESPOŁY_dane[[#This Row],[asst]]/tbl_ZESPOŁY_dane[[#This Row],[Poss]]*100</f>
        <v>20.621827411167509</v>
      </c>
      <c r="AL7" s="19">
        <f>(tbl_ZESPOŁY_dane[[#This Row],[eFG%]]*0.7+tbl_ZESPOŁY_dane[[#This Row],[AST%]]*0.3)*100</f>
        <v>42.748538011695899</v>
      </c>
      <c r="AM7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0.17499999999999999</v>
      </c>
      <c r="AN7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0.63636363636363635</v>
      </c>
      <c r="AO7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0.44210526315789472</v>
      </c>
      <c r="AP7">
        <f>tbl_ZESPOŁY_dane[[#This Row],[reb total]]-SUMIFS(tbl_ZESPOŁY_dane[reb total],tbl_ZESPOŁY_dane[zespół],tbl_ZESPOŁY_dane[[#This Row],[przeciwnik]],tbl_ZESPOŁY_dane['#mecz],tbl_ZESPOŁY_dane[[#This Row],['#mecz]])</f>
        <v>-11</v>
      </c>
      <c r="AQ7" s="16">
        <f>tbl_ZESPOŁY_dane[[#This Row],[oreb]]/(tbl_ZESPOŁY_dane[[#This Row],[fga]]-tbl_ZESPOŁY_dane[[#This Row],[fgm]])</f>
        <v>0.15909090909090909</v>
      </c>
      <c r="AR7">
        <f>(tbl_ZESPOŁY_dane[[#This Row],[oreb]]*1.1)+(tbl_ZESPOŁY_dane[[#This Row],[dreb]]*0.3)</f>
        <v>18.200000000000003</v>
      </c>
      <c r="AS7">
        <f t="shared" si="8"/>
        <v>41.7</v>
      </c>
      <c r="AT7" s="4">
        <f>(tbl_ZESPOŁY_dane[[#This Row],[fgm]]-tbl_ZESPOŁY_dane[[#This Row],[3pm]])/(tbl_ZESPOŁY_dane[[#This Row],[fga]]-tbl_ZESPOŁY_dane[[#This Row],[3pa]])</f>
        <v>0.37777777777777777</v>
      </c>
      <c r="AU7">
        <f>IF(tbl_ZESPOŁY_dane[[#This Row],[pts]]&gt;0,1,0)</f>
        <v>1</v>
      </c>
      <c r="AV7">
        <v>8</v>
      </c>
      <c r="AW7">
        <v>7</v>
      </c>
      <c r="AX7">
        <v>15</v>
      </c>
      <c r="AY7">
        <v>19</v>
      </c>
      <c r="AZ7">
        <f>SUMIFS(tbl_ZESPOŁY_dane[Q1],tbl_ZESPOŁY_dane[przeciwnik],tbl_ZESPOŁY_dane[[#This Row],[zespół]],tbl_ZESPOŁY_dane[GW],tbl_ZESPOŁY_dane[[#This Row],[GW]])</f>
        <v>19</v>
      </c>
      <c r="BA7">
        <f>SUMIFS(tbl_ZESPOŁY_dane[Q2],tbl_ZESPOŁY_dane[przeciwnik],tbl_ZESPOŁY_dane[[#This Row],[zespół]],tbl_ZESPOŁY_dane[GW],tbl_ZESPOŁY_dane[[#This Row],[GW]])</f>
        <v>24</v>
      </c>
      <c r="BB7">
        <f>SUMIFS(tbl_ZESPOŁY_dane[Q3],tbl_ZESPOŁY_dane[przeciwnik],tbl_ZESPOŁY_dane[[#This Row],[zespół]],tbl_ZESPOŁY_dane[GW],tbl_ZESPOŁY_dane[[#This Row],[GW]])</f>
        <v>22</v>
      </c>
      <c r="BC7">
        <f>SUMIFS(tbl_ZESPOŁY_dane[Q4],tbl_ZESPOŁY_dane[przeciwnik],tbl_ZESPOŁY_dane[[#This Row],[zespół]],tbl_ZESPOŁY_dane[GW],tbl_ZESPOŁY_dane[[#This Row],[GW]])</f>
        <v>23</v>
      </c>
      <c r="BD7">
        <f>tbl_ZESPOŁY_dane[[#This Row],[O1]]+tbl_ZESPOŁY_dane[[#This Row],[O2]]+tbl_ZESPOŁY_dane[[#This Row],[O3]]+tbl_ZESPOŁY_dane[[#This Row],[O4]]</f>
        <v>88</v>
      </c>
    </row>
    <row r="8" spans="1:56" x14ac:dyDescent="0.35">
      <c r="A8" s="32" t="s">
        <v>48</v>
      </c>
      <c r="B8" t="s">
        <v>46</v>
      </c>
      <c r="C8" t="s">
        <v>58</v>
      </c>
      <c r="D8" s="15" t="str">
        <f>IF(C8="H",VLOOKUP($A8,tab_nazwy_zespołów[],2,0)&amp;VLOOKUP($B8,tab_nazwy_zespołów[],2,0),VLOOKUP($B8,tab_nazwy_zespołów[],2,0)&amp;VLOOKUP($A8,tab_nazwy_zespołów[],2,0))</f>
        <v>BYPŁOD</v>
      </c>
      <c r="E8">
        <v>1</v>
      </c>
      <c r="F8">
        <f>SUMIFS(tbl_główna_GRACZE[fgm],tbl_główna_GRACZE[zespół],tbl_ZESPOŁY_dane[[#This Row],[zespół]],tbl_główna_GRACZE['#mecz],tbl_ZESPOŁY_dane[[#This Row],['#mecz]])</f>
        <v>36</v>
      </c>
      <c r="G8">
        <f>SUMIFS(tbl_główna_GRACZE[fga],tbl_główna_GRACZE[zespół],tbl_ZESPOŁY_dane[[#This Row],[zespół]],tbl_główna_GRACZE['#mecz],tbl_ZESPOŁY_dane[[#This Row],['#mecz]])</f>
        <v>88</v>
      </c>
      <c r="H8">
        <f>SUMIFS(tbl_główna_GRACZE[3pm],tbl_główna_GRACZE[zespół],tbl_ZESPOŁY_dane[[#This Row],[zespół]],tbl_główna_GRACZE['#mecz],tbl_ZESPOŁY_dane[[#This Row],['#mecz]])</f>
        <v>11</v>
      </c>
      <c r="I8">
        <f>SUMIFS(tbl_główna_GRACZE[3pa],tbl_główna_GRACZE[zespół],tbl_ZESPOŁY_dane[[#This Row],[zespół]],tbl_główna_GRACZE['#mecz],tbl_ZESPOŁY_dane[[#This Row],['#mecz]])</f>
        <v>33</v>
      </c>
      <c r="J8">
        <f>SUMIFS(tbl_główna_GRACZE[ftm],tbl_główna_GRACZE[zespół],tbl_ZESPOŁY_dane[[#This Row],[zespół]],tbl_główna_GRACZE['#mecz],tbl_ZESPOŁY_dane[[#This Row],['#mecz]])</f>
        <v>5</v>
      </c>
      <c r="K8">
        <f>SUMIFS(tbl_główna_GRACZE[fta],tbl_główna_GRACZE[zespół],tbl_ZESPOŁY_dane[[#This Row],[zespół]],tbl_główna_GRACZE['#mecz],tbl_ZESPOŁY_dane[[#This Row],['#mecz]])</f>
        <v>15</v>
      </c>
      <c r="L8">
        <f>SUMIFS(tbl_główna_GRACZE[oreb],tbl_główna_GRACZE[zespół],tbl_ZESPOŁY_dane[[#This Row],[zespół]],tbl_główna_GRACZE['#mecz],tbl_ZESPOŁY_dane[[#This Row],['#mecz]])</f>
        <v>20</v>
      </c>
      <c r="M8">
        <f>SUMIFS(tbl_główna_GRACZE[dreb],tbl_główna_GRACZE[zespół],tbl_ZESPOŁY_dane[[#This Row],[zespół]],tbl_główna_GRACZE['#mecz],tbl_ZESPOŁY_dane[[#This Row],['#mecz]])</f>
        <v>33</v>
      </c>
      <c r="N8">
        <f>SUMIFS(tbl_główna_GRACZE[foul],tbl_główna_GRACZE[zespół],tbl_ZESPOŁY_dane[[#This Row],[zespół]],tbl_główna_GRACZE['#mecz],tbl_ZESPOŁY_dane[[#This Row],['#mecz]])</f>
        <v>10</v>
      </c>
      <c r="O8">
        <f>SUMIFS(tbl_główna_GRACZE[stl],tbl_główna_GRACZE[zespół],tbl_ZESPOŁY_dane[[#This Row],[zespół]],tbl_główna_GRACZE['#mecz],tbl_ZESPOŁY_dane[[#This Row],['#mecz]])</f>
        <v>15</v>
      </c>
      <c r="P8">
        <f>SUMIFS(tbl_główna_GRACZE[to],tbl_główna_GRACZE[zespół],tbl_ZESPOŁY_dane[[#This Row],[zespół]],tbl_główna_GRACZE['#mecz],tbl_ZESPOŁY_dane[[#This Row],['#mecz]])</f>
        <v>0</v>
      </c>
      <c r="Q8">
        <f>SUMIFS(tbl_główna_GRACZE[blk],tbl_główna_GRACZE[zespół],tbl_ZESPOŁY_dane[[#This Row],[zespół]],tbl_główna_GRACZE['#mecz],tbl_ZESPOŁY_dane[[#This Row],['#mecz]])</f>
        <v>1</v>
      </c>
      <c r="R8">
        <f>SUMIFS(tbl_główna_GRACZE[asst],tbl_główna_GRACZE[zespół],tbl_ZESPOŁY_dane[[#This Row],[zespół]],tbl_główna_GRACZE['#mecz],tbl_ZESPOŁY_dane[[#This Row],['#mecz]])</f>
        <v>23</v>
      </c>
      <c r="S8">
        <f>SUMIFS(tbl_główna_GRACZE[min],tbl_główna_GRACZE[zespół],tbl_ZESPOŁY_dane[[#This Row],[zespół]],tbl_główna_GRACZE['#mecz],tbl_ZESPOŁY_dane[[#This Row],['#mecz]])</f>
        <v>196</v>
      </c>
      <c r="T8">
        <f>SUMIFS(tbl_główna_GRACZE[pts],tbl_główna_GRACZE[zespół],tbl_ZESPOŁY_dane[[#This Row],[zespół]],tbl_główna_GRACZE['#mecz],tbl_ZESPOŁY_dane[[#This Row],['#mecz]])</f>
        <v>88</v>
      </c>
      <c r="U8">
        <f>tbl_ZESPOŁY_dane[[#This Row],[oreb]]+tbl_ZESPOŁY_dane[[#This Row],[dreb]]</f>
        <v>53</v>
      </c>
      <c r="V8" s="16">
        <f t="shared" si="0"/>
        <v>0.40909090909090912</v>
      </c>
      <c r="W8" s="16">
        <f t="shared" si="1"/>
        <v>0.33333333333333331</v>
      </c>
      <c r="X8" s="17">
        <f t="shared" si="2"/>
        <v>0.33333333333333331</v>
      </c>
      <c r="Y8" s="17">
        <f t="shared" si="3"/>
        <v>0.46511627906976749</v>
      </c>
      <c r="Z8" s="17">
        <f t="shared" si="4"/>
        <v>0.47159090909090912</v>
      </c>
      <c r="AA8">
        <f>SUMIFS(tbl_główna_GRACZE[EVAL],tbl_główna_GRACZE[zespół],$A8,tbl_główna_GRACZE['#mecz],tbl_ZESPOŁY_dane[[#This Row],['#mecz]])</f>
        <v>118</v>
      </c>
      <c r="AB8" s="17">
        <f t="shared" si="5"/>
        <v>0.17045454545454544</v>
      </c>
      <c r="AC8" s="17">
        <f t="shared" si="6"/>
        <v>0.375</v>
      </c>
      <c r="AD8" s="31">
        <f>tbl_ZESPOŁY_dane[[#This Row],[fga]]+0.44*tbl_ZESPOŁY_dane[[#This Row],[fta]]-tbl_ZESPOŁY_dane[[#This Row],[oreb]]</f>
        <v>74.599999999999994</v>
      </c>
      <c r="AE8" s="31">
        <f>SUMIFS(tbl_ZESPOŁY_dane[Poss],tbl_ZESPOŁY_dane['#mecz],tbl_ZESPOŁY_dane[[#This Row],['#mecz]])/2</f>
        <v>68.819999999999993</v>
      </c>
      <c r="AF8" s="31">
        <f>tbl_ZESPOŁY_dane[[#This Row],[pts]]/tbl_ZESPOŁY_dane[[#This Row],[Poss]]*100</f>
        <v>117.96246648793567</v>
      </c>
      <c r="AG8" s="31">
        <f>SUMIFS(tbl_ZESPOŁY_dane[Orating],tbl_ZESPOŁY_dane['#mecz],tbl_ZESPOŁY_dane[[#This Row],['#mecz]],tbl_ZESPOŁY_dane[zespół],tbl_ZESPOŁY_dane[[#This Row],[przeciwnik]])</f>
        <v>77.728426395939081</v>
      </c>
      <c r="AH8" s="6">
        <f>tbl_ZESPOŁY_dane[[#This Row],[Orating]]-tbl_ZESPOŁY_dane[[#This Row],[Drating]]</f>
        <v>40.23404009199659</v>
      </c>
      <c r="AI8" s="18">
        <f t="shared" si="7"/>
        <v>1</v>
      </c>
      <c r="AJ8" s="16">
        <f>tbl_ZESPOŁY_dane[[#This Row],[asst]]/tbl_ZESPOŁY_dane[[#This Row],[fgm]]</f>
        <v>0.63888888888888884</v>
      </c>
      <c r="AK8" s="31">
        <f>tbl_ZESPOŁY_dane[[#This Row],[asst]]/tbl_ZESPOŁY_dane[[#This Row],[Poss]]*100</f>
        <v>30.831099195710461</v>
      </c>
      <c r="AL8" s="19">
        <f>(tbl_ZESPOŁY_dane[[#This Row],[eFG%]]*0.7+tbl_ZESPOŁY_dane[[#This Row],[AST%]]*0.3)*100</f>
        <v>52.178030303030297</v>
      </c>
      <c r="AM8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0.36363636363636365</v>
      </c>
      <c r="AN8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0.82499999999999996</v>
      </c>
      <c r="AO8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0.55789473684210522</v>
      </c>
      <c r="AP8">
        <f>tbl_ZESPOŁY_dane[[#This Row],[reb total]]-SUMIFS(tbl_ZESPOŁY_dane[reb total],tbl_ZESPOŁY_dane[zespół],tbl_ZESPOŁY_dane[[#This Row],[przeciwnik]],tbl_ZESPOŁY_dane['#mecz],tbl_ZESPOŁY_dane[[#This Row],['#mecz]])</f>
        <v>11</v>
      </c>
      <c r="AQ8" s="16">
        <f>tbl_ZESPOŁY_dane[[#This Row],[oreb]]/(tbl_ZESPOŁY_dane[[#This Row],[fga]]-tbl_ZESPOŁY_dane[[#This Row],[fgm]])</f>
        <v>0.38461538461538464</v>
      </c>
      <c r="AR8">
        <f>(tbl_ZESPOŁY_dane[[#This Row],[oreb]]*1.1)+(tbl_ZESPOŁY_dane[[#This Row],[dreb]]*0.3)</f>
        <v>31.9</v>
      </c>
      <c r="AS8">
        <f t="shared" si="8"/>
        <v>92.500000000000014</v>
      </c>
      <c r="AT8" s="4">
        <f>(tbl_ZESPOŁY_dane[[#This Row],[fgm]]-tbl_ZESPOŁY_dane[[#This Row],[3pm]])/(tbl_ZESPOŁY_dane[[#This Row],[fga]]-tbl_ZESPOŁY_dane[[#This Row],[3pa]])</f>
        <v>0.45454545454545453</v>
      </c>
      <c r="AU8">
        <f>IF(tbl_ZESPOŁY_dane[[#This Row],[pts]]&gt;0,1,0)</f>
        <v>1</v>
      </c>
      <c r="AV8">
        <v>19</v>
      </c>
      <c r="AW8">
        <v>24</v>
      </c>
      <c r="AX8">
        <v>22</v>
      </c>
      <c r="AY8">
        <v>23</v>
      </c>
      <c r="AZ8">
        <f>SUMIFS(tbl_ZESPOŁY_dane[Q1],tbl_ZESPOŁY_dane[przeciwnik],tbl_ZESPOŁY_dane[[#This Row],[zespół]],tbl_ZESPOŁY_dane[GW],tbl_ZESPOŁY_dane[[#This Row],[GW]])</f>
        <v>8</v>
      </c>
      <c r="BA8">
        <f>SUMIFS(tbl_ZESPOŁY_dane[Q2],tbl_ZESPOŁY_dane[przeciwnik],tbl_ZESPOŁY_dane[[#This Row],[zespół]],tbl_ZESPOŁY_dane[GW],tbl_ZESPOŁY_dane[[#This Row],[GW]])</f>
        <v>7</v>
      </c>
      <c r="BB8">
        <f>SUMIFS(tbl_ZESPOŁY_dane[Q3],tbl_ZESPOŁY_dane[przeciwnik],tbl_ZESPOŁY_dane[[#This Row],[zespół]],tbl_ZESPOŁY_dane[GW],tbl_ZESPOŁY_dane[[#This Row],[GW]])</f>
        <v>15</v>
      </c>
      <c r="BC8">
        <f>SUMIFS(tbl_ZESPOŁY_dane[Q4],tbl_ZESPOŁY_dane[przeciwnik],tbl_ZESPOŁY_dane[[#This Row],[zespół]],tbl_ZESPOŁY_dane[GW],tbl_ZESPOŁY_dane[[#This Row],[GW]])</f>
        <v>19</v>
      </c>
      <c r="BD8">
        <f>tbl_ZESPOŁY_dane[[#This Row],[O1]]+tbl_ZESPOŁY_dane[[#This Row],[O2]]+tbl_ZESPOŁY_dane[[#This Row],[O3]]+tbl_ZESPOŁY_dane[[#This Row],[O4]]</f>
        <v>49</v>
      </c>
    </row>
    <row r="9" spans="1:56" x14ac:dyDescent="0.35">
      <c r="A9" s="32" t="s">
        <v>50</v>
      </c>
      <c r="B9" t="s">
        <v>52</v>
      </c>
      <c r="C9" t="s">
        <v>57</v>
      </c>
      <c r="D9" s="7" t="str">
        <f>IF(C9="H",VLOOKUP($A9,tab_nazwy_zespołów[],2,0)&amp;VLOOKUP($B9,tab_nazwy_zespołów[],2,0),VLOOKUP($B9,tab_nazwy_zespołów[],2,0)&amp;VLOOKUP($A9,tab_nazwy_zespołów[],2,0))</f>
        <v>KONWIL</v>
      </c>
      <c r="E9">
        <v>1</v>
      </c>
      <c r="F9">
        <f>SUMIFS(tbl_główna_GRACZE[fgm],tbl_główna_GRACZE[zespół],tbl_ZESPOŁY_dane[[#This Row],[zespół]],tbl_główna_GRACZE['#mecz],tbl_ZESPOŁY_dane[[#This Row],['#mecz]])</f>
        <v>12</v>
      </c>
      <c r="G9">
        <f>SUMIFS(tbl_główna_GRACZE[fga],tbl_główna_GRACZE[zespół],tbl_ZESPOŁY_dane[[#This Row],[zespół]],tbl_główna_GRACZE['#mecz],tbl_ZESPOŁY_dane[[#This Row],['#mecz]])</f>
        <v>55</v>
      </c>
      <c r="H9">
        <f>SUMIFS(tbl_główna_GRACZE[3pm],tbl_główna_GRACZE[zespół],tbl_ZESPOŁY_dane[[#This Row],[zespół]],tbl_główna_GRACZE['#mecz],tbl_ZESPOŁY_dane[[#This Row],['#mecz]])</f>
        <v>4</v>
      </c>
      <c r="I9">
        <f>SUMIFS(tbl_główna_GRACZE[3pa],tbl_główna_GRACZE[zespół],tbl_ZESPOŁY_dane[[#This Row],[zespół]],tbl_główna_GRACZE['#mecz],tbl_ZESPOŁY_dane[[#This Row],['#mecz]])</f>
        <v>21</v>
      </c>
      <c r="J9">
        <f>SUMIFS(tbl_główna_GRACZE[ftm],tbl_główna_GRACZE[zespół],tbl_ZESPOŁY_dane[[#This Row],[zespół]],tbl_główna_GRACZE['#mecz],tbl_ZESPOŁY_dane[[#This Row],['#mecz]])</f>
        <v>10</v>
      </c>
      <c r="K9">
        <f>SUMIFS(tbl_główna_GRACZE[fta],tbl_główna_GRACZE[zespół],tbl_ZESPOŁY_dane[[#This Row],[zespół]],tbl_główna_GRACZE['#mecz],tbl_ZESPOŁY_dane[[#This Row],['#mecz]])</f>
        <v>13</v>
      </c>
      <c r="L9">
        <f>SUMIFS(tbl_główna_GRACZE[oreb],tbl_główna_GRACZE[zespół],tbl_ZESPOŁY_dane[[#This Row],[zespół]],tbl_główna_GRACZE['#mecz],tbl_ZESPOŁY_dane[[#This Row],['#mecz]])</f>
        <v>8</v>
      </c>
      <c r="M9">
        <f>SUMIFS(tbl_główna_GRACZE[dreb],tbl_główna_GRACZE[zespół],tbl_ZESPOŁY_dane[[#This Row],[zespół]],tbl_główna_GRACZE['#mecz],tbl_ZESPOŁY_dane[[#This Row],['#mecz]])</f>
        <v>27</v>
      </c>
      <c r="N9">
        <f>SUMIFS(tbl_główna_GRACZE[foul],tbl_główna_GRACZE[zespół],tbl_ZESPOŁY_dane[[#This Row],[zespół]],tbl_główna_GRACZE['#mecz],tbl_ZESPOŁY_dane[[#This Row],['#mecz]])</f>
        <v>6</v>
      </c>
      <c r="O9">
        <f>SUMIFS(tbl_główna_GRACZE[stl],tbl_główna_GRACZE[zespół],tbl_ZESPOŁY_dane[[#This Row],[zespół]],tbl_główna_GRACZE['#mecz],tbl_ZESPOŁY_dane[[#This Row],['#mecz]])</f>
        <v>8</v>
      </c>
      <c r="P9">
        <f>SUMIFS(tbl_główna_GRACZE[to],tbl_główna_GRACZE[zespół],tbl_ZESPOŁY_dane[[#This Row],[zespół]],tbl_główna_GRACZE['#mecz],tbl_ZESPOŁY_dane[[#This Row],['#mecz]])</f>
        <v>0</v>
      </c>
      <c r="Q9">
        <f>SUMIFS(tbl_główna_GRACZE[blk],tbl_główna_GRACZE[zespół],tbl_ZESPOŁY_dane[[#This Row],[zespół]],tbl_główna_GRACZE['#mecz],tbl_ZESPOŁY_dane[[#This Row],['#mecz]])</f>
        <v>2</v>
      </c>
      <c r="R9">
        <f>SUMIFS(tbl_główna_GRACZE[asst],tbl_główna_GRACZE[zespół],tbl_ZESPOŁY_dane[[#This Row],[zespół]],tbl_główna_GRACZE['#mecz],tbl_ZESPOŁY_dane[[#This Row],['#mecz]])</f>
        <v>6</v>
      </c>
      <c r="S9">
        <f>SUMIFS(tbl_główna_GRACZE[min],tbl_główna_GRACZE[zespół],tbl_ZESPOŁY_dane[[#This Row],[zespół]],tbl_główna_GRACZE['#mecz],tbl_ZESPOŁY_dane[[#This Row],['#mecz]])</f>
        <v>199</v>
      </c>
      <c r="T9">
        <f>SUMIFS(tbl_główna_GRACZE[pts],tbl_główna_GRACZE[zespół],tbl_ZESPOŁY_dane[[#This Row],[zespół]],tbl_główna_GRACZE['#mecz],tbl_ZESPOŁY_dane[[#This Row],['#mecz]])</f>
        <v>38</v>
      </c>
      <c r="U9">
        <f>tbl_ZESPOŁY_dane[[#This Row],[oreb]]+tbl_ZESPOŁY_dane[[#This Row],[dreb]]</f>
        <v>35</v>
      </c>
      <c r="V9" s="16">
        <f t="shared" si="0"/>
        <v>0.21818181818181817</v>
      </c>
      <c r="W9" s="16">
        <f t="shared" si="1"/>
        <v>0.19047619047619047</v>
      </c>
      <c r="X9" s="12">
        <f t="shared" si="2"/>
        <v>0.76923076923076927</v>
      </c>
      <c r="Y9" s="12">
        <f t="shared" si="3"/>
        <v>0.31291172595520422</v>
      </c>
      <c r="Z9" s="12">
        <f t="shared" si="4"/>
        <v>0.25454545454545452</v>
      </c>
      <c r="AA9">
        <f>SUMIFS(tbl_główna_GRACZE[EVAL],tbl_główna_GRACZE[zespół],$A9,tbl_główna_GRACZE['#mecz],tbl_ZESPOŁY_dane[[#This Row],['#mecz]])</f>
        <v>43</v>
      </c>
      <c r="AB9" s="12">
        <f t="shared" si="5"/>
        <v>0.23636363636363636</v>
      </c>
      <c r="AC9" s="12">
        <f t="shared" si="6"/>
        <v>0.38181818181818183</v>
      </c>
      <c r="AD9" s="31">
        <f>tbl_ZESPOŁY_dane[[#This Row],[fga]]+0.44*tbl_ZESPOŁY_dane[[#This Row],[fta]]-tbl_ZESPOŁY_dane[[#This Row],[oreb]]</f>
        <v>52.72</v>
      </c>
      <c r="AE9" s="31">
        <f>SUMIFS(tbl_ZESPOŁY_dane[Poss],tbl_ZESPOŁY_dane['#mecz],tbl_ZESPOŁY_dane[[#This Row],['#mecz]])/2</f>
        <v>58.06</v>
      </c>
      <c r="AF9" s="31">
        <f>tbl_ZESPOŁY_dane[[#This Row],[pts]]/tbl_ZESPOŁY_dane[[#This Row],[Poss]]*100</f>
        <v>72.078907435508341</v>
      </c>
      <c r="AG9" s="31">
        <f>SUMIFS(tbl_ZESPOŁY_dane[Orating],tbl_ZESPOŁY_dane['#mecz],tbl_ZESPOŁY_dane[[#This Row],['#mecz]],tbl_ZESPOŁY_dane[zespół],tbl_ZESPOŁY_dane[[#This Row],[przeciwnik]])</f>
        <v>94.637223974763401</v>
      </c>
      <c r="AH9" s="6">
        <f>tbl_ZESPOŁY_dane[[#This Row],[Orating]]-tbl_ZESPOŁY_dane[[#This Row],[Drating]]</f>
        <v>-22.55831653925506</v>
      </c>
      <c r="AI9" s="13">
        <f t="shared" si="7"/>
        <v>0.69090909090909092</v>
      </c>
      <c r="AJ9" s="16">
        <f>tbl_ZESPOŁY_dane[[#This Row],[asst]]/tbl_ZESPOŁY_dane[[#This Row],[fgm]]</f>
        <v>0.5</v>
      </c>
      <c r="AK9" s="31">
        <f>tbl_ZESPOŁY_dane[[#This Row],[asst]]/tbl_ZESPOŁY_dane[[#This Row],[Poss]]*100</f>
        <v>11.380880121396055</v>
      </c>
      <c r="AL9" s="14">
        <f>(tbl_ZESPOŁY_dane[[#This Row],[eFG%]]*0.7+tbl_ZESPOŁY_dane[[#This Row],[AST%]]*0.3)*100</f>
        <v>32.818181818181813</v>
      </c>
      <c r="AM9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0.21052631578947367</v>
      </c>
      <c r="AN9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0.67500000000000004</v>
      </c>
      <c r="AO9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0.44871794871794873</v>
      </c>
      <c r="AP9">
        <f>tbl_ZESPOŁY_dane[[#This Row],[reb total]]-SUMIFS(tbl_ZESPOŁY_dane[reb total],tbl_ZESPOŁY_dane[zespół],tbl_ZESPOŁY_dane[[#This Row],[przeciwnik]],tbl_ZESPOŁY_dane['#mecz],tbl_ZESPOŁY_dane[[#This Row],['#mecz]])</f>
        <v>-8</v>
      </c>
      <c r="AQ9" s="16">
        <f>tbl_ZESPOŁY_dane[[#This Row],[oreb]]/(tbl_ZESPOŁY_dane[[#This Row],[fga]]-tbl_ZESPOŁY_dane[[#This Row],[fgm]])</f>
        <v>0.18604651162790697</v>
      </c>
      <c r="AR9">
        <f>(tbl_ZESPOŁY_dane[[#This Row],[oreb]]*1.1)+(tbl_ZESPOŁY_dane[[#This Row],[dreb]]*0.3)</f>
        <v>16.899999999999999</v>
      </c>
      <c r="AS9">
        <f t="shared" si="8"/>
        <v>30.399999999999995</v>
      </c>
      <c r="AT9" s="4">
        <f>(tbl_ZESPOŁY_dane[[#This Row],[fgm]]-tbl_ZESPOŁY_dane[[#This Row],[3pm]])/(tbl_ZESPOŁY_dane[[#This Row],[fga]]-tbl_ZESPOŁY_dane[[#This Row],[3pa]])</f>
        <v>0.23529411764705882</v>
      </c>
      <c r="AU9">
        <f>IF(tbl_ZESPOŁY_dane[[#This Row],[pts]]&gt;0,1,0)</f>
        <v>1</v>
      </c>
      <c r="AV9">
        <v>11</v>
      </c>
      <c r="AW9">
        <v>0</v>
      </c>
      <c r="AX9">
        <v>15</v>
      </c>
      <c r="AY9">
        <v>12</v>
      </c>
      <c r="AZ9">
        <f>SUMIFS(tbl_ZESPOŁY_dane[Q1],tbl_ZESPOŁY_dane[przeciwnik],tbl_ZESPOŁY_dane[[#This Row],[zespół]],tbl_ZESPOŁY_dane[GW],tbl_ZESPOŁY_dane[[#This Row],[GW]])</f>
        <v>10</v>
      </c>
      <c r="BA9">
        <f>SUMIFS(tbl_ZESPOŁY_dane[Q2],tbl_ZESPOŁY_dane[przeciwnik],tbl_ZESPOŁY_dane[[#This Row],[zespół]],tbl_ZESPOŁY_dane[GW],tbl_ZESPOŁY_dane[[#This Row],[GW]])</f>
        <v>20</v>
      </c>
      <c r="BB9">
        <f>SUMIFS(tbl_ZESPOŁY_dane[Q3],tbl_ZESPOŁY_dane[przeciwnik],tbl_ZESPOŁY_dane[[#This Row],[zespół]],tbl_ZESPOŁY_dane[GW],tbl_ZESPOŁY_dane[[#This Row],[GW]])</f>
        <v>16</v>
      </c>
      <c r="BC9">
        <f>SUMIFS(tbl_ZESPOŁY_dane[Q4],tbl_ZESPOŁY_dane[przeciwnik],tbl_ZESPOŁY_dane[[#This Row],[zespół]],tbl_ZESPOŁY_dane[GW],tbl_ZESPOŁY_dane[[#This Row],[GW]])</f>
        <v>14</v>
      </c>
      <c r="BD9">
        <f>tbl_ZESPOŁY_dane[[#This Row],[O1]]+tbl_ZESPOŁY_dane[[#This Row],[O2]]+tbl_ZESPOŁY_dane[[#This Row],[O3]]+tbl_ZESPOŁY_dane[[#This Row],[O4]]</f>
        <v>60</v>
      </c>
    </row>
    <row r="10" spans="1:56" s="38" customFormat="1" ht="15" thickBot="1" x14ac:dyDescent="0.4">
      <c r="A10" s="37" t="s">
        <v>52</v>
      </c>
      <c r="B10" s="38" t="s">
        <v>50</v>
      </c>
      <c r="C10" s="38" t="s">
        <v>58</v>
      </c>
      <c r="D10" s="39" t="str">
        <f>IF(C10="H",VLOOKUP($A10,tab_nazwy_zespołów[],2,0)&amp;VLOOKUP($B10,tab_nazwy_zespołów[],2,0),VLOOKUP($B10,tab_nazwy_zespołów[],2,0)&amp;VLOOKUP($A10,tab_nazwy_zespołów[],2,0))</f>
        <v>KONWIL</v>
      </c>
      <c r="E10" s="38">
        <v>1</v>
      </c>
      <c r="F10" s="38">
        <f>SUMIFS(tbl_główna_GRACZE[fgm],tbl_główna_GRACZE[zespół],tbl_ZESPOŁY_dane[[#This Row],[zespół]],tbl_główna_GRACZE['#mecz],tbl_ZESPOŁY_dane[[#This Row],['#mecz]])</f>
        <v>25</v>
      </c>
      <c r="G10" s="38">
        <f>SUMIFS(tbl_główna_GRACZE[fga],tbl_główna_GRACZE[zespół],tbl_ZESPOŁY_dane[[#This Row],[zespół]],tbl_główna_GRACZE['#mecz],tbl_ZESPOŁY_dane[[#This Row],['#mecz]])</f>
        <v>72</v>
      </c>
      <c r="H10" s="38">
        <f>SUMIFS(tbl_główna_GRACZE[3pm],tbl_główna_GRACZE[zespół],tbl_ZESPOŁY_dane[[#This Row],[zespół]],tbl_główna_GRACZE['#mecz],tbl_ZESPOŁY_dane[[#This Row],['#mecz]])</f>
        <v>4</v>
      </c>
      <c r="I10" s="38">
        <f>SUMIFS(tbl_główna_GRACZE[3pa],tbl_główna_GRACZE[zespół],tbl_ZESPOŁY_dane[[#This Row],[zespół]],tbl_główna_GRACZE['#mecz],tbl_ZESPOŁY_dane[[#This Row],['#mecz]])</f>
        <v>16</v>
      </c>
      <c r="J10" s="38">
        <f>SUMIFS(tbl_główna_GRACZE[ftm],tbl_główna_GRACZE[zespół],tbl_ZESPOŁY_dane[[#This Row],[zespół]],tbl_główna_GRACZE['#mecz],tbl_ZESPOŁY_dane[[#This Row],['#mecz]])</f>
        <v>6</v>
      </c>
      <c r="K10" s="38">
        <f>SUMIFS(tbl_główna_GRACZE[fta],tbl_główna_GRACZE[zespół],tbl_ZESPOŁY_dane[[#This Row],[zespół]],tbl_główna_GRACZE['#mecz],tbl_ZESPOŁY_dane[[#This Row],['#mecz]])</f>
        <v>10</v>
      </c>
      <c r="L10" s="38">
        <f>SUMIFS(tbl_główna_GRACZE[oreb],tbl_główna_GRACZE[zespół],tbl_ZESPOŁY_dane[[#This Row],[zespół]],tbl_główna_GRACZE['#mecz],tbl_ZESPOŁY_dane[[#This Row],['#mecz]])</f>
        <v>13</v>
      </c>
      <c r="M10" s="38">
        <f>SUMIFS(tbl_główna_GRACZE[dreb],tbl_główna_GRACZE[zespół],tbl_ZESPOŁY_dane[[#This Row],[zespół]],tbl_główna_GRACZE['#mecz],tbl_ZESPOŁY_dane[[#This Row],['#mecz]])</f>
        <v>30</v>
      </c>
      <c r="N10" s="38">
        <f>SUMIFS(tbl_główna_GRACZE[foul],tbl_główna_GRACZE[zespół],tbl_ZESPOŁY_dane[[#This Row],[zespół]],tbl_główna_GRACZE['#mecz],tbl_ZESPOŁY_dane[[#This Row],['#mecz]])</f>
        <v>14</v>
      </c>
      <c r="O10" s="38">
        <f>SUMIFS(tbl_główna_GRACZE[stl],tbl_główna_GRACZE[zespół],tbl_ZESPOŁY_dane[[#This Row],[zespół]],tbl_główna_GRACZE['#mecz],tbl_ZESPOŁY_dane[[#This Row],['#mecz]])</f>
        <v>19</v>
      </c>
      <c r="P10" s="38">
        <f>SUMIFS(tbl_główna_GRACZE[to],tbl_główna_GRACZE[zespół],tbl_ZESPOŁY_dane[[#This Row],[zespół]],tbl_główna_GRACZE['#mecz],tbl_ZESPOŁY_dane[[#This Row],['#mecz]])</f>
        <v>0</v>
      </c>
      <c r="Q10" s="38">
        <f>SUMIFS(tbl_główna_GRACZE[blk],tbl_główna_GRACZE[zespół],tbl_ZESPOŁY_dane[[#This Row],[zespół]],tbl_główna_GRACZE['#mecz],tbl_ZESPOŁY_dane[[#This Row],['#mecz]])</f>
        <v>3</v>
      </c>
      <c r="R10" s="38">
        <f>SUMIFS(tbl_główna_GRACZE[asst],tbl_główna_GRACZE[zespół],tbl_ZESPOŁY_dane[[#This Row],[zespół]],tbl_główna_GRACZE['#mecz],tbl_ZESPOŁY_dane[[#This Row],['#mecz]])</f>
        <v>12</v>
      </c>
      <c r="S10" s="38">
        <f>SUMIFS(tbl_główna_GRACZE[min],tbl_główna_GRACZE[zespół],tbl_ZESPOŁY_dane[[#This Row],[zespół]],tbl_główna_GRACZE['#mecz],tbl_ZESPOŁY_dane[[#This Row],['#mecz]])</f>
        <v>195</v>
      </c>
      <c r="T10" s="38">
        <f>SUMIFS(tbl_główna_GRACZE[pts],tbl_główna_GRACZE[zespół],tbl_ZESPOŁY_dane[[#This Row],[zespół]],tbl_główna_GRACZE['#mecz],tbl_ZESPOŁY_dane[[#This Row],['#mecz]])</f>
        <v>60</v>
      </c>
      <c r="U10" s="38">
        <f>tbl_ZESPOŁY_dane[[#This Row],[oreb]]+tbl_ZESPOŁY_dane[[#This Row],[dreb]]</f>
        <v>43</v>
      </c>
      <c r="V10" s="40">
        <f t="shared" si="0"/>
        <v>0.34722222222222221</v>
      </c>
      <c r="W10" s="40">
        <f t="shared" si="1"/>
        <v>0.25</v>
      </c>
      <c r="X10" s="41">
        <f t="shared" si="2"/>
        <v>0.6</v>
      </c>
      <c r="Y10" s="41">
        <f t="shared" si="3"/>
        <v>0.3926701570680628</v>
      </c>
      <c r="Z10" s="41">
        <f t="shared" si="4"/>
        <v>0.375</v>
      </c>
      <c r="AA10" s="38">
        <f>SUMIFS(tbl_główna_GRACZE[EVAL],tbl_główna_GRACZE[zespół],$A10,tbl_główna_GRACZE['#mecz],tbl_ZESPOŁY_dane[[#This Row],['#mecz]])</f>
        <v>86</v>
      </c>
      <c r="AB10" s="41">
        <f t="shared" si="5"/>
        <v>0.1388888888888889</v>
      </c>
      <c r="AC10" s="41">
        <f t="shared" si="6"/>
        <v>0.22222222222222221</v>
      </c>
      <c r="AD10" s="42">
        <f>tbl_ZESPOŁY_dane[[#This Row],[fga]]+0.44*tbl_ZESPOŁY_dane[[#This Row],[fta]]-tbl_ZESPOŁY_dane[[#This Row],[oreb]]</f>
        <v>63.400000000000006</v>
      </c>
      <c r="AE10" s="42">
        <f>SUMIFS(tbl_ZESPOŁY_dane[Poss],tbl_ZESPOŁY_dane['#mecz],tbl_ZESPOŁY_dane[[#This Row],['#mecz]])/2</f>
        <v>58.06</v>
      </c>
      <c r="AF10" s="42">
        <f>tbl_ZESPOŁY_dane[[#This Row],[pts]]/tbl_ZESPOŁY_dane[[#This Row],[Poss]]*100</f>
        <v>94.637223974763401</v>
      </c>
      <c r="AG10" s="42">
        <f>SUMIFS(tbl_ZESPOŁY_dane[Orating],tbl_ZESPOŁY_dane['#mecz],tbl_ZESPOŁY_dane[[#This Row],['#mecz]],tbl_ZESPOŁY_dane[zespół],tbl_ZESPOŁY_dane[[#This Row],[przeciwnik]])</f>
        <v>72.078907435508341</v>
      </c>
      <c r="AH10" s="43">
        <f>tbl_ZESPOŁY_dane[[#This Row],[Orating]]-tbl_ZESPOŁY_dane[[#This Row],[Drating]]</f>
        <v>22.55831653925506</v>
      </c>
      <c r="AI10" s="44">
        <f t="shared" si="7"/>
        <v>0.83333333333333337</v>
      </c>
      <c r="AJ10" s="40">
        <f>tbl_ZESPOŁY_dane[[#This Row],[asst]]/tbl_ZESPOŁY_dane[[#This Row],[fgm]]</f>
        <v>0.48</v>
      </c>
      <c r="AK10" s="42">
        <f>tbl_ZESPOŁY_dane[[#This Row],[asst]]/tbl_ZESPOŁY_dane[[#This Row],[Poss]]*100</f>
        <v>18.927444794952681</v>
      </c>
      <c r="AL10" s="45">
        <f>(tbl_ZESPOŁY_dane[[#This Row],[eFG%]]*0.7+tbl_ZESPOŁY_dane[[#This Row],[AST%]]*0.3)*100</f>
        <v>40.65</v>
      </c>
      <c r="AM10" s="40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0.32500000000000001</v>
      </c>
      <c r="AN10" s="40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0.78947368421052633</v>
      </c>
      <c r="AO10" s="40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0.55128205128205132</v>
      </c>
      <c r="AP10" s="38">
        <f>tbl_ZESPOŁY_dane[[#This Row],[reb total]]-SUMIFS(tbl_ZESPOŁY_dane[reb total],tbl_ZESPOŁY_dane[zespół],tbl_ZESPOŁY_dane[[#This Row],[przeciwnik]],tbl_ZESPOŁY_dane['#mecz],tbl_ZESPOŁY_dane[[#This Row],['#mecz]])</f>
        <v>8</v>
      </c>
      <c r="AQ10" s="40">
        <f>tbl_ZESPOŁY_dane[[#This Row],[oreb]]/(tbl_ZESPOŁY_dane[[#This Row],[fga]]-tbl_ZESPOŁY_dane[[#This Row],[fgm]])</f>
        <v>0.27659574468085107</v>
      </c>
      <c r="AR10" s="38">
        <f>(tbl_ZESPOŁY_dane[[#This Row],[oreb]]*1.1)+(tbl_ZESPOŁY_dane[[#This Row],[dreb]]*0.3)</f>
        <v>23.3</v>
      </c>
      <c r="AS10" s="38">
        <f t="shared" si="8"/>
        <v>65.599999999999994</v>
      </c>
      <c r="AT10" s="40">
        <f>(tbl_ZESPOŁY_dane[[#This Row],[fgm]]-tbl_ZESPOŁY_dane[[#This Row],[3pm]])/(tbl_ZESPOŁY_dane[[#This Row],[fga]]-tbl_ZESPOŁY_dane[[#This Row],[3pa]])</f>
        <v>0.375</v>
      </c>
      <c r="AU10" s="38">
        <f>IF(tbl_ZESPOŁY_dane[[#This Row],[pts]]&gt;0,1,0)</f>
        <v>1</v>
      </c>
      <c r="AV10" s="38">
        <v>10</v>
      </c>
      <c r="AW10" s="38">
        <v>20</v>
      </c>
      <c r="AX10" s="38">
        <v>16</v>
      </c>
      <c r="AY10" s="38">
        <v>14</v>
      </c>
      <c r="AZ10" s="38">
        <f>SUMIFS(tbl_ZESPOŁY_dane[Q1],tbl_ZESPOŁY_dane[przeciwnik],tbl_ZESPOŁY_dane[[#This Row],[zespół]],tbl_ZESPOŁY_dane[GW],tbl_ZESPOŁY_dane[[#This Row],[GW]])</f>
        <v>11</v>
      </c>
      <c r="BA10" s="38">
        <f>SUMIFS(tbl_ZESPOŁY_dane[Q2],tbl_ZESPOŁY_dane[przeciwnik],tbl_ZESPOŁY_dane[[#This Row],[zespół]],tbl_ZESPOŁY_dane[GW],tbl_ZESPOŁY_dane[[#This Row],[GW]])</f>
        <v>0</v>
      </c>
      <c r="BB10" s="38">
        <f>SUMIFS(tbl_ZESPOŁY_dane[Q3],tbl_ZESPOŁY_dane[przeciwnik],tbl_ZESPOŁY_dane[[#This Row],[zespół]],tbl_ZESPOŁY_dane[GW],tbl_ZESPOŁY_dane[[#This Row],[GW]])</f>
        <v>15</v>
      </c>
      <c r="BC10" s="38">
        <f>SUMIFS(tbl_ZESPOŁY_dane[Q4],tbl_ZESPOŁY_dane[przeciwnik],tbl_ZESPOŁY_dane[[#This Row],[zespół]],tbl_ZESPOŁY_dane[GW],tbl_ZESPOŁY_dane[[#This Row],[GW]])</f>
        <v>12</v>
      </c>
      <c r="BD10" s="38">
        <f>tbl_ZESPOŁY_dane[[#This Row],[O1]]+tbl_ZESPOŁY_dane[[#This Row],[O2]]+tbl_ZESPOŁY_dane[[#This Row],[O3]]+tbl_ZESPOŁY_dane[[#This Row],[O4]]</f>
        <v>38</v>
      </c>
    </row>
    <row r="11" spans="1:56" x14ac:dyDescent="0.35">
      <c r="A11" s="32" t="s">
        <v>50</v>
      </c>
      <c r="B11" t="s">
        <v>19</v>
      </c>
      <c r="C11" t="s">
        <v>57</v>
      </c>
      <c r="D11" s="22" t="str">
        <f>IF(C11="H",VLOOKUP($A11,tab_nazwy_zespołów[],2,0)&amp;VLOOKUP($B11,tab_nazwy_zespołów[],2,0),VLOOKUP($B11,tab_nazwy_zespołów[],2,0)&amp;VLOOKUP($A11,tab_nazwy_zespołów[],2,0))</f>
        <v>KONSTA</v>
      </c>
      <c r="E11">
        <v>2</v>
      </c>
      <c r="F11">
        <f>SUMIFS(tbl_główna_GRACZE[fgm],tbl_główna_GRACZE[zespół],tbl_ZESPOŁY_dane[[#This Row],[zespół]],tbl_główna_GRACZE['#mecz],tbl_ZESPOŁY_dane[[#This Row],['#mecz]])</f>
        <v>15</v>
      </c>
      <c r="G11">
        <f>SUMIFS(tbl_główna_GRACZE[fga],tbl_główna_GRACZE[zespół],tbl_ZESPOŁY_dane[[#This Row],[zespół]],tbl_główna_GRACZE['#mecz],tbl_ZESPOŁY_dane[[#This Row],['#mecz]])</f>
        <v>66</v>
      </c>
      <c r="H11">
        <f>SUMIFS(tbl_główna_GRACZE[3pm],tbl_główna_GRACZE[zespół],tbl_ZESPOŁY_dane[[#This Row],[zespół]],tbl_główna_GRACZE['#mecz],tbl_ZESPOŁY_dane[[#This Row],['#mecz]])</f>
        <v>6</v>
      </c>
      <c r="I11">
        <f>SUMIFS(tbl_główna_GRACZE[3pa],tbl_główna_GRACZE[zespół],tbl_ZESPOŁY_dane[[#This Row],[zespół]],tbl_główna_GRACZE['#mecz],tbl_ZESPOŁY_dane[[#This Row],['#mecz]])</f>
        <v>30</v>
      </c>
      <c r="J11">
        <f>SUMIFS(tbl_główna_GRACZE[ftm],tbl_główna_GRACZE[zespół],tbl_ZESPOŁY_dane[[#This Row],[zespół]],tbl_główna_GRACZE['#mecz],tbl_ZESPOŁY_dane[[#This Row],['#mecz]])</f>
        <v>5</v>
      </c>
      <c r="K11">
        <f>SUMIFS(tbl_główna_GRACZE[fta],tbl_główna_GRACZE[zespół],tbl_ZESPOŁY_dane[[#This Row],[zespół]],tbl_główna_GRACZE['#mecz],tbl_ZESPOŁY_dane[[#This Row],['#mecz]])</f>
        <v>14</v>
      </c>
      <c r="L11">
        <f>SUMIFS(tbl_główna_GRACZE[oreb],tbl_główna_GRACZE[zespół],tbl_ZESPOŁY_dane[[#This Row],[zespół]],tbl_główna_GRACZE['#mecz],tbl_ZESPOŁY_dane[[#This Row],['#mecz]])</f>
        <v>12</v>
      </c>
      <c r="M11">
        <f>SUMIFS(tbl_główna_GRACZE[dreb],tbl_główna_GRACZE[zespół],tbl_ZESPOŁY_dane[[#This Row],[zespół]],tbl_główna_GRACZE['#mecz],tbl_ZESPOŁY_dane[[#This Row],['#mecz]])</f>
        <v>29</v>
      </c>
      <c r="N11">
        <f>SUMIFS(tbl_główna_GRACZE[foul],tbl_główna_GRACZE[zespół],tbl_ZESPOŁY_dane[[#This Row],[zespół]],tbl_główna_GRACZE['#mecz],tbl_ZESPOŁY_dane[[#This Row],['#mecz]])</f>
        <v>4</v>
      </c>
      <c r="O11">
        <f>SUMIFS(tbl_główna_GRACZE[stl],tbl_główna_GRACZE[zespół],tbl_ZESPOŁY_dane[[#This Row],[zespół]],tbl_główna_GRACZE['#mecz],tbl_ZESPOŁY_dane[[#This Row],['#mecz]])</f>
        <v>12</v>
      </c>
      <c r="P11">
        <f>SUMIFS(tbl_główna_GRACZE[to],tbl_główna_GRACZE[zespół],tbl_ZESPOŁY_dane[[#This Row],[zespół]],tbl_główna_GRACZE['#mecz],tbl_ZESPOŁY_dane[[#This Row],['#mecz]])</f>
        <v>0</v>
      </c>
      <c r="Q11">
        <f>SUMIFS(tbl_główna_GRACZE[blk],tbl_główna_GRACZE[zespół],tbl_ZESPOŁY_dane[[#This Row],[zespół]],tbl_główna_GRACZE['#mecz],tbl_ZESPOŁY_dane[[#This Row],['#mecz]])</f>
        <v>0</v>
      </c>
      <c r="R11">
        <f>SUMIFS(tbl_główna_GRACZE[asst],tbl_główna_GRACZE[zespół],tbl_ZESPOŁY_dane[[#This Row],[zespół]],tbl_główna_GRACZE['#mecz],tbl_ZESPOŁY_dane[[#This Row],['#mecz]])</f>
        <v>14</v>
      </c>
      <c r="S11">
        <f>SUMIFS(tbl_główna_GRACZE[min],tbl_główna_GRACZE[zespół],tbl_ZESPOŁY_dane[[#This Row],[zespół]],tbl_główna_GRACZE['#mecz],tbl_ZESPOŁY_dane[[#This Row],['#mecz]])</f>
        <v>193</v>
      </c>
      <c r="T11">
        <f>SUMIFS(tbl_główna_GRACZE[pts],tbl_główna_GRACZE[zespół],tbl_ZESPOŁY_dane[[#This Row],[zespół]],tbl_główna_GRACZE['#mecz],tbl_ZESPOŁY_dane[[#This Row],['#mecz]])</f>
        <v>42</v>
      </c>
      <c r="U11">
        <f>tbl_ZESPOŁY_dane[[#This Row],[oreb]]+tbl_ZESPOŁY_dane[[#This Row],[dreb]]</f>
        <v>41</v>
      </c>
      <c r="V11" s="16">
        <f t="shared" ref="V11:V16" si="9">F11/G11</f>
        <v>0.22727272727272727</v>
      </c>
      <c r="W11" s="16">
        <f t="shared" ref="W11:W16" si="10">H11/I11</f>
        <v>0.2</v>
      </c>
      <c r="X11" s="16">
        <f t="shared" ref="X11:X16" si="11">IFERROR(J11/K11,"-")</f>
        <v>0.35714285714285715</v>
      </c>
      <c r="Y11" s="16">
        <f t="shared" ref="Y11:Y16" si="12">T11/(2*(G11+0.44*K11))</f>
        <v>0.29101995565410199</v>
      </c>
      <c r="Z11" s="16">
        <f t="shared" ref="Z11:Z16" si="13">(F11+0.5*H11)/G11</f>
        <v>0.27272727272727271</v>
      </c>
      <c r="AA11">
        <f>SUMIFS(tbl_główna_GRACZE[EVAL],tbl_główna_GRACZE[zespół],$A11,tbl_główna_GRACZE['#mecz],tbl_ZESPOŁY_dane[[#This Row],['#mecz]])</f>
        <v>49</v>
      </c>
      <c r="AB11" s="16">
        <f t="shared" ref="AB11:AB16" si="14">K11/G11</f>
        <v>0.21212121212121213</v>
      </c>
      <c r="AC11" s="16">
        <f t="shared" ref="AC11:AC16" si="15">I11/G11</f>
        <v>0.45454545454545453</v>
      </c>
      <c r="AD11" s="31">
        <f>tbl_ZESPOŁY_dane[[#This Row],[fga]]+0.44*tbl_ZESPOŁY_dane[[#This Row],[fta]]-tbl_ZESPOŁY_dane[[#This Row],[oreb]]</f>
        <v>60.16</v>
      </c>
      <c r="AE11" s="31">
        <f>SUMIFS(tbl_ZESPOŁY_dane[Poss],tbl_ZESPOŁY_dane['#mecz],tbl_ZESPOŁY_dane[[#This Row],['#mecz]])/2</f>
        <v>58.96</v>
      </c>
      <c r="AF11" s="31">
        <f>tbl_ZESPOŁY_dane[[#This Row],[pts]]/tbl_ZESPOŁY_dane[[#This Row],[Poss]]*100</f>
        <v>69.813829787234056</v>
      </c>
      <c r="AG11" s="31">
        <f>SUMIFS(tbl_ZESPOŁY_dane[Orating],tbl_ZESPOŁY_dane['#mecz],tbl_ZESPOŁY_dane[[#This Row],['#mecz]],tbl_ZESPOŁY_dane[zespół],tbl_ZESPOŁY_dane[[#This Row],[przeciwnik]])</f>
        <v>77.908587257617725</v>
      </c>
      <c r="AH11" s="6">
        <f>tbl_ZESPOŁY_dane[[#This Row],[Orating]]-tbl_ZESPOŁY_dane[[#This Row],[Drating]]</f>
        <v>-8.0947574703836693</v>
      </c>
      <c r="AI11" s="5">
        <f t="shared" ref="AI11:AI16" si="16">T11/G11</f>
        <v>0.63636363636363635</v>
      </c>
      <c r="AJ11" s="4">
        <f>tbl_ZESPOŁY_dane[[#This Row],[asst]]/tbl_ZESPOŁY_dane[[#This Row],[fgm]]</f>
        <v>0.93333333333333335</v>
      </c>
      <c r="AK11" s="25">
        <f>tbl_ZESPOŁY_dane[[#This Row],[asst]]/tbl_ZESPOŁY_dane[[#This Row],[Poss]]*100</f>
        <v>23.271276595744684</v>
      </c>
      <c r="AL11" s="23">
        <f>(tbl_ZESPOŁY_dane[[#This Row],[eFG%]]*0.7+tbl_ZESPOŁY_dane[[#This Row],[AST%]]*0.3)*100</f>
        <v>47.090909090909086</v>
      </c>
      <c r="AM11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0.24489795918367346</v>
      </c>
      <c r="AN11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0.76315789473684215</v>
      </c>
      <c r="AO11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0.47126436781609193</v>
      </c>
      <c r="AP11">
        <f>tbl_ZESPOŁY_dane[[#This Row],[reb total]]-SUMIFS(tbl_ZESPOŁY_dane[reb total],tbl_ZESPOŁY_dane[zespół],tbl_ZESPOŁY_dane[[#This Row],[przeciwnik]],tbl_ZESPOŁY_dane['#mecz],tbl_ZESPOŁY_dane[[#This Row],['#mecz]])</f>
        <v>-5</v>
      </c>
      <c r="AQ11" s="4">
        <f>tbl_ZESPOŁY_dane[[#This Row],[oreb]]/(tbl_ZESPOŁY_dane[[#This Row],[fga]]-tbl_ZESPOŁY_dane[[#This Row],[fgm]])</f>
        <v>0.23529411764705882</v>
      </c>
      <c r="AR11">
        <f>(tbl_ZESPOŁY_dane[[#This Row],[oreb]]*1.1)+(tbl_ZESPOŁY_dane[[#This Row],[dreb]]*0.3)</f>
        <v>21.9</v>
      </c>
      <c r="AS11">
        <f t="shared" si="8"/>
        <v>37.1</v>
      </c>
      <c r="AT11" s="4">
        <f>(tbl_ZESPOŁY_dane[[#This Row],[fgm]]-tbl_ZESPOŁY_dane[[#This Row],[3pm]])/(tbl_ZESPOŁY_dane[[#This Row],[fga]]-tbl_ZESPOŁY_dane[[#This Row],[3pa]])</f>
        <v>0.25</v>
      </c>
      <c r="AU11">
        <f>IF(tbl_ZESPOŁY_dane[[#This Row],[pts]]&gt;0,1,0)</f>
        <v>1</v>
      </c>
      <c r="AV11">
        <v>9</v>
      </c>
      <c r="AW11">
        <v>11</v>
      </c>
      <c r="AX11">
        <v>7</v>
      </c>
      <c r="AY11">
        <v>15</v>
      </c>
      <c r="AZ11">
        <f>SUMIFS(tbl_ZESPOŁY_dane[Q1],tbl_ZESPOŁY_dane[przeciwnik],tbl_ZESPOŁY_dane[[#This Row],[zespół]],tbl_ZESPOŁY_dane[GW],tbl_ZESPOŁY_dane[[#This Row],[GW]])</f>
        <v>12</v>
      </c>
      <c r="BA11">
        <f>SUMIFS(tbl_ZESPOŁY_dane[Q2],tbl_ZESPOŁY_dane[przeciwnik],tbl_ZESPOŁY_dane[[#This Row],[zespół]],tbl_ZESPOŁY_dane[GW],tbl_ZESPOŁY_dane[[#This Row],[GW]])</f>
        <v>5</v>
      </c>
      <c r="BB11">
        <f>SUMIFS(tbl_ZESPOŁY_dane[Q3],tbl_ZESPOŁY_dane[przeciwnik],tbl_ZESPOŁY_dane[[#This Row],[zespół]],tbl_ZESPOŁY_dane[GW],tbl_ZESPOŁY_dane[[#This Row],[GW]])</f>
        <v>17</v>
      </c>
      <c r="BC11">
        <f>SUMIFS(tbl_ZESPOŁY_dane[Q4],tbl_ZESPOŁY_dane[przeciwnik],tbl_ZESPOŁY_dane[[#This Row],[zespół]],tbl_ZESPOŁY_dane[GW],tbl_ZESPOŁY_dane[[#This Row],[GW]])</f>
        <v>11</v>
      </c>
      <c r="BD11">
        <f>tbl_ZESPOŁY_dane[[#This Row],[O1]]+tbl_ZESPOŁY_dane[[#This Row],[O2]]+tbl_ZESPOŁY_dane[[#This Row],[O3]]+tbl_ZESPOŁY_dane[[#This Row],[O4]]</f>
        <v>45</v>
      </c>
    </row>
    <row r="12" spans="1:56" x14ac:dyDescent="0.35">
      <c r="A12" s="32" t="s">
        <v>19</v>
      </c>
      <c r="B12" t="s">
        <v>50</v>
      </c>
      <c r="C12" t="s">
        <v>58</v>
      </c>
      <c r="D12" s="15" t="str">
        <f>IF(C12="H",VLOOKUP($A12,tab_nazwy_zespołów[],2,0)&amp;VLOOKUP($B12,tab_nazwy_zespołów[],2,0),VLOOKUP($B12,tab_nazwy_zespołów[],2,0)&amp;VLOOKUP($A12,tab_nazwy_zespołów[],2,0))</f>
        <v>KONSTA</v>
      </c>
      <c r="E12">
        <v>2</v>
      </c>
      <c r="F12">
        <f>SUMIFS(tbl_główna_GRACZE[fgm],tbl_główna_GRACZE[zespół],tbl_ZESPOŁY_dane[[#This Row],[zespół]],tbl_główna_GRACZE['#mecz],tbl_ZESPOŁY_dane[[#This Row],['#mecz]])</f>
        <v>20</v>
      </c>
      <c r="G12">
        <f>SUMIFS(tbl_główna_GRACZE[fga],tbl_główna_GRACZE[zespół],tbl_ZESPOŁY_dane[[#This Row],[zespół]],tbl_główna_GRACZE['#mecz],tbl_ZESPOŁY_dane[[#This Row],['#mecz]])</f>
        <v>65</v>
      </c>
      <c r="H12">
        <f>SUMIFS(tbl_główna_GRACZE[3pm],tbl_główna_GRACZE[zespół],tbl_ZESPOŁY_dane[[#This Row],[zespół]],tbl_główna_GRACZE['#mecz],tbl_ZESPOŁY_dane[[#This Row],['#mecz]])</f>
        <v>4</v>
      </c>
      <c r="I12">
        <f>SUMIFS(tbl_główna_GRACZE[3pa],tbl_główna_GRACZE[zespół],tbl_ZESPOŁY_dane[[#This Row],[zespół]],tbl_główna_GRACZE['#mecz],tbl_ZESPOŁY_dane[[#This Row],['#mecz]])</f>
        <v>21</v>
      </c>
      <c r="J12">
        <f>SUMIFS(tbl_główna_GRACZE[ftm],tbl_główna_GRACZE[zespół],tbl_ZESPOŁY_dane[[#This Row],[zespół]],tbl_główna_GRACZE['#mecz],tbl_ZESPOŁY_dane[[#This Row],['#mecz]])</f>
        <v>1</v>
      </c>
      <c r="K12">
        <f>SUMIFS(tbl_główna_GRACZE[fta],tbl_główna_GRACZE[zespół],tbl_ZESPOŁY_dane[[#This Row],[zespół]],tbl_główna_GRACZE['#mecz],tbl_ZESPOŁY_dane[[#This Row],['#mecz]])</f>
        <v>4</v>
      </c>
      <c r="L12">
        <f>SUMIFS(tbl_główna_GRACZE[oreb],tbl_główna_GRACZE[zespół],tbl_ZESPOŁY_dane[[#This Row],[zespół]],tbl_główna_GRACZE['#mecz],tbl_ZESPOŁY_dane[[#This Row],['#mecz]])</f>
        <v>9</v>
      </c>
      <c r="M12">
        <f>SUMIFS(tbl_główna_GRACZE[dreb],tbl_główna_GRACZE[zespół],tbl_ZESPOŁY_dane[[#This Row],[zespół]],tbl_główna_GRACZE['#mecz],tbl_ZESPOŁY_dane[[#This Row],['#mecz]])</f>
        <v>37</v>
      </c>
      <c r="N12">
        <f>SUMIFS(tbl_główna_GRACZE[foul],tbl_główna_GRACZE[zespół],tbl_ZESPOŁY_dane[[#This Row],[zespół]],tbl_główna_GRACZE['#mecz],tbl_ZESPOŁY_dane[[#This Row],['#mecz]])</f>
        <v>7</v>
      </c>
      <c r="O12">
        <f>SUMIFS(tbl_główna_GRACZE[stl],tbl_główna_GRACZE[zespół],tbl_ZESPOŁY_dane[[#This Row],[zespół]],tbl_główna_GRACZE['#mecz],tbl_ZESPOŁY_dane[[#This Row],['#mecz]])</f>
        <v>11</v>
      </c>
      <c r="P12">
        <f>SUMIFS(tbl_główna_GRACZE[to],tbl_główna_GRACZE[zespół],tbl_ZESPOŁY_dane[[#This Row],[zespół]],tbl_główna_GRACZE['#mecz],tbl_ZESPOŁY_dane[[#This Row],['#mecz]])</f>
        <v>0</v>
      </c>
      <c r="Q12">
        <f>SUMIFS(tbl_główna_GRACZE[blk],tbl_główna_GRACZE[zespół],tbl_ZESPOŁY_dane[[#This Row],[zespół]],tbl_główna_GRACZE['#mecz],tbl_ZESPOŁY_dane[[#This Row],['#mecz]])</f>
        <v>4</v>
      </c>
      <c r="R12">
        <f>SUMIFS(tbl_główna_GRACZE[asst],tbl_główna_GRACZE[zespół],tbl_ZESPOŁY_dane[[#This Row],[zespół]],tbl_główna_GRACZE['#mecz],tbl_ZESPOŁY_dane[[#This Row],['#mecz]])</f>
        <v>14</v>
      </c>
      <c r="S12">
        <f>SUMIFS(tbl_główna_GRACZE[min],tbl_główna_GRACZE[zespół],tbl_ZESPOŁY_dane[[#This Row],[zespół]],tbl_główna_GRACZE['#mecz],tbl_ZESPOŁY_dane[[#This Row],['#mecz]])</f>
        <v>188</v>
      </c>
      <c r="T12">
        <f>SUMIFS(tbl_główna_GRACZE[pts],tbl_główna_GRACZE[zespół],tbl_ZESPOŁY_dane[[#This Row],[zespół]],tbl_główna_GRACZE['#mecz],tbl_ZESPOŁY_dane[[#This Row],['#mecz]])</f>
        <v>45</v>
      </c>
      <c r="U12">
        <f>tbl_ZESPOŁY_dane[[#This Row],[oreb]]+tbl_ZESPOŁY_dane[[#This Row],[dreb]]</f>
        <v>46</v>
      </c>
      <c r="V12" s="16">
        <f t="shared" si="9"/>
        <v>0.30769230769230771</v>
      </c>
      <c r="W12" s="16">
        <f t="shared" si="10"/>
        <v>0.19047619047619047</v>
      </c>
      <c r="X12" s="17">
        <f t="shared" si="11"/>
        <v>0.25</v>
      </c>
      <c r="Y12" s="17">
        <f t="shared" si="12"/>
        <v>0.33702816057519469</v>
      </c>
      <c r="Z12" s="17">
        <f t="shared" si="13"/>
        <v>0.33846153846153848</v>
      </c>
      <c r="AA12">
        <f>SUMIFS(tbl_główna_GRACZE[EVAL],tbl_główna_GRACZE[zespół],$A12,tbl_główna_GRACZE['#mecz],tbl_ZESPOŁY_dane[[#This Row],['#mecz]])</f>
        <v>72</v>
      </c>
      <c r="AB12" s="17">
        <f t="shared" si="14"/>
        <v>6.1538461538461542E-2</v>
      </c>
      <c r="AC12" s="17">
        <f t="shared" si="15"/>
        <v>0.32307692307692309</v>
      </c>
      <c r="AD12" s="31">
        <f>tbl_ZESPOŁY_dane[[#This Row],[fga]]+0.44*tbl_ZESPOŁY_dane[[#This Row],[fta]]-tbl_ZESPOŁY_dane[[#This Row],[oreb]]</f>
        <v>57.760000000000005</v>
      </c>
      <c r="AE12" s="31">
        <f>SUMIFS(tbl_ZESPOŁY_dane[Poss],tbl_ZESPOŁY_dane['#mecz],tbl_ZESPOŁY_dane[[#This Row],['#mecz]])/2</f>
        <v>58.96</v>
      </c>
      <c r="AF12" s="31">
        <f>tbl_ZESPOŁY_dane[[#This Row],[pts]]/tbl_ZESPOŁY_dane[[#This Row],[Poss]]*100</f>
        <v>77.908587257617725</v>
      </c>
      <c r="AG12" s="31">
        <f>SUMIFS(tbl_ZESPOŁY_dane[Orating],tbl_ZESPOŁY_dane['#mecz],tbl_ZESPOŁY_dane[[#This Row],['#mecz]],tbl_ZESPOŁY_dane[zespół],tbl_ZESPOŁY_dane[[#This Row],[przeciwnik]])</f>
        <v>69.813829787234056</v>
      </c>
      <c r="AH12" s="6">
        <f>tbl_ZESPOŁY_dane[[#This Row],[Orating]]-tbl_ZESPOŁY_dane[[#This Row],[Drating]]</f>
        <v>8.0947574703836693</v>
      </c>
      <c r="AI12" s="18">
        <f t="shared" si="16"/>
        <v>0.69230769230769229</v>
      </c>
      <c r="AJ12" s="4">
        <f>tbl_ZESPOŁY_dane[[#This Row],[asst]]/tbl_ZESPOŁY_dane[[#This Row],[fgm]]</f>
        <v>0.7</v>
      </c>
      <c r="AK12" s="25">
        <f>tbl_ZESPOŁY_dane[[#This Row],[asst]]/tbl_ZESPOŁY_dane[[#This Row],[Poss]]*100</f>
        <v>24.238227146814403</v>
      </c>
      <c r="AL12" s="19">
        <f>(tbl_ZESPOŁY_dane[[#This Row],[eFG%]]*0.7+tbl_ZESPOŁY_dane[[#This Row],[AST%]]*0.3)*100</f>
        <v>44.692307692307693</v>
      </c>
      <c r="AM12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0.23684210526315788</v>
      </c>
      <c r="AN12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0.75510204081632648</v>
      </c>
      <c r="AO12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0.52873563218390807</v>
      </c>
      <c r="AP12">
        <f>tbl_ZESPOŁY_dane[[#This Row],[reb total]]-SUMIFS(tbl_ZESPOŁY_dane[reb total],tbl_ZESPOŁY_dane[zespół],tbl_ZESPOŁY_dane[[#This Row],[przeciwnik]],tbl_ZESPOŁY_dane['#mecz],tbl_ZESPOŁY_dane[[#This Row],['#mecz]])</f>
        <v>5</v>
      </c>
      <c r="AQ12" s="4">
        <f>tbl_ZESPOŁY_dane[[#This Row],[oreb]]/(tbl_ZESPOŁY_dane[[#This Row],[fga]]-tbl_ZESPOŁY_dane[[#This Row],[fgm]])</f>
        <v>0.2</v>
      </c>
      <c r="AR12">
        <f>(tbl_ZESPOŁY_dane[[#This Row],[oreb]]*1.1)+(tbl_ZESPOŁY_dane[[#This Row],[dreb]]*0.3)</f>
        <v>21</v>
      </c>
      <c r="AS12">
        <f t="shared" si="8"/>
        <v>47.3</v>
      </c>
      <c r="AT12" s="4">
        <f>(tbl_ZESPOŁY_dane[[#This Row],[fgm]]-tbl_ZESPOŁY_dane[[#This Row],[3pm]])/(tbl_ZESPOŁY_dane[[#This Row],[fga]]-tbl_ZESPOŁY_dane[[#This Row],[3pa]])</f>
        <v>0.36363636363636365</v>
      </c>
      <c r="AU12">
        <f>IF(tbl_ZESPOŁY_dane[[#This Row],[pts]]&gt;0,1,0)</f>
        <v>1</v>
      </c>
      <c r="AV12">
        <v>12</v>
      </c>
      <c r="AW12">
        <v>5</v>
      </c>
      <c r="AX12">
        <v>17</v>
      </c>
      <c r="AY12">
        <v>11</v>
      </c>
      <c r="AZ12">
        <f>SUMIFS(tbl_ZESPOŁY_dane[Q1],tbl_ZESPOŁY_dane[przeciwnik],tbl_ZESPOŁY_dane[[#This Row],[zespół]],tbl_ZESPOŁY_dane[GW],tbl_ZESPOŁY_dane[[#This Row],[GW]])</f>
        <v>9</v>
      </c>
      <c r="BA12">
        <f>SUMIFS(tbl_ZESPOŁY_dane[Q2],tbl_ZESPOŁY_dane[przeciwnik],tbl_ZESPOŁY_dane[[#This Row],[zespół]],tbl_ZESPOŁY_dane[GW],tbl_ZESPOŁY_dane[[#This Row],[GW]])</f>
        <v>11</v>
      </c>
      <c r="BB12">
        <f>SUMIFS(tbl_ZESPOŁY_dane[Q3],tbl_ZESPOŁY_dane[przeciwnik],tbl_ZESPOŁY_dane[[#This Row],[zespół]],tbl_ZESPOŁY_dane[GW],tbl_ZESPOŁY_dane[[#This Row],[GW]])</f>
        <v>7</v>
      </c>
      <c r="BC12">
        <f>SUMIFS(tbl_ZESPOŁY_dane[Q4],tbl_ZESPOŁY_dane[przeciwnik],tbl_ZESPOŁY_dane[[#This Row],[zespół]],tbl_ZESPOŁY_dane[GW],tbl_ZESPOŁY_dane[[#This Row],[GW]])</f>
        <v>15</v>
      </c>
      <c r="BD12">
        <f>tbl_ZESPOŁY_dane[[#This Row],[O1]]+tbl_ZESPOŁY_dane[[#This Row],[O2]]+tbl_ZESPOŁY_dane[[#This Row],[O3]]+tbl_ZESPOŁY_dane[[#This Row],[O4]]</f>
        <v>42</v>
      </c>
    </row>
    <row r="13" spans="1:56" x14ac:dyDescent="0.35">
      <c r="A13" s="32" t="s">
        <v>46</v>
      </c>
      <c r="B13" t="s">
        <v>25</v>
      </c>
      <c r="C13" t="s">
        <v>58</v>
      </c>
      <c r="D13" s="15" t="str">
        <f>IF(C13="H",VLOOKUP($A13,tab_nazwy_zespołów[],2,0)&amp;VLOOKUP($B13,tab_nazwy_zespołów[],2,0),VLOOKUP($B13,tab_nazwy_zespołów[],2,0)&amp;VLOOKUP($A13,tab_nazwy_zespołów[],2,0))</f>
        <v>HUTBYP</v>
      </c>
      <c r="E13">
        <v>2</v>
      </c>
      <c r="F13">
        <f>SUMIFS(tbl_główna_GRACZE[fgm],tbl_główna_GRACZE[zespół],tbl_ZESPOŁY_dane[[#This Row],[zespół]],tbl_główna_GRACZE['#mecz],tbl_ZESPOŁY_dane[[#This Row],['#mecz]])</f>
        <v>21</v>
      </c>
      <c r="G13">
        <f>SUMIFS(tbl_główna_GRACZE[fga],tbl_główna_GRACZE[zespół],tbl_ZESPOŁY_dane[[#This Row],[zespół]],tbl_główna_GRACZE['#mecz],tbl_ZESPOŁY_dane[[#This Row],['#mecz]])</f>
        <v>62</v>
      </c>
      <c r="H13">
        <f>SUMIFS(tbl_główna_GRACZE[3pm],tbl_główna_GRACZE[zespół],tbl_ZESPOŁY_dane[[#This Row],[zespół]],tbl_główna_GRACZE['#mecz],tbl_ZESPOŁY_dane[[#This Row],['#mecz]])</f>
        <v>8</v>
      </c>
      <c r="I13">
        <f>SUMIFS(tbl_główna_GRACZE[3pa],tbl_główna_GRACZE[zespół],tbl_ZESPOŁY_dane[[#This Row],[zespół]],tbl_główna_GRACZE['#mecz],tbl_ZESPOŁY_dane[[#This Row],['#mecz]])</f>
        <v>22</v>
      </c>
      <c r="J13">
        <f>SUMIFS(tbl_główna_GRACZE[ftm],tbl_główna_GRACZE[zespół],tbl_ZESPOŁY_dane[[#This Row],[zespół]],tbl_główna_GRACZE['#mecz],tbl_ZESPOŁY_dane[[#This Row],['#mecz]])</f>
        <v>2</v>
      </c>
      <c r="K13">
        <f>SUMIFS(tbl_główna_GRACZE[fta],tbl_główna_GRACZE[zespół],tbl_ZESPOŁY_dane[[#This Row],[zespół]],tbl_główna_GRACZE['#mecz],tbl_ZESPOŁY_dane[[#This Row],['#mecz]])</f>
        <v>8</v>
      </c>
      <c r="L13">
        <f>SUMIFS(tbl_główna_GRACZE[oreb],tbl_główna_GRACZE[zespół],tbl_ZESPOŁY_dane[[#This Row],[zespół]],tbl_główna_GRACZE['#mecz],tbl_ZESPOŁY_dane[[#This Row],['#mecz]])</f>
        <v>11</v>
      </c>
      <c r="M13">
        <f>SUMIFS(tbl_główna_GRACZE[dreb],tbl_główna_GRACZE[zespół],tbl_ZESPOŁY_dane[[#This Row],[zespół]],tbl_główna_GRACZE['#mecz],tbl_ZESPOŁY_dane[[#This Row],['#mecz]])</f>
        <v>21</v>
      </c>
      <c r="N13">
        <f>SUMIFS(tbl_główna_GRACZE[foul],tbl_główna_GRACZE[zespół],tbl_ZESPOŁY_dane[[#This Row],[zespół]],tbl_główna_GRACZE['#mecz],tbl_ZESPOŁY_dane[[#This Row],['#mecz]])</f>
        <v>2</v>
      </c>
      <c r="O13">
        <f>SUMIFS(tbl_główna_GRACZE[stl],tbl_główna_GRACZE[zespół],tbl_ZESPOŁY_dane[[#This Row],[zespół]],tbl_główna_GRACZE['#mecz],tbl_ZESPOŁY_dane[[#This Row],['#mecz]])</f>
        <v>13</v>
      </c>
      <c r="P13">
        <f>SUMIFS(tbl_główna_GRACZE[to],tbl_główna_GRACZE[zespół],tbl_ZESPOŁY_dane[[#This Row],[zespół]],tbl_główna_GRACZE['#mecz],tbl_ZESPOŁY_dane[[#This Row],['#mecz]])</f>
        <v>0</v>
      </c>
      <c r="Q13">
        <f>SUMIFS(tbl_główna_GRACZE[blk],tbl_główna_GRACZE[zespół],tbl_ZESPOŁY_dane[[#This Row],[zespół]],tbl_główna_GRACZE['#mecz],tbl_ZESPOŁY_dane[[#This Row],['#mecz]])</f>
        <v>1</v>
      </c>
      <c r="R13">
        <f>SUMIFS(tbl_główna_GRACZE[asst],tbl_główna_GRACZE[zespół],tbl_ZESPOŁY_dane[[#This Row],[zespół]],tbl_główna_GRACZE['#mecz],tbl_ZESPOŁY_dane[[#This Row],['#mecz]])</f>
        <v>15</v>
      </c>
      <c r="S13">
        <f>SUMIFS(tbl_główna_GRACZE[min],tbl_główna_GRACZE[zespół],tbl_ZESPOŁY_dane[[#This Row],[zespół]],tbl_główna_GRACZE['#mecz],tbl_ZESPOŁY_dane[[#This Row],['#mecz]])</f>
        <v>196</v>
      </c>
      <c r="T13">
        <f>SUMIFS(tbl_główna_GRACZE[pts],tbl_główna_GRACZE[zespół],tbl_ZESPOŁY_dane[[#This Row],[zespół]],tbl_główna_GRACZE['#mecz],tbl_ZESPOŁY_dane[[#This Row],['#mecz]])</f>
        <v>52</v>
      </c>
      <c r="U13">
        <f>tbl_ZESPOŁY_dane[[#This Row],[oreb]]+tbl_ZESPOŁY_dane[[#This Row],[dreb]]</f>
        <v>32</v>
      </c>
      <c r="V13" s="16">
        <f t="shared" si="9"/>
        <v>0.33870967741935482</v>
      </c>
      <c r="W13" s="16">
        <f t="shared" si="10"/>
        <v>0.36363636363636365</v>
      </c>
      <c r="X13" s="17">
        <f t="shared" si="11"/>
        <v>0.25</v>
      </c>
      <c r="Y13" s="17">
        <f t="shared" si="12"/>
        <v>0.39682539682539686</v>
      </c>
      <c r="Z13" s="17">
        <f t="shared" si="13"/>
        <v>0.40322580645161288</v>
      </c>
      <c r="AA13">
        <f>SUMIFS(tbl_główna_GRACZE[EVAL],tbl_główna_GRACZE[zespół],$A13,tbl_główna_GRACZE['#mecz],tbl_ZESPOŁY_dane[[#This Row],['#mecz]])</f>
        <v>66</v>
      </c>
      <c r="AB13" s="17">
        <f t="shared" si="14"/>
        <v>0.12903225806451613</v>
      </c>
      <c r="AC13" s="17">
        <f t="shared" si="15"/>
        <v>0.35483870967741937</v>
      </c>
      <c r="AD13" s="31">
        <f>tbl_ZESPOŁY_dane[[#This Row],[fga]]+0.44*tbl_ZESPOŁY_dane[[#This Row],[fta]]-tbl_ZESPOŁY_dane[[#This Row],[oreb]]</f>
        <v>54.519999999999996</v>
      </c>
      <c r="AE13" s="31">
        <f>SUMIFS(tbl_ZESPOŁY_dane[Poss],tbl_ZESPOŁY_dane['#mecz],tbl_ZESPOŁY_dane[[#This Row],['#mecz]])/2</f>
        <v>56.419999999999995</v>
      </c>
      <c r="AF13" s="31">
        <f>tbl_ZESPOŁY_dane[[#This Row],[pts]]/tbl_ZESPOŁY_dane[[#This Row],[Poss]]*100</f>
        <v>95.377842993396925</v>
      </c>
      <c r="AG13" s="31">
        <f>SUMIFS(tbl_ZESPOŁY_dane[Orating],tbl_ZESPOŁY_dane['#mecz],tbl_ZESPOŁY_dane[[#This Row],['#mecz]],tbl_ZESPOŁY_dane[zespół],tbl_ZESPOŁY_dane[[#This Row],[przeciwnik]])</f>
        <v>106.31001371742114</v>
      </c>
      <c r="AH13" s="6">
        <f>tbl_ZESPOŁY_dane[[#This Row],[Orating]]-tbl_ZESPOŁY_dane[[#This Row],[Drating]]</f>
        <v>-10.932170724024218</v>
      </c>
      <c r="AI13" s="18">
        <f t="shared" si="16"/>
        <v>0.83870967741935487</v>
      </c>
      <c r="AJ13" s="4">
        <f>tbl_ZESPOŁY_dane[[#This Row],[asst]]/tbl_ZESPOŁY_dane[[#This Row],[fgm]]</f>
        <v>0.7142857142857143</v>
      </c>
      <c r="AK13" s="25">
        <f>tbl_ZESPOŁY_dane[[#This Row],[asst]]/tbl_ZESPOŁY_dane[[#This Row],[Poss]]*100</f>
        <v>27.512839325018344</v>
      </c>
      <c r="AL13" s="19">
        <f>(tbl_ZESPOŁY_dane[[#This Row],[eFG%]]*0.7+tbl_ZESPOŁY_dane[[#This Row],[AST%]]*0.3)*100</f>
        <v>49.654377880184327</v>
      </c>
      <c r="AM13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0.37931034482758619</v>
      </c>
      <c r="AN13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</v>
      </c>
      <c r="AO13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</v>
      </c>
      <c r="AP13">
        <f>tbl_ZESPOŁY_dane[[#This Row],[reb total]]-SUMIFS(tbl_ZESPOŁY_dane[reb total],tbl_ZESPOŁY_dane[zespół],tbl_ZESPOŁY_dane[[#This Row],[przeciwnik]],tbl_ZESPOŁY_dane['#mecz],tbl_ZESPOŁY_dane[[#This Row],['#mecz]])</f>
        <v>0</v>
      </c>
      <c r="AQ13" s="4">
        <f>tbl_ZESPOŁY_dane[[#This Row],[oreb]]/(tbl_ZESPOŁY_dane[[#This Row],[fga]]-tbl_ZESPOŁY_dane[[#This Row],[fgm]])</f>
        <v>0.26829268292682928</v>
      </c>
      <c r="AR13">
        <f>(tbl_ZESPOŁY_dane[[#This Row],[oreb]]*1.1)+(tbl_ZESPOŁY_dane[[#This Row],[dreb]]*0.3)</f>
        <v>18.400000000000002</v>
      </c>
      <c r="AS13">
        <f t="shared" si="8"/>
        <v>52.8</v>
      </c>
      <c r="AT13" s="4">
        <f>(tbl_ZESPOŁY_dane[[#This Row],[fgm]]-tbl_ZESPOŁY_dane[[#This Row],[3pm]])/(tbl_ZESPOŁY_dane[[#This Row],[fga]]-tbl_ZESPOŁY_dane[[#This Row],[3pa]])</f>
        <v>0.32500000000000001</v>
      </c>
      <c r="AU13">
        <f>IF(tbl_ZESPOŁY_dane[[#This Row],[pts]]&gt;0,1,0)</f>
        <v>1</v>
      </c>
      <c r="AV13">
        <v>11</v>
      </c>
      <c r="AW13">
        <v>16</v>
      </c>
      <c r="AX13">
        <v>11</v>
      </c>
      <c r="AY13">
        <v>14</v>
      </c>
      <c r="AZ13">
        <f>SUMIFS(tbl_ZESPOŁY_dane[Q1],tbl_ZESPOŁY_dane[przeciwnik],tbl_ZESPOŁY_dane[[#This Row],[zespół]],tbl_ZESPOŁY_dane[GW],tbl_ZESPOŁY_dane[[#This Row],[GW]])</f>
        <v>13</v>
      </c>
      <c r="BA13">
        <f>SUMIFS(tbl_ZESPOŁY_dane[Q2],tbl_ZESPOŁY_dane[przeciwnik],tbl_ZESPOŁY_dane[[#This Row],[zespół]],tbl_ZESPOŁY_dane[GW],tbl_ZESPOŁY_dane[[#This Row],[GW]])</f>
        <v>13</v>
      </c>
      <c r="BB13">
        <f>SUMIFS(tbl_ZESPOŁY_dane[Q3],tbl_ZESPOŁY_dane[przeciwnik],tbl_ZESPOŁY_dane[[#This Row],[zespół]],tbl_ZESPOŁY_dane[GW],tbl_ZESPOŁY_dane[[#This Row],[GW]])</f>
        <v>16</v>
      </c>
      <c r="BC13">
        <f>SUMIFS(tbl_ZESPOŁY_dane[Q4],tbl_ZESPOŁY_dane[przeciwnik],tbl_ZESPOŁY_dane[[#This Row],[zespół]],tbl_ZESPOŁY_dane[GW],tbl_ZESPOŁY_dane[[#This Row],[GW]])</f>
        <v>20</v>
      </c>
      <c r="BD13">
        <f>tbl_ZESPOŁY_dane[[#This Row],[O1]]+tbl_ZESPOŁY_dane[[#This Row],[O2]]+tbl_ZESPOŁY_dane[[#This Row],[O3]]+tbl_ZESPOŁY_dane[[#This Row],[O4]]</f>
        <v>62</v>
      </c>
    </row>
    <row r="14" spans="1:56" x14ac:dyDescent="0.35">
      <c r="A14" s="32" t="s">
        <v>25</v>
      </c>
      <c r="B14" t="s">
        <v>46</v>
      </c>
      <c r="C14" t="s">
        <v>57</v>
      </c>
      <c r="D14" s="15" t="str">
        <f>IF(C14="H",VLOOKUP($A14,tab_nazwy_zespołów[],2,0)&amp;VLOOKUP($B14,tab_nazwy_zespołów[],2,0),VLOOKUP($B14,tab_nazwy_zespołów[],2,0)&amp;VLOOKUP($A14,tab_nazwy_zespołów[],2,0))</f>
        <v>HUTBYP</v>
      </c>
      <c r="E14">
        <v>2</v>
      </c>
      <c r="F14">
        <f>SUMIFS(tbl_główna_GRACZE[fgm],tbl_główna_GRACZE[zespół],tbl_ZESPOŁY_dane[[#This Row],[zespół]],tbl_główna_GRACZE['#mecz],tbl_ZESPOŁY_dane[[#This Row],['#mecz]])</f>
        <v>30</v>
      </c>
      <c r="G14">
        <f>SUMIFS(tbl_główna_GRACZE[fga],tbl_główna_GRACZE[zespół],tbl_ZESPOŁY_dane[[#This Row],[zespół]],tbl_główna_GRACZE['#mecz],tbl_ZESPOŁY_dane[[#This Row],['#mecz]])</f>
        <v>71</v>
      </c>
      <c r="H14">
        <f>SUMIFS(tbl_główna_GRACZE[3pm],tbl_główna_GRACZE[zespół],tbl_ZESPOŁY_dane[[#This Row],[zespół]],tbl_główna_GRACZE['#mecz],tbl_ZESPOŁY_dane[[#This Row],['#mecz]])</f>
        <v>1</v>
      </c>
      <c r="I14">
        <f>SUMIFS(tbl_główna_GRACZE[3pa],tbl_główna_GRACZE[zespół],tbl_ZESPOŁY_dane[[#This Row],[zespół]],tbl_główna_GRACZE['#mecz],tbl_ZESPOŁY_dane[[#This Row],['#mecz]])</f>
        <v>11</v>
      </c>
      <c r="J14">
        <f>SUMIFS(tbl_główna_GRACZE[ftm],tbl_główna_GRACZE[zespół],tbl_ZESPOŁY_dane[[#This Row],[zespół]],tbl_główna_GRACZE['#mecz],tbl_ZESPOŁY_dane[[#This Row],['#mecz]])</f>
        <v>1</v>
      </c>
      <c r="K14">
        <f>SUMIFS(tbl_główna_GRACZE[fta],tbl_główna_GRACZE[zespół],tbl_ZESPOŁY_dane[[#This Row],[zespół]],tbl_główna_GRACZE['#mecz],tbl_ZESPOŁY_dane[[#This Row],['#mecz]])</f>
        <v>3</v>
      </c>
      <c r="L14">
        <f>SUMIFS(tbl_główna_GRACZE[oreb],tbl_główna_GRACZE[zespół],tbl_ZESPOŁY_dane[[#This Row],[zespół]],tbl_główna_GRACZE['#mecz],tbl_ZESPOŁY_dane[[#This Row],['#mecz]])</f>
        <v>14</v>
      </c>
      <c r="M14">
        <f>SUMIFS(tbl_główna_GRACZE[dreb],tbl_główna_GRACZE[zespół],tbl_ZESPOŁY_dane[[#This Row],[zespół]],tbl_główna_GRACZE['#mecz],tbl_ZESPOŁY_dane[[#This Row],['#mecz]])</f>
        <v>18</v>
      </c>
      <c r="N14">
        <f>SUMIFS(tbl_główna_GRACZE[foul],tbl_główna_GRACZE[zespół],tbl_ZESPOŁY_dane[[#This Row],[zespół]],tbl_główna_GRACZE['#mecz],tbl_ZESPOŁY_dane[[#This Row],['#mecz]])</f>
        <v>8</v>
      </c>
      <c r="O14">
        <f>SUMIFS(tbl_główna_GRACZE[stl],tbl_główna_GRACZE[zespół],tbl_ZESPOŁY_dane[[#This Row],[zespół]],tbl_główna_GRACZE['#mecz],tbl_ZESPOŁY_dane[[#This Row],['#mecz]])</f>
        <v>17</v>
      </c>
      <c r="P14">
        <f>SUMIFS(tbl_główna_GRACZE[to],tbl_główna_GRACZE[zespół],tbl_ZESPOŁY_dane[[#This Row],[zespół]],tbl_główna_GRACZE['#mecz],tbl_ZESPOŁY_dane[[#This Row],['#mecz]])</f>
        <v>0</v>
      </c>
      <c r="Q14">
        <f>SUMIFS(tbl_główna_GRACZE[blk],tbl_główna_GRACZE[zespół],tbl_ZESPOŁY_dane[[#This Row],[zespół]],tbl_główna_GRACZE['#mecz],tbl_ZESPOŁY_dane[[#This Row],['#mecz]])</f>
        <v>5</v>
      </c>
      <c r="R14">
        <f>SUMIFS(tbl_główna_GRACZE[asst],tbl_główna_GRACZE[zespół],tbl_ZESPOŁY_dane[[#This Row],[zespół]],tbl_główna_GRACZE['#mecz],tbl_ZESPOŁY_dane[[#This Row],['#mecz]])</f>
        <v>18</v>
      </c>
      <c r="S14">
        <f>SUMIFS(tbl_główna_GRACZE[min],tbl_główna_GRACZE[zespół],tbl_ZESPOŁY_dane[[#This Row],[zespół]],tbl_główna_GRACZE['#mecz],tbl_ZESPOŁY_dane[[#This Row],['#mecz]])</f>
        <v>197</v>
      </c>
      <c r="T14">
        <f>SUMIFS(tbl_główna_GRACZE[pts],tbl_główna_GRACZE[zespół],tbl_ZESPOŁY_dane[[#This Row],[zespół]],tbl_główna_GRACZE['#mecz],tbl_ZESPOŁY_dane[[#This Row],['#mecz]])</f>
        <v>62</v>
      </c>
      <c r="U14">
        <f>tbl_ZESPOŁY_dane[[#This Row],[oreb]]+tbl_ZESPOŁY_dane[[#This Row],[dreb]]</f>
        <v>32</v>
      </c>
      <c r="V14" s="16">
        <f t="shared" si="9"/>
        <v>0.42253521126760563</v>
      </c>
      <c r="W14" s="16">
        <f t="shared" si="10"/>
        <v>9.0909090909090912E-2</v>
      </c>
      <c r="X14" s="17">
        <f t="shared" si="11"/>
        <v>0.33333333333333331</v>
      </c>
      <c r="Y14" s="17">
        <f t="shared" si="12"/>
        <v>0.42865044247787615</v>
      </c>
      <c r="Z14" s="17">
        <f t="shared" si="13"/>
        <v>0.42957746478873238</v>
      </c>
      <c r="AA14">
        <f>SUMIFS(tbl_główna_GRACZE[EVAL],tbl_główna_GRACZE[zespół],$A14,tbl_główna_GRACZE['#mecz],tbl_ZESPOŁY_dane[[#This Row],['#mecz]])</f>
        <v>91</v>
      </c>
      <c r="AB14" s="17">
        <f t="shared" si="14"/>
        <v>4.2253521126760563E-2</v>
      </c>
      <c r="AC14" s="17">
        <f t="shared" si="15"/>
        <v>0.15492957746478872</v>
      </c>
      <c r="AD14" s="31">
        <f>tbl_ZESPOŁY_dane[[#This Row],[fga]]+0.44*tbl_ZESPOŁY_dane[[#This Row],[fta]]-tbl_ZESPOŁY_dane[[#This Row],[oreb]]</f>
        <v>58.319999999999993</v>
      </c>
      <c r="AE14" s="31">
        <f>SUMIFS(tbl_ZESPOŁY_dane[Poss],tbl_ZESPOŁY_dane['#mecz],tbl_ZESPOŁY_dane[[#This Row],['#mecz]])/2</f>
        <v>56.419999999999995</v>
      </c>
      <c r="AF14" s="31">
        <f>tbl_ZESPOŁY_dane[[#This Row],[pts]]/tbl_ZESPOŁY_dane[[#This Row],[Poss]]*100</f>
        <v>106.31001371742114</v>
      </c>
      <c r="AG14" s="31">
        <f>SUMIFS(tbl_ZESPOŁY_dane[Orating],tbl_ZESPOŁY_dane['#mecz],tbl_ZESPOŁY_dane[[#This Row],['#mecz]],tbl_ZESPOŁY_dane[zespół],tbl_ZESPOŁY_dane[[#This Row],[przeciwnik]])</f>
        <v>95.377842993396925</v>
      </c>
      <c r="AH14" s="6">
        <f>tbl_ZESPOŁY_dane[[#This Row],[Orating]]-tbl_ZESPOŁY_dane[[#This Row],[Drating]]</f>
        <v>10.932170724024218</v>
      </c>
      <c r="AI14" s="18">
        <f t="shared" si="16"/>
        <v>0.87323943661971826</v>
      </c>
      <c r="AJ14" s="4">
        <f>tbl_ZESPOŁY_dane[[#This Row],[asst]]/tbl_ZESPOŁY_dane[[#This Row],[fgm]]</f>
        <v>0.6</v>
      </c>
      <c r="AK14" s="25">
        <f>tbl_ZESPOŁY_dane[[#This Row],[asst]]/tbl_ZESPOŁY_dane[[#This Row],[Poss]]*100</f>
        <v>30.864197530864203</v>
      </c>
      <c r="AL14" s="19">
        <f>(tbl_ZESPOŁY_dane[[#This Row],[eFG%]]*0.7+tbl_ZESPOŁY_dane[[#This Row],[AST%]]*0.3)*100</f>
        <v>48.070422535211264</v>
      </c>
      <c r="AM14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0.4</v>
      </c>
      <c r="AN14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0.62068965517241381</v>
      </c>
      <c r="AO14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</v>
      </c>
      <c r="AP14">
        <f>tbl_ZESPOŁY_dane[[#This Row],[reb total]]-SUMIFS(tbl_ZESPOŁY_dane[reb total],tbl_ZESPOŁY_dane[zespół],tbl_ZESPOŁY_dane[[#This Row],[przeciwnik]],tbl_ZESPOŁY_dane['#mecz],tbl_ZESPOŁY_dane[[#This Row],['#mecz]])</f>
        <v>0</v>
      </c>
      <c r="AQ14" s="4">
        <f>tbl_ZESPOŁY_dane[[#This Row],[oreb]]/(tbl_ZESPOŁY_dane[[#This Row],[fga]]-tbl_ZESPOŁY_dane[[#This Row],[fgm]])</f>
        <v>0.34146341463414637</v>
      </c>
      <c r="AR14">
        <f>(tbl_ZESPOŁY_dane[[#This Row],[oreb]]*1.1)+(tbl_ZESPOŁY_dane[[#This Row],[dreb]]*0.3)</f>
        <v>20.8</v>
      </c>
      <c r="AS14">
        <f t="shared" si="8"/>
        <v>71.8</v>
      </c>
      <c r="AT14" s="4">
        <f>(tbl_ZESPOŁY_dane[[#This Row],[fgm]]-tbl_ZESPOŁY_dane[[#This Row],[3pm]])/(tbl_ZESPOŁY_dane[[#This Row],[fga]]-tbl_ZESPOŁY_dane[[#This Row],[3pa]])</f>
        <v>0.48333333333333334</v>
      </c>
      <c r="AU14">
        <f>IF(tbl_ZESPOŁY_dane[[#This Row],[pts]]&gt;0,1,0)</f>
        <v>1</v>
      </c>
      <c r="AV14">
        <v>13</v>
      </c>
      <c r="AW14">
        <v>13</v>
      </c>
      <c r="AX14">
        <v>16</v>
      </c>
      <c r="AY14">
        <v>20</v>
      </c>
      <c r="AZ14">
        <f>SUMIFS(tbl_ZESPOŁY_dane[Q1],tbl_ZESPOŁY_dane[przeciwnik],tbl_ZESPOŁY_dane[[#This Row],[zespół]],tbl_ZESPOŁY_dane[GW],tbl_ZESPOŁY_dane[[#This Row],[GW]])</f>
        <v>11</v>
      </c>
      <c r="BA14">
        <f>SUMIFS(tbl_ZESPOŁY_dane[Q2],tbl_ZESPOŁY_dane[przeciwnik],tbl_ZESPOŁY_dane[[#This Row],[zespół]],tbl_ZESPOŁY_dane[GW],tbl_ZESPOŁY_dane[[#This Row],[GW]])</f>
        <v>16</v>
      </c>
      <c r="BB14">
        <f>SUMIFS(tbl_ZESPOŁY_dane[Q3],tbl_ZESPOŁY_dane[przeciwnik],tbl_ZESPOŁY_dane[[#This Row],[zespół]],tbl_ZESPOŁY_dane[GW],tbl_ZESPOŁY_dane[[#This Row],[GW]])</f>
        <v>11</v>
      </c>
      <c r="BC14">
        <f>SUMIFS(tbl_ZESPOŁY_dane[Q4],tbl_ZESPOŁY_dane[przeciwnik],tbl_ZESPOŁY_dane[[#This Row],[zespół]],tbl_ZESPOŁY_dane[GW],tbl_ZESPOŁY_dane[[#This Row],[GW]])</f>
        <v>14</v>
      </c>
      <c r="BD14">
        <f>tbl_ZESPOŁY_dane[[#This Row],[O1]]+tbl_ZESPOŁY_dane[[#This Row],[O2]]+tbl_ZESPOŁY_dane[[#This Row],[O3]]+tbl_ZESPOŁY_dane[[#This Row],[O4]]</f>
        <v>52</v>
      </c>
    </row>
    <row r="15" spans="1:56" x14ac:dyDescent="0.35">
      <c r="A15" s="32" t="s">
        <v>48</v>
      </c>
      <c r="B15" t="s">
        <v>52</v>
      </c>
      <c r="C15" t="s">
        <v>57</v>
      </c>
      <c r="D15" s="15" t="str">
        <f>IF(C15="H",VLOOKUP($A15,tab_nazwy_zespołów[],2,0)&amp;VLOOKUP($B15,tab_nazwy_zespołów[],2,0),VLOOKUP($B15,tab_nazwy_zespołów[],2,0)&amp;VLOOKUP($A15,tab_nazwy_zespołów[],2,0))</f>
        <v>ŁODWIL</v>
      </c>
      <c r="E15">
        <v>2</v>
      </c>
      <c r="F15">
        <f>SUMIFS(tbl_główna_GRACZE[fgm],tbl_główna_GRACZE[zespół],tbl_ZESPOŁY_dane[[#This Row],[zespół]],tbl_główna_GRACZE['#mecz],tbl_ZESPOŁY_dane[[#This Row],['#mecz]])</f>
        <v>17</v>
      </c>
      <c r="G15">
        <f>SUMIFS(tbl_główna_GRACZE[fga],tbl_główna_GRACZE[zespół],tbl_ZESPOŁY_dane[[#This Row],[zespół]],tbl_główna_GRACZE['#mecz],tbl_ZESPOŁY_dane[[#This Row],['#mecz]])</f>
        <v>55</v>
      </c>
      <c r="H15">
        <f>SUMIFS(tbl_główna_GRACZE[3pm],tbl_główna_GRACZE[zespół],tbl_ZESPOŁY_dane[[#This Row],[zespół]],tbl_główna_GRACZE['#mecz],tbl_ZESPOŁY_dane[[#This Row],['#mecz]])</f>
        <v>5</v>
      </c>
      <c r="I15">
        <f>SUMIFS(tbl_główna_GRACZE[3pa],tbl_główna_GRACZE[zespół],tbl_ZESPOŁY_dane[[#This Row],[zespół]],tbl_główna_GRACZE['#mecz],tbl_ZESPOŁY_dane[[#This Row],['#mecz]])</f>
        <v>16</v>
      </c>
      <c r="J15">
        <f>SUMIFS(tbl_główna_GRACZE[ftm],tbl_główna_GRACZE[zespół],tbl_ZESPOŁY_dane[[#This Row],[zespół]],tbl_główna_GRACZE['#mecz],tbl_ZESPOŁY_dane[[#This Row],['#mecz]])</f>
        <v>11</v>
      </c>
      <c r="K15">
        <f>SUMIFS(tbl_główna_GRACZE[fta],tbl_główna_GRACZE[zespół],tbl_ZESPOŁY_dane[[#This Row],[zespół]],tbl_główna_GRACZE['#mecz],tbl_ZESPOŁY_dane[[#This Row],['#mecz]])</f>
        <v>19</v>
      </c>
      <c r="L15">
        <f>SUMIFS(tbl_główna_GRACZE[oreb],tbl_główna_GRACZE[zespół],tbl_ZESPOŁY_dane[[#This Row],[zespół]],tbl_główna_GRACZE['#mecz],tbl_ZESPOŁY_dane[[#This Row],['#mecz]])</f>
        <v>5</v>
      </c>
      <c r="M15">
        <f>SUMIFS(tbl_główna_GRACZE[dreb],tbl_główna_GRACZE[zespół],tbl_ZESPOŁY_dane[[#This Row],[zespół]],tbl_główna_GRACZE['#mecz],tbl_ZESPOŁY_dane[[#This Row],['#mecz]])</f>
        <v>28</v>
      </c>
      <c r="N15">
        <f>SUMIFS(tbl_główna_GRACZE[foul],tbl_główna_GRACZE[zespół],tbl_ZESPOŁY_dane[[#This Row],[zespół]],tbl_główna_GRACZE['#mecz],tbl_ZESPOŁY_dane[[#This Row],['#mecz]])</f>
        <v>5</v>
      </c>
      <c r="O15">
        <f>SUMIFS(tbl_główna_GRACZE[stl],tbl_główna_GRACZE[zespół],tbl_ZESPOŁY_dane[[#This Row],[zespół]],tbl_główna_GRACZE['#mecz],tbl_ZESPOŁY_dane[[#This Row],['#mecz]])</f>
        <v>15</v>
      </c>
      <c r="P15">
        <f>SUMIFS(tbl_główna_GRACZE[to],tbl_główna_GRACZE[zespół],tbl_ZESPOŁY_dane[[#This Row],[zespół]],tbl_główna_GRACZE['#mecz],tbl_ZESPOŁY_dane[[#This Row],['#mecz]])</f>
        <v>0</v>
      </c>
      <c r="Q15">
        <f>SUMIFS(tbl_główna_GRACZE[blk],tbl_główna_GRACZE[zespół],tbl_ZESPOŁY_dane[[#This Row],[zespół]],tbl_główna_GRACZE['#mecz],tbl_ZESPOŁY_dane[[#This Row],['#mecz]])</f>
        <v>3</v>
      </c>
      <c r="R15">
        <f>SUMIFS(tbl_główna_GRACZE[asst],tbl_główna_GRACZE[zespół],tbl_ZESPOŁY_dane[[#This Row],[zespół]],tbl_główna_GRACZE['#mecz],tbl_ZESPOŁY_dane[[#This Row],['#mecz]])</f>
        <v>11</v>
      </c>
      <c r="S15">
        <f>SUMIFS(tbl_główna_GRACZE[min],tbl_główna_GRACZE[zespół],tbl_ZESPOŁY_dane[[#This Row],[zespół]],tbl_główna_GRACZE['#mecz],tbl_ZESPOŁY_dane[[#This Row],['#mecz]])</f>
        <v>196</v>
      </c>
      <c r="T15">
        <f>SUMIFS(tbl_główna_GRACZE[pts],tbl_główna_GRACZE[zespół],tbl_ZESPOŁY_dane[[#This Row],[zespół]],tbl_główna_GRACZE['#mecz],tbl_ZESPOŁY_dane[[#This Row],['#mecz]])</f>
        <v>50</v>
      </c>
      <c r="U15">
        <f>tbl_ZESPOŁY_dane[[#This Row],[oreb]]+tbl_ZESPOŁY_dane[[#This Row],[dreb]]</f>
        <v>33</v>
      </c>
      <c r="V15" s="16">
        <f t="shared" si="9"/>
        <v>0.30909090909090908</v>
      </c>
      <c r="W15" s="16">
        <f t="shared" si="10"/>
        <v>0.3125</v>
      </c>
      <c r="X15" s="17">
        <f t="shared" si="11"/>
        <v>0.57894736842105265</v>
      </c>
      <c r="Y15" s="17">
        <f t="shared" si="12"/>
        <v>0.39457070707070707</v>
      </c>
      <c r="Z15" s="17">
        <f t="shared" si="13"/>
        <v>0.35454545454545455</v>
      </c>
      <c r="AA15">
        <f>SUMIFS(tbl_główna_GRACZE[EVAL],tbl_główna_GRACZE[zespół],$A15,tbl_główna_GRACZE['#mecz],tbl_ZESPOŁY_dane[[#This Row],['#mecz]])</f>
        <v>66</v>
      </c>
      <c r="AB15" s="17">
        <f t="shared" si="14"/>
        <v>0.34545454545454546</v>
      </c>
      <c r="AC15" s="17">
        <f t="shared" si="15"/>
        <v>0.29090909090909089</v>
      </c>
      <c r="AD15" s="31">
        <f>tbl_ZESPOŁY_dane[[#This Row],[fga]]+0.44*tbl_ZESPOŁY_dane[[#This Row],[fta]]-tbl_ZESPOŁY_dane[[#This Row],[oreb]]</f>
        <v>58.36</v>
      </c>
      <c r="AE15" s="31">
        <f>SUMIFS(tbl_ZESPOŁY_dane[Poss],tbl_ZESPOŁY_dane['#mecz],tbl_ZESPOŁY_dane[[#This Row],['#mecz]])/2</f>
        <v>52.06</v>
      </c>
      <c r="AF15" s="31">
        <f>tbl_ZESPOŁY_dane[[#This Row],[pts]]/tbl_ZESPOŁY_dane[[#This Row],[Poss]]*100</f>
        <v>85.675119945167921</v>
      </c>
      <c r="AG15" s="31">
        <f>SUMIFS(tbl_ZESPOŁY_dane[Orating],tbl_ZESPOŁY_dane['#mecz],tbl_ZESPOŁY_dane[[#This Row],['#mecz]],tbl_ZESPOŁY_dane[zespół],tbl_ZESPOŁY_dane[[#This Row],[przeciwnik]])</f>
        <v>59.003496503496514</v>
      </c>
      <c r="AH15" s="6">
        <f>tbl_ZESPOŁY_dane[[#This Row],[Orating]]-tbl_ZESPOŁY_dane[[#This Row],[Drating]]</f>
        <v>26.671623441671407</v>
      </c>
      <c r="AI15" s="18">
        <f t="shared" si="16"/>
        <v>0.90909090909090906</v>
      </c>
      <c r="AJ15" s="4">
        <f>tbl_ZESPOŁY_dane[[#This Row],[asst]]/tbl_ZESPOŁY_dane[[#This Row],[fgm]]</f>
        <v>0.6470588235294118</v>
      </c>
      <c r="AK15" s="25">
        <f>tbl_ZESPOŁY_dane[[#This Row],[asst]]/tbl_ZESPOŁY_dane[[#This Row],[Poss]]*100</f>
        <v>18.848526387936943</v>
      </c>
      <c r="AL15" s="19">
        <f>(tbl_ZESPOŁY_dane[[#This Row],[eFG%]]*0.7+tbl_ZESPOŁY_dane[[#This Row],[AST%]]*0.3)*100</f>
        <v>44.229946524064168</v>
      </c>
      <c r="AM15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0.16666666666666666</v>
      </c>
      <c r="AN15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0.71794871794871795</v>
      </c>
      <c r="AO15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0.47826086956521741</v>
      </c>
      <c r="AP15">
        <f>tbl_ZESPOŁY_dane[[#This Row],[reb total]]-SUMIFS(tbl_ZESPOŁY_dane[reb total],tbl_ZESPOŁY_dane[zespół],tbl_ZESPOŁY_dane[[#This Row],[przeciwnik]],tbl_ZESPOŁY_dane['#mecz],tbl_ZESPOŁY_dane[[#This Row],['#mecz]])</f>
        <v>-3</v>
      </c>
      <c r="AQ15" s="4">
        <f>tbl_ZESPOŁY_dane[[#This Row],[oreb]]/(tbl_ZESPOŁY_dane[[#This Row],[fga]]-tbl_ZESPOŁY_dane[[#This Row],[fgm]])</f>
        <v>0.13157894736842105</v>
      </c>
      <c r="AR15">
        <f>(tbl_ZESPOŁY_dane[[#This Row],[oreb]]*1.1)+(tbl_ZESPOŁY_dane[[#This Row],[dreb]]*0.3)</f>
        <v>13.9</v>
      </c>
      <c r="AS15">
        <f t="shared" si="8"/>
        <v>51.800000000000004</v>
      </c>
      <c r="AT15" s="4">
        <f>(tbl_ZESPOŁY_dane[[#This Row],[fgm]]-tbl_ZESPOŁY_dane[[#This Row],[3pm]])/(tbl_ZESPOŁY_dane[[#This Row],[fga]]-tbl_ZESPOŁY_dane[[#This Row],[3pa]])</f>
        <v>0.30769230769230771</v>
      </c>
      <c r="AU15">
        <f>IF(tbl_ZESPOŁY_dane[[#This Row],[pts]]&gt;0,1,0)</f>
        <v>1</v>
      </c>
      <c r="AV15">
        <v>8</v>
      </c>
      <c r="AW15">
        <v>13</v>
      </c>
      <c r="AX15">
        <v>8</v>
      </c>
      <c r="AY15">
        <v>21</v>
      </c>
      <c r="AZ15">
        <f>SUMIFS(tbl_ZESPOŁY_dane[Q1],tbl_ZESPOŁY_dane[przeciwnik],tbl_ZESPOŁY_dane[[#This Row],[zespół]],tbl_ZESPOŁY_dane[GW],tbl_ZESPOŁY_dane[[#This Row],[GW]])</f>
        <v>7</v>
      </c>
      <c r="BA15">
        <f>SUMIFS(tbl_ZESPOŁY_dane[Q2],tbl_ZESPOŁY_dane[przeciwnik],tbl_ZESPOŁY_dane[[#This Row],[zespół]],tbl_ZESPOŁY_dane[GW],tbl_ZESPOŁY_dane[[#This Row],[GW]])</f>
        <v>6</v>
      </c>
      <c r="BB15">
        <f>SUMIFS(tbl_ZESPOŁY_dane[Q3],tbl_ZESPOŁY_dane[przeciwnik],tbl_ZESPOŁY_dane[[#This Row],[zespół]],tbl_ZESPOŁY_dane[GW],tbl_ZESPOŁY_dane[[#This Row],[GW]])</f>
        <v>7</v>
      </c>
      <c r="BC15">
        <f>SUMIFS(tbl_ZESPOŁY_dane[Q4],tbl_ZESPOŁY_dane[przeciwnik],tbl_ZESPOŁY_dane[[#This Row],[zespół]],tbl_ZESPOŁY_dane[GW],tbl_ZESPOŁY_dane[[#This Row],[GW]])</f>
        <v>7</v>
      </c>
      <c r="BD15">
        <f>tbl_ZESPOŁY_dane[[#This Row],[O1]]+tbl_ZESPOŁY_dane[[#This Row],[O2]]+tbl_ZESPOŁY_dane[[#This Row],[O3]]+tbl_ZESPOŁY_dane[[#This Row],[O4]]</f>
        <v>27</v>
      </c>
    </row>
    <row r="16" spans="1:56" s="38" customFormat="1" ht="15" thickBot="1" x14ac:dyDescent="0.4">
      <c r="A16" s="37" t="s">
        <v>52</v>
      </c>
      <c r="B16" s="38" t="s">
        <v>48</v>
      </c>
      <c r="C16" s="38" t="s">
        <v>58</v>
      </c>
      <c r="D16" s="39" t="str">
        <f>IF(C16="H",VLOOKUP($A16,tab_nazwy_zespołów[],2,0)&amp;VLOOKUP($B16,tab_nazwy_zespołów[],2,0),VLOOKUP($B16,tab_nazwy_zespołów[],2,0)&amp;VLOOKUP($A16,tab_nazwy_zespołów[],2,0))</f>
        <v>ŁODWIL</v>
      </c>
      <c r="E16" s="38">
        <v>2</v>
      </c>
      <c r="F16" s="38">
        <f>SUMIFS(tbl_główna_GRACZE[fgm],tbl_główna_GRACZE[zespół],tbl_ZESPOŁY_dane[[#This Row],[zespół]],tbl_główna_GRACZE['#mecz],tbl_ZESPOŁY_dane[[#This Row],['#mecz]])</f>
        <v>12</v>
      </c>
      <c r="G16" s="38">
        <f>SUMIFS(tbl_główna_GRACZE[fga],tbl_główna_GRACZE[zespół],tbl_ZESPOŁY_dane[[#This Row],[zespół]],tbl_główna_GRACZE['#mecz],tbl_ZESPOŁY_dane[[#This Row],['#mecz]])</f>
        <v>55</v>
      </c>
      <c r="H16" s="38">
        <f>SUMIFS(tbl_główna_GRACZE[3pm],tbl_główna_GRACZE[zespół],tbl_ZESPOŁY_dane[[#This Row],[zespół]],tbl_główna_GRACZE['#mecz],tbl_ZESPOŁY_dane[[#This Row],['#mecz]])</f>
        <v>2</v>
      </c>
      <c r="I16" s="38">
        <f>SUMIFS(tbl_główna_GRACZE[3pa],tbl_główna_GRACZE[zespół],tbl_ZESPOŁY_dane[[#This Row],[zespół]],tbl_główna_GRACZE['#mecz],tbl_ZESPOŁY_dane[[#This Row],['#mecz]])</f>
        <v>19</v>
      </c>
      <c r="J16" s="38">
        <f>SUMIFS(tbl_główna_GRACZE[ftm],tbl_główna_GRACZE[zespół],tbl_ZESPOŁY_dane[[#This Row],[zespół]],tbl_główna_GRACZE['#mecz],tbl_ZESPOŁY_dane[[#This Row],['#mecz]])</f>
        <v>1</v>
      </c>
      <c r="K16" s="38">
        <f>SUMIFS(tbl_główna_GRACZE[fta],tbl_główna_GRACZE[zespół],tbl_ZESPOŁY_dane[[#This Row],[zespół]],tbl_główna_GRACZE['#mecz],tbl_ZESPOŁY_dane[[#This Row],['#mecz]])</f>
        <v>4</v>
      </c>
      <c r="L16" s="38">
        <f>SUMIFS(tbl_główna_GRACZE[oreb],tbl_główna_GRACZE[zespół],tbl_ZESPOŁY_dane[[#This Row],[zespół]],tbl_główna_GRACZE['#mecz],tbl_ZESPOŁY_dane[[#This Row],['#mecz]])</f>
        <v>11</v>
      </c>
      <c r="M16" s="38">
        <f>SUMIFS(tbl_główna_GRACZE[dreb],tbl_główna_GRACZE[zespół],tbl_ZESPOŁY_dane[[#This Row],[zespół]],tbl_główna_GRACZE['#mecz],tbl_ZESPOŁY_dane[[#This Row],['#mecz]])</f>
        <v>25</v>
      </c>
      <c r="N16" s="38">
        <f>SUMIFS(tbl_główna_GRACZE[foul],tbl_główna_GRACZE[zespół],tbl_ZESPOŁY_dane[[#This Row],[zespół]],tbl_główna_GRACZE['#mecz],tbl_ZESPOŁY_dane[[#This Row],['#mecz]])</f>
        <v>17</v>
      </c>
      <c r="O16" s="38">
        <f>SUMIFS(tbl_główna_GRACZE[stl],tbl_główna_GRACZE[zespół],tbl_ZESPOŁY_dane[[#This Row],[zespół]],tbl_główna_GRACZE['#mecz],tbl_ZESPOŁY_dane[[#This Row],['#mecz]])</f>
        <v>13</v>
      </c>
      <c r="P16" s="38">
        <f>SUMIFS(tbl_główna_GRACZE[to],tbl_główna_GRACZE[zespół],tbl_ZESPOŁY_dane[[#This Row],[zespół]],tbl_główna_GRACZE['#mecz],tbl_ZESPOŁY_dane[[#This Row],['#mecz]])</f>
        <v>0</v>
      </c>
      <c r="Q16" s="38">
        <f>SUMIFS(tbl_główna_GRACZE[blk],tbl_główna_GRACZE[zespół],tbl_ZESPOŁY_dane[[#This Row],[zespół]],tbl_główna_GRACZE['#mecz],tbl_ZESPOŁY_dane[[#This Row],['#mecz]])</f>
        <v>5</v>
      </c>
      <c r="R16" s="38">
        <f>SUMIFS(tbl_główna_GRACZE[asst],tbl_główna_GRACZE[zespół],tbl_ZESPOŁY_dane[[#This Row],[zespół]],tbl_główna_GRACZE['#mecz],tbl_ZESPOŁY_dane[[#This Row],['#mecz]])</f>
        <v>6</v>
      </c>
      <c r="S16" s="38">
        <f>SUMIFS(tbl_główna_GRACZE[min],tbl_główna_GRACZE[zespół],tbl_ZESPOŁY_dane[[#This Row],[zespół]],tbl_główna_GRACZE['#mecz],tbl_ZESPOŁY_dane[[#This Row],['#mecz]])</f>
        <v>195</v>
      </c>
      <c r="T16" s="38">
        <f>SUMIFS(tbl_główna_GRACZE[pts],tbl_główna_GRACZE[zespół],tbl_ZESPOŁY_dane[[#This Row],[zespół]],tbl_główna_GRACZE['#mecz],tbl_ZESPOŁY_dane[[#This Row],['#mecz]])</f>
        <v>27</v>
      </c>
      <c r="U16" s="38">
        <f>tbl_ZESPOŁY_dane[[#This Row],[oreb]]+tbl_ZESPOŁY_dane[[#This Row],[dreb]]</f>
        <v>36</v>
      </c>
      <c r="V16" s="40">
        <f t="shared" si="9"/>
        <v>0.21818181818181817</v>
      </c>
      <c r="W16" s="40">
        <f t="shared" si="10"/>
        <v>0.10526315789473684</v>
      </c>
      <c r="X16" s="41">
        <f t="shared" si="11"/>
        <v>0.25</v>
      </c>
      <c r="Y16" s="41">
        <f t="shared" si="12"/>
        <v>0.23784355179704017</v>
      </c>
      <c r="Z16" s="41">
        <f t="shared" si="13"/>
        <v>0.23636363636363636</v>
      </c>
      <c r="AA16" s="38">
        <f>SUMIFS(tbl_główna_GRACZE[EVAL],tbl_główna_GRACZE[zespół],$A16,tbl_główna_GRACZE['#mecz],tbl_ZESPOŁY_dane[[#This Row],['#mecz]])</f>
        <v>41</v>
      </c>
      <c r="AB16" s="41">
        <f t="shared" si="14"/>
        <v>7.2727272727272724E-2</v>
      </c>
      <c r="AC16" s="41">
        <f t="shared" si="15"/>
        <v>0.34545454545454546</v>
      </c>
      <c r="AD16" s="42">
        <f>tbl_ZESPOŁY_dane[[#This Row],[fga]]+0.44*tbl_ZESPOŁY_dane[[#This Row],[fta]]-tbl_ZESPOŁY_dane[[#This Row],[oreb]]</f>
        <v>45.76</v>
      </c>
      <c r="AE16" s="42">
        <f>SUMIFS(tbl_ZESPOŁY_dane[Poss],tbl_ZESPOŁY_dane['#mecz],tbl_ZESPOŁY_dane[[#This Row],['#mecz]])/2</f>
        <v>52.06</v>
      </c>
      <c r="AF16" s="42">
        <f>tbl_ZESPOŁY_dane[[#This Row],[pts]]/tbl_ZESPOŁY_dane[[#This Row],[Poss]]*100</f>
        <v>59.003496503496514</v>
      </c>
      <c r="AG16" s="42">
        <f>SUMIFS(tbl_ZESPOŁY_dane[Orating],tbl_ZESPOŁY_dane['#mecz],tbl_ZESPOŁY_dane[[#This Row],['#mecz]],tbl_ZESPOŁY_dane[zespół],tbl_ZESPOŁY_dane[[#This Row],[przeciwnik]])</f>
        <v>85.675119945167921</v>
      </c>
      <c r="AH16" s="43">
        <f>tbl_ZESPOŁY_dane[[#This Row],[Orating]]-tbl_ZESPOŁY_dane[[#This Row],[Drating]]</f>
        <v>-26.671623441671407</v>
      </c>
      <c r="AI16" s="44">
        <f t="shared" si="16"/>
        <v>0.49090909090909091</v>
      </c>
      <c r="AJ16" s="40">
        <f>tbl_ZESPOŁY_dane[[#This Row],[asst]]/tbl_ZESPOŁY_dane[[#This Row],[fgm]]</f>
        <v>0.5</v>
      </c>
      <c r="AK16" s="42">
        <f>tbl_ZESPOŁY_dane[[#This Row],[asst]]/tbl_ZESPOŁY_dane[[#This Row],[Poss]]*100</f>
        <v>13.111888111888112</v>
      </c>
      <c r="AL16" s="45">
        <f>(tbl_ZESPOŁY_dane[[#This Row],[eFG%]]*0.7+tbl_ZESPOŁY_dane[[#This Row],[AST%]]*0.3)*100</f>
        <v>31.545454545454543</v>
      </c>
      <c r="AM16" s="40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0.28205128205128205</v>
      </c>
      <c r="AN16" s="40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0.83333333333333337</v>
      </c>
      <c r="AO16" s="40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0.52173913043478259</v>
      </c>
      <c r="AP16" s="38">
        <f>tbl_ZESPOŁY_dane[[#This Row],[reb total]]-SUMIFS(tbl_ZESPOŁY_dane[reb total],tbl_ZESPOŁY_dane[zespół],tbl_ZESPOŁY_dane[[#This Row],[przeciwnik]],tbl_ZESPOŁY_dane['#mecz],tbl_ZESPOŁY_dane[[#This Row],['#mecz]])</f>
        <v>3</v>
      </c>
      <c r="AQ16" s="40">
        <f>tbl_ZESPOŁY_dane[[#This Row],[oreb]]/(tbl_ZESPOŁY_dane[[#This Row],[fga]]-tbl_ZESPOŁY_dane[[#This Row],[fgm]])</f>
        <v>0.2558139534883721</v>
      </c>
      <c r="AR16" s="38">
        <f>(tbl_ZESPOŁY_dane[[#This Row],[oreb]]*1.1)+(tbl_ZESPOŁY_dane[[#This Row],[dreb]]*0.3)</f>
        <v>19.600000000000001</v>
      </c>
      <c r="AS16" s="38">
        <f t="shared" si="8"/>
        <v>28</v>
      </c>
      <c r="AT16" s="40">
        <f>(tbl_ZESPOŁY_dane[[#This Row],[fgm]]-tbl_ZESPOŁY_dane[[#This Row],[3pm]])/(tbl_ZESPOŁY_dane[[#This Row],[fga]]-tbl_ZESPOŁY_dane[[#This Row],[3pa]])</f>
        <v>0.27777777777777779</v>
      </c>
      <c r="AU16" s="38">
        <f>IF(tbl_ZESPOŁY_dane[[#This Row],[pts]]&gt;0,1,0)</f>
        <v>1</v>
      </c>
      <c r="AV16" s="38">
        <v>7</v>
      </c>
      <c r="AW16" s="38">
        <v>6</v>
      </c>
      <c r="AX16" s="38">
        <v>7</v>
      </c>
      <c r="AY16" s="38">
        <v>7</v>
      </c>
      <c r="AZ16" s="38">
        <f>SUMIFS(tbl_ZESPOŁY_dane[Q1],tbl_ZESPOŁY_dane[przeciwnik],tbl_ZESPOŁY_dane[[#This Row],[zespół]],tbl_ZESPOŁY_dane[GW],tbl_ZESPOŁY_dane[[#This Row],[GW]])</f>
        <v>8</v>
      </c>
      <c r="BA16" s="38">
        <f>SUMIFS(tbl_ZESPOŁY_dane[Q2],tbl_ZESPOŁY_dane[przeciwnik],tbl_ZESPOŁY_dane[[#This Row],[zespół]],tbl_ZESPOŁY_dane[GW],tbl_ZESPOŁY_dane[[#This Row],[GW]])</f>
        <v>13</v>
      </c>
      <c r="BB16" s="38">
        <f>SUMIFS(tbl_ZESPOŁY_dane[Q3],tbl_ZESPOŁY_dane[przeciwnik],tbl_ZESPOŁY_dane[[#This Row],[zespół]],tbl_ZESPOŁY_dane[GW],tbl_ZESPOŁY_dane[[#This Row],[GW]])</f>
        <v>8</v>
      </c>
      <c r="BC16" s="38">
        <f>SUMIFS(tbl_ZESPOŁY_dane[Q4],tbl_ZESPOŁY_dane[przeciwnik],tbl_ZESPOŁY_dane[[#This Row],[zespół]],tbl_ZESPOŁY_dane[GW],tbl_ZESPOŁY_dane[[#This Row],[GW]])</f>
        <v>21</v>
      </c>
      <c r="BD16" s="38">
        <f>tbl_ZESPOŁY_dane[[#This Row],[O1]]+tbl_ZESPOŁY_dane[[#This Row],[O2]]+tbl_ZESPOŁY_dane[[#This Row],[O3]]+tbl_ZESPOŁY_dane[[#This Row],[O4]]</f>
        <v>50</v>
      </c>
    </row>
    <row r="17" spans="1:56" x14ac:dyDescent="0.35">
      <c r="A17" s="32" t="s">
        <v>46</v>
      </c>
      <c r="B17" t="s">
        <v>52</v>
      </c>
      <c r="C17" t="s">
        <v>57</v>
      </c>
      <c r="D17" s="22" t="str">
        <f>IF(C17="H",VLOOKUP($A17,tab_nazwy_zespołów[],2,0)&amp;VLOOKUP($B17,tab_nazwy_zespołów[],2,0),VLOOKUP($B17,tab_nazwy_zespołów[],2,0)&amp;VLOOKUP($A17,tab_nazwy_zespołów[],2,0))</f>
        <v>BYPWIL</v>
      </c>
      <c r="E17">
        <v>3</v>
      </c>
      <c r="F17">
        <f>SUMIFS(tbl_główna_GRACZE[fgm],tbl_główna_GRACZE[zespół],tbl_ZESPOŁY_dane[[#This Row],[zespół]],tbl_główna_GRACZE['#mecz],tbl_ZESPOŁY_dane[[#This Row],['#mecz]])</f>
        <v>15</v>
      </c>
      <c r="G17">
        <f>SUMIFS(tbl_główna_GRACZE[fga],tbl_główna_GRACZE[zespół],tbl_ZESPOŁY_dane[[#This Row],[zespół]],tbl_główna_GRACZE['#mecz],tbl_ZESPOŁY_dane[[#This Row],['#mecz]])</f>
        <v>53</v>
      </c>
      <c r="H17">
        <f>SUMIFS(tbl_główna_GRACZE[3pm],tbl_główna_GRACZE[zespół],tbl_ZESPOŁY_dane[[#This Row],[zespół]],tbl_główna_GRACZE['#mecz],tbl_ZESPOŁY_dane[[#This Row],['#mecz]])</f>
        <v>4</v>
      </c>
      <c r="I17">
        <f>SUMIFS(tbl_główna_GRACZE[3pa],tbl_główna_GRACZE[zespół],tbl_ZESPOŁY_dane[[#This Row],[zespół]],tbl_główna_GRACZE['#mecz],tbl_ZESPOŁY_dane[[#This Row],['#mecz]])</f>
        <v>15</v>
      </c>
      <c r="J17">
        <f>SUMIFS(tbl_główna_GRACZE[ftm],tbl_główna_GRACZE[zespół],tbl_ZESPOŁY_dane[[#This Row],[zespół]],tbl_główna_GRACZE['#mecz],tbl_ZESPOŁY_dane[[#This Row],['#mecz]])</f>
        <v>8</v>
      </c>
      <c r="K17">
        <f>SUMIFS(tbl_główna_GRACZE[fta],tbl_główna_GRACZE[zespół],tbl_ZESPOŁY_dane[[#This Row],[zespół]],tbl_główna_GRACZE['#mecz],tbl_ZESPOŁY_dane[[#This Row],['#mecz]])</f>
        <v>12</v>
      </c>
      <c r="L17">
        <f>SUMIFS(tbl_główna_GRACZE[oreb],tbl_główna_GRACZE[zespół],tbl_ZESPOŁY_dane[[#This Row],[zespół]],tbl_główna_GRACZE['#mecz],tbl_ZESPOŁY_dane[[#This Row],['#mecz]])</f>
        <v>6</v>
      </c>
      <c r="M17">
        <f>SUMIFS(tbl_główna_GRACZE[dreb],tbl_główna_GRACZE[zespół],tbl_ZESPOŁY_dane[[#This Row],[zespół]],tbl_główna_GRACZE['#mecz],tbl_ZESPOŁY_dane[[#This Row],['#mecz]])</f>
        <v>29</v>
      </c>
      <c r="N17">
        <f>SUMIFS(tbl_główna_GRACZE[foul],tbl_główna_GRACZE[zespół],tbl_ZESPOŁY_dane[[#This Row],[zespół]],tbl_główna_GRACZE['#mecz],tbl_ZESPOŁY_dane[[#This Row],['#mecz]])</f>
        <v>7</v>
      </c>
      <c r="O17">
        <f>SUMIFS(tbl_główna_GRACZE[stl],tbl_główna_GRACZE[zespół],tbl_ZESPOŁY_dane[[#This Row],[zespół]],tbl_główna_GRACZE['#mecz],tbl_ZESPOŁY_dane[[#This Row],['#mecz]])</f>
        <v>12</v>
      </c>
      <c r="P17">
        <f>SUMIFS(tbl_główna_GRACZE[to],tbl_główna_GRACZE[zespół],tbl_ZESPOŁY_dane[[#This Row],[zespół]],tbl_główna_GRACZE['#mecz],tbl_ZESPOŁY_dane[[#This Row],['#mecz]])</f>
        <v>0</v>
      </c>
      <c r="Q17">
        <f>SUMIFS(tbl_główna_GRACZE[blk],tbl_główna_GRACZE[zespół],tbl_ZESPOŁY_dane[[#This Row],[zespół]],tbl_główna_GRACZE['#mecz],tbl_ZESPOŁY_dane[[#This Row],['#mecz]])</f>
        <v>7</v>
      </c>
      <c r="R17">
        <f>SUMIFS(tbl_główna_GRACZE[asst],tbl_główna_GRACZE[zespół],tbl_ZESPOŁY_dane[[#This Row],[zespół]],tbl_główna_GRACZE['#mecz],tbl_ZESPOŁY_dane[[#This Row],['#mecz]])</f>
        <v>9</v>
      </c>
      <c r="S17">
        <f>SUMIFS(tbl_główna_GRACZE[min],tbl_główna_GRACZE[zespół],tbl_ZESPOŁY_dane[[#This Row],[zespół]],tbl_główna_GRACZE['#mecz],tbl_ZESPOŁY_dane[[#This Row],['#mecz]])</f>
        <v>146</v>
      </c>
      <c r="T17">
        <f>SUMIFS(tbl_główna_GRACZE[pts],tbl_główna_GRACZE[zespół],tbl_ZESPOŁY_dane[[#This Row],[zespół]],tbl_główna_GRACZE['#mecz],tbl_ZESPOŁY_dane[[#This Row],['#mecz]])</f>
        <v>42</v>
      </c>
      <c r="U17">
        <f>tbl_ZESPOŁY_dane[[#This Row],[oreb]]+tbl_ZESPOŁY_dane[[#This Row],[dreb]]</f>
        <v>35</v>
      </c>
      <c r="V17" s="16">
        <f t="shared" ref="V17:V22" si="17">F17/G17</f>
        <v>0.28301886792452829</v>
      </c>
      <c r="W17" s="16">
        <f t="shared" ref="W17:W22" si="18">H17/I17</f>
        <v>0.26666666666666666</v>
      </c>
      <c r="X17" s="16">
        <f t="shared" ref="X17:X22" si="19">IFERROR(J17/K17,"-")</f>
        <v>0.66666666666666663</v>
      </c>
      <c r="Y17" s="16">
        <f t="shared" ref="Y17:Y22" si="20">T17/(2*(G17+0.44*K17))</f>
        <v>0.36032944406314343</v>
      </c>
      <c r="Z17" s="16">
        <f t="shared" ref="Z17:Z22" si="21">(F17+0.5*H17)/G17</f>
        <v>0.32075471698113206</v>
      </c>
      <c r="AA17">
        <f>SUMIFS(tbl_główna_GRACZE[EVAL],tbl_główna_GRACZE[zespół],$A17,tbl_główna_GRACZE['#mecz],tbl_ZESPOŁY_dane[[#This Row],['#mecz]])</f>
        <v>63</v>
      </c>
      <c r="AB17" s="16">
        <f t="shared" ref="AB17:AB22" si="22">K17/G17</f>
        <v>0.22641509433962265</v>
      </c>
      <c r="AC17" s="16">
        <f t="shared" ref="AC17:AC22" si="23">I17/G17</f>
        <v>0.28301886792452829</v>
      </c>
      <c r="AD17" s="31">
        <f>tbl_ZESPOŁY_dane[[#This Row],[fga]]+0.44*tbl_ZESPOŁY_dane[[#This Row],[fta]]-tbl_ZESPOŁY_dane[[#This Row],[oreb]]</f>
        <v>52.28</v>
      </c>
      <c r="AE17" s="31">
        <f>SUMIFS(tbl_ZESPOŁY_dane[Poss],tbl_ZESPOŁY_dane['#mecz],tbl_ZESPOŁY_dane[[#This Row],['#mecz]])/2</f>
        <v>57.4</v>
      </c>
      <c r="AF17" s="31">
        <f>tbl_ZESPOŁY_dane[[#This Row],[pts]]/tbl_ZESPOŁY_dane[[#This Row],[Poss]]*100</f>
        <v>80.336648814078032</v>
      </c>
      <c r="AG17" s="31">
        <f>SUMIFS(tbl_ZESPOŁY_dane[Orating],tbl_ZESPOŁY_dane['#mecz],tbl_ZESPOŁY_dane[[#This Row],['#mecz]],tbl_ZESPOŁY_dane[zespół],tbl_ZESPOŁY_dane[[#This Row],[przeciwnik]])</f>
        <v>81.573896353167001</v>
      </c>
      <c r="AH17" s="6">
        <f>tbl_ZESPOŁY_dane[[#This Row],[Orating]]-tbl_ZESPOŁY_dane[[#This Row],[Drating]]</f>
        <v>-1.237247539088969</v>
      </c>
      <c r="AI17" s="5">
        <f t="shared" ref="AI17:AI22" si="24">T17/G17</f>
        <v>0.79245283018867929</v>
      </c>
      <c r="AJ17" s="16">
        <f>tbl_ZESPOŁY_dane[[#This Row],[asst]]/tbl_ZESPOŁY_dane[[#This Row],[fgm]]</f>
        <v>0.6</v>
      </c>
      <c r="AK17" s="31">
        <f>tbl_ZESPOŁY_dane[[#This Row],[asst]]/tbl_ZESPOŁY_dane[[#This Row],[Poss]]*100</f>
        <v>17.214996174445293</v>
      </c>
      <c r="AL17" s="23">
        <f>(tbl_ZESPOŁY_dane[[#This Row],[eFG%]]*0.7+tbl_ZESPOŁY_dane[[#This Row],[AST%]]*0.3)*100</f>
        <v>40.452830188679243</v>
      </c>
      <c r="AM17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0.1875</v>
      </c>
      <c r="AN17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0.59183673469387754</v>
      </c>
      <c r="AO17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0.43209876543209874</v>
      </c>
      <c r="AP17">
        <f>tbl_ZESPOŁY_dane[[#This Row],[reb total]]-SUMIFS(tbl_ZESPOŁY_dane[reb total],tbl_ZESPOŁY_dane[zespół],tbl_ZESPOŁY_dane[[#This Row],[przeciwnik]],tbl_ZESPOŁY_dane['#mecz],tbl_ZESPOŁY_dane[[#This Row],['#mecz]])</f>
        <v>-11</v>
      </c>
      <c r="AQ17" s="16">
        <f>tbl_ZESPOŁY_dane[[#This Row],[oreb]]/(tbl_ZESPOŁY_dane[[#This Row],[fga]]-tbl_ZESPOŁY_dane[[#This Row],[fgm]])</f>
        <v>0.15789473684210525</v>
      </c>
      <c r="AR17">
        <f>(tbl_ZESPOŁY_dane[[#This Row],[oreb]]*1.1)+(tbl_ZESPOŁY_dane[[#This Row],[dreb]]*0.3)</f>
        <v>15.3</v>
      </c>
      <c r="AS17">
        <f t="shared" ref="AS17:AS22" si="25">T17+0.4*F17-0.7*G17-0.4*(K17-J17)+0.7*L17+0.3*M17+O17+0.7*R17+0.7*Q17</f>
        <v>45.4</v>
      </c>
      <c r="AT17" s="16">
        <f>(tbl_ZESPOŁY_dane[[#This Row],[fgm]]-tbl_ZESPOŁY_dane[[#This Row],[3pm]])/(tbl_ZESPOŁY_dane[[#This Row],[fga]]-tbl_ZESPOŁY_dane[[#This Row],[3pa]])</f>
        <v>0.28947368421052633</v>
      </c>
      <c r="AU17">
        <f>IF(tbl_ZESPOŁY_dane[[#This Row],[pts]]&gt;0,1,0)</f>
        <v>1</v>
      </c>
      <c r="AV17">
        <v>11</v>
      </c>
      <c r="AW17">
        <v>6</v>
      </c>
      <c r="AX17">
        <v>15</v>
      </c>
      <c r="AY17">
        <v>10</v>
      </c>
      <c r="AZ17">
        <f>SUMIFS(tbl_ZESPOŁY_dane[Q1],tbl_ZESPOŁY_dane[przeciwnik],tbl_ZESPOŁY_dane[[#This Row],[zespół]],tbl_ZESPOŁY_dane[GW],tbl_ZESPOŁY_dane[[#This Row],[GW]])</f>
        <v>16</v>
      </c>
      <c r="BA17">
        <f>SUMIFS(tbl_ZESPOŁY_dane[Q2],tbl_ZESPOŁY_dane[przeciwnik],tbl_ZESPOŁY_dane[[#This Row],[zespół]],tbl_ZESPOŁY_dane[GW],tbl_ZESPOŁY_dane[[#This Row],[GW]])</f>
        <v>8</v>
      </c>
      <c r="BB17">
        <f>SUMIFS(tbl_ZESPOŁY_dane[Q3],tbl_ZESPOŁY_dane[przeciwnik],tbl_ZESPOŁY_dane[[#This Row],[zespół]],tbl_ZESPOŁY_dane[GW],tbl_ZESPOŁY_dane[[#This Row],[GW]])</f>
        <v>9</v>
      </c>
      <c r="BC17">
        <f>SUMIFS(tbl_ZESPOŁY_dane[Q4],tbl_ZESPOŁY_dane[przeciwnik],tbl_ZESPOŁY_dane[[#This Row],[zespół]],tbl_ZESPOŁY_dane[GW],tbl_ZESPOŁY_dane[[#This Row],[GW]])</f>
        <v>18</v>
      </c>
      <c r="BD17">
        <f>tbl_ZESPOŁY_dane[[#This Row],[O1]]+tbl_ZESPOŁY_dane[[#This Row],[O2]]+tbl_ZESPOŁY_dane[[#This Row],[O3]]+tbl_ZESPOŁY_dane[[#This Row],[O4]]</f>
        <v>51</v>
      </c>
    </row>
    <row r="18" spans="1:56" x14ac:dyDescent="0.35">
      <c r="A18" s="32" t="s">
        <v>52</v>
      </c>
      <c r="B18" t="s">
        <v>46</v>
      </c>
      <c r="C18" t="s">
        <v>58</v>
      </c>
      <c r="D18" s="15" t="str">
        <f>IF(C18="H",VLOOKUP($A18,tab_nazwy_zespołów[],2,0)&amp;VLOOKUP($B18,tab_nazwy_zespołów[],2,0),VLOOKUP($B18,tab_nazwy_zespołów[],2,0)&amp;VLOOKUP($A18,tab_nazwy_zespołów[],2,0))</f>
        <v>BYPWIL</v>
      </c>
      <c r="E18">
        <v>3</v>
      </c>
      <c r="F18">
        <f>SUMIFS(tbl_główna_GRACZE[fgm],tbl_główna_GRACZE[zespół],tbl_ZESPOŁY_dane[[#This Row],[zespół]],tbl_główna_GRACZE['#mecz],tbl_ZESPOŁY_dane[[#This Row],['#mecz]])</f>
        <v>22</v>
      </c>
      <c r="G18">
        <f>SUMIFS(tbl_główna_GRACZE[fga],tbl_główna_GRACZE[zespół],tbl_ZESPOŁY_dane[[#This Row],[zespół]],tbl_główna_GRACZE['#mecz],tbl_ZESPOŁY_dane[[#This Row],['#mecz]])</f>
        <v>79</v>
      </c>
      <c r="H18">
        <f>SUMIFS(tbl_główna_GRACZE[3pm],tbl_główna_GRACZE[zespół],tbl_ZESPOŁY_dane[[#This Row],[zespół]],tbl_główna_GRACZE['#mecz],tbl_ZESPOŁY_dane[[#This Row],['#mecz]])</f>
        <v>5</v>
      </c>
      <c r="I18">
        <f>SUMIFS(tbl_główna_GRACZE[3pa],tbl_główna_GRACZE[zespół],tbl_ZESPOŁY_dane[[#This Row],[zespół]],tbl_główna_GRACZE['#mecz],tbl_ZESPOŁY_dane[[#This Row],['#mecz]])</f>
        <v>13</v>
      </c>
      <c r="J18">
        <f>SUMIFS(tbl_główna_GRACZE[ftm],tbl_główna_GRACZE[zespół],tbl_ZESPOŁY_dane[[#This Row],[zespół]],tbl_główna_GRACZE['#mecz],tbl_ZESPOŁY_dane[[#This Row],['#mecz]])</f>
        <v>2</v>
      </c>
      <c r="K18">
        <f>SUMIFS(tbl_główna_GRACZE[fta],tbl_główna_GRACZE[zespół],tbl_ZESPOŁY_dane[[#This Row],[zespół]],tbl_główna_GRACZE['#mecz],tbl_ZESPOŁY_dane[[#This Row],['#mecz]])</f>
        <v>8</v>
      </c>
      <c r="L18">
        <f>SUMIFS(tbl_główna_GRACZE[oreb],tbl_główna_GRACZE[zespół],tbl_ZESPOŁY_dane[[#This Row],[zespół]],tbl_główna_GRACZE['#mecz],tbl_ZESPOŁY_dane[[#This Row],['#mecz]])</f>
        <v>20</v>
      </c>
      <c r="M18">
        <f>SUMIFS(tbl_główna_GRACZE[dreb],tbl_główna_GRACZE[zespół],tbl_ZESPOŁY_dane[[#This Row],[zespół]],tbl_główna_GRACZE['#mecz],tbl_ZESPOŁY_dane[[#This Row],['#mecz]])</f>
        <v>26</v>
      </c>
      <c r="N18">
        <f>SUMIFS(tbl_główna_GRACZE[foul],tbl_główna_GRACZE[zespół],tbl_ZESPOŁY_dane[[#This Row],[zespół]],tbl_główna_GRACZE['#mecz],tbl_ZESPOŁY_dane[[#This Row],['#mecz]])</f>
        <v>12</v>
      </c>
      <c r="O18">
        <f>SUMIFS(tbl_główna_GRACZE[stl],tbl_główna_GRACZE[zespół],tbl_ZESPOŁY_dane[[#This Row],[zespół]],tbl_główna_GRACZE['#mecz],tbl_ZESPOŁY_dane[[#This Row],['#mecz]])</f>
        <v>10</v>
      </c>
      <c r="P18">
        <f>SUMIFS(tbl_główna_GRACZE[to],tbl_główna_GRACZE[zespół],tbl_ZESPOŁY_dane[[#This Row],[zespół]],tbl_główna_GRACZE['#mecz],tbl_ZESPOŁY_dane[[#This Row],['#mecz]])</f>
        <v>0</v>
      </c>
      <c r="Q18">
        <f>SUMIFS(tbl_główna_GRACZE[blk],tbl_główna_GRACZE[zespół],tbl_ZESPOŁY_dane[[#This Row],[zespół]],tbl_główna_GRACZE['#mecz],tbl_ZESPOŁY_dane[[#This Row],['#mecz]])</f>
        <v>1</v>
      </c>
      <c r="R18">
        <f>SUMIFS(tbl_główna_GRACZE[asst],tbl_główna_GRACZE[zespół],tbl_ZESPOŁY_dane[[#This Row],[zespół]],tbl_główna_GRACZE['#mecz],tbl_ZESPOŁY_dane[[#This Row],['#mecz]])</f>
        <v>8</v>
      </c>
      <c r="S18">
        <f>SUMIFS(tbl_główna_GRACZE[min],tbl_główna_GRACZE[zespół],tbl_ZESPOŁY_dane[[#This Row],[zespół]],tbl_główna_GRACZE['#mecz],tbl_ZESPOŁY_dane[[#This Row],['#mecz]])</f>
        <v>147</v>
      </c>
      <c r="T18">
        <f>SUMIFS(tbl_główna_GRACZE[pts],tbl_główna_GRACZE[zespół],tbl_ZESPOŁY_dane[[#This Row],[zespół]],tbl_główna_GRACZE['#mecz],tbl_ZESPOŁY_dane[[#This Row],['#mecz]])</f>
        <v>51</v>
      </c>
      <c r="U18">
        <f>tbl_ZESPOŁY_dane[[#This Row],[oreb]]+tbl_ZESPOŁY_dane[[#This Row],[dreb]]</f>
        <v>46</v>
      </c>
      <c r="V18" s="16">
        <f t="shared" si="17"/>
        <v>0.27848101265822783</v>
      </c>
      <c r="W18" s="16">
        <f t="shared" si="18"/>
        <v>0.38461538461538464</v>
      </c>
      <c r="X18" s="17">
        <f t="shared" si="19"/>
        <v>0.25</v>
      </c>
      <c r="Y18" s="17">
        <f t="shared" si="20"/>
        <v>0.30901599612215225</v>
      </c>
      <c r="Z18" s="17">
        <f t="shared" si="21"/>
        <v>0.310126582278481</v>
      </c>
      <c r="AA18">
        <f>SUMIFS(tbl_główna_GRACZE[EVAL],tbl_główna_GRACZE[zespół],$A18,tbl_główna_GRACZE['#mecz],tbl_ZESPOŁY_dane[[#This Row],['#mecz]])</f>
        <v>53</v>
      </c>
      <c r="AB18" s="17">
        <f t="shared" si="22"/>
        <v>0.10126582278481013</v>
      </c>
      <c r="AC18" s="17">
        <f t="shared" si="23"/>
        <v>0.16455696202531644</v>
      </c>
      <c r="AD18" s="31">
        <f>tbl_ZESPOŁY_dane[[#This Row],[fga]]+0.44*tbl_ZESPOŁY_dane[[#This Row],[fta]]-tbl_ZESPOŁY_dane[[#This Row],[oreb]]</f>
        <v>62.519999999999996</v>
      </c>
      <c r="AE18" s="31">
        <f>SUMIFS(tbl_ZESPOŁY_dane[Poss],tbl_ZESPOŁY_dane['#mecz],tbl_ZESPOŁY_dane[[#This Row],['#mecz]])/2</f>
        <v>57.4</v>
      </c>
      <c r="AF18" s="31">
        <f>tbl_ZESPOŁY_dane[[#This Row],[pts]]/tbl_ZESPOŁY_dane[[#This Row],[Poss]]*100</f>
        <v>81.573896353167001</v>
      </c>
      <c r="AG18" s="31">
        <f>SUMIFS(tbl_ZESPOŁY_dane[Orating],tbl_ZESPOŁY_dane['#mecz],tbl_ZESPOŁY_dane[[#This Row],['#mecz]],tbl_ZESPOŁY_dane[zespół],tbl_ZESPOŁY_dane[[#This Row],[przeciwnik]])</f>
        <v>80.336648814078032</v>
      </c>
      <c r="AH18" s="6">
        <f>tbl_ZESPOŁY_dane[[#This Row],[Orating]]-tbl_ZESPOŁY_dane[[#This Row],[Drating]]</f>
        <v>1.237247539088969</v>
      </c>
      <c r="AI18" s="18">
        <f t="shared" si="24"/>
        <v>0.64556962025316456</v>
      </c>
      <c r="AJ18" s="16">
        <f>tbl_ZESPOŁY_dane[[#This Row],[asst]]/tbl_ZESPOŁY_dane[[#This Row],[fgm]]</f>
        <v>0.36363636363636365</v>
      </c>
      <c r="AK18" s="31">
        <f>tbl_ZESPOŁY_dane[[#This Row],[asst]]/tbl_ZESPOŁY_dane[[#This Row],[Poss]]*100</f>
        <v>12.795905310300704</v>
      </c>
      <c r="AL18" s="19">
        <f>(tbl_ZESPOŁY_dane[[#This Row],[eFG%]]*0.7+tbl_ZESPOŁY_dane[[#This Row],[AST%]]*0.3)*100</f>
        <v>32.617951668584574</v>
      </c>
      <c r="AM18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0.40816326530612246</v>
      </c>
      <c r="AN18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0.8125</v>
      </c>
      <c r="AO18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0.5679012345679012</v>
      </c>
      <c r="AP18">
        <f>tbl_ZESPOŁY_dane[[#This Row],[reb total]]-SUMIFS(tbl_ZESPOŁY_dane[reb total],tbl_ZESPOŁY_dane[zespół],tbl_ZESPOŁY_dane[[#This Row],[przeciwnik]],tbl_ZESPOŁY_dane['#mecz],tbl_ZESPOŁY_dane[[#This Row],['#mecz]])</f>
        <v>11</v>
      </c>
      <c r="AQ18" s="16">
        <f>tbl_ZESPOŁY_dane[[#This Row],[oreb]]/(tbl_ZESPOŁY_dane[[#This Row],[fga]]-tbl_ZESPOŁY_dane[[#This Row],[fgm]])</f>
        <v>0.35087719298245612</v>
      </c>
      <c r="AR18">
        <f>(tbl_ZESPOŁY_dane[[#This Row],[oreb]]*1.1)+(tbl_ZESPOŁY_dane[[#This Row],[dreb]]*0.3)</f>
        <v>29.8</v>
      </c>
      <c r="AS18">
        <f t="shared" si="25"/>
        <v>40.20000000000001</v>
      </c>
      <c r="AT18" s="16">
        <f>(tbl_ZESPOŁY_dane[[#This Row],[fgm]]-tbl_ZESPOŁY_dane[[#This Row],[3pm]])/(tbl_ZESPOŁY_dane[[#This Row],[fga]]-tbl_ZESPOŁY_dane[[#This Row],[3pa]])</f>
        <v>0.25757575757575757</v>
      </c>
      <c r="AU18">
        <f>IF(tbl_ZESPOŁY_dane[[#This Row],[pts]]&gt;0,1,0)</f>
        <v>1</v>
      </c>
      <c r="AV18">
        <v>16</v>
      </c>
      <c r="AW18">
        <v>8</v>
      </c>
      <c r="AX18">
        <v>9</v>
      </c>
      <c r="AY18">
        <v>18</v>
      </c>
      <c r="AZ18">
        <f>SUMIFS(tbl_ZESPOŁY_dane[Q1],tbl_ZESPOŁY_dane[przeciwnik],tbl_ZESPOŁY_dane[[#This Row],[zespół]],tbl_ZESPOŁY_dane[GW],tbl_ZESPOŁY_dane[[#This Row],[GW]])</f>
        <v>11</v>
      </c>
      <c r="BA18">
        <f>SUMIFS(tbl_ZESPOŁY_dane[Q2],tbl_ZESPOŁY_dane[przeciwnik],tbl_ZESPOŁY_dane[[#This Row],[zespół]],tbl_ZESPOŁY_dane[GW],tbl_ZESPOŁY_dane[[#This Row],[GW]])</f>
        <v>6</v>
      </c>
      <c r="BB18">
        <f>SUMIFS(tbl_ZESPOŁY_dane[Q3],tbl_ZESPOŁY_dane[przeciwnik],tbl_ZESPOŁY_dane[[#This Row],[zespół]],tbl_ZESPOŁY_dane[GW],tbl_ZESPOŁY_dane[[#This Row],[GW]])</f>
        <v>15</v>
      </c>
      <c r="BC18">
        <f>SUMIFS(tbl_ZESPOŁY_dane[Q4],tbl_ZESPOŁY_dane[przeciwnik],tbl_ZESPOŁY_dane[[#This Row],[zespół]],tbl_ZESPOŁY_dane[GW],tbl_ZESPOŁY_dane[[#This Row],[GW]])</f>
        <v>10</v>
      </c>
      <c r="BD18">
        <f>tbl_ZESPOŁY_dane[[#This Row],[O1]]+tbl_ZESPOŁY_dane[[#This Row],[O2]]+tbl_ZESPOŁY_dane[[#This Row],[O3]]+tbl_ZESPOŁY_dane[[#This Row],[O4]]</f>
        <v>42</v>
      </c>
    </row>
    <row r="19" spans="1:56" x14ac:dyDescent="0.35">
      <c r="A19" s="32" t="s">
        <v>48</v>
      </c>
      <c r="B19" t="s">
        <v>19</v>
      </c>
      <c r="C19" t="s">
        <v>57</v>
      </c>
      <c r="D19" s="15" t="str">
        <f>IF(C19="H",VLOOKUP($A19,tab_nazwy_zespołów[],2,0)&amp;VLOOKUP($B19,tab_nazwy_zespołów[],2,0),VLOOKUP($B19,tab_nazwy_zespołów[],2,0)&amp;VLOOKUP($A19,tab_nazwy_zespołów[],2,0))</f>
        <v>ŁODSTA</v>
      </c>
      <c r="E19">
        <v>3</v>
      </c>
      <c r="F19">
        <f>SUMIFS(tbl_główna_GRACZE[fgm],tbl_główna_GRACZE[zespół],tbl_ZESPOŁY_dane[[#This Row],[zespół]],tbl_główna_GRACZE['#mecz],tbl_ZESPOŁY_dane[[#This Row],['#mecz]])</f>
        <v>21</v>
      </c>
      <c r="G19">
        <f>SUMIFS(tbl_główna_GRACZE[fga],tbl_główna_GRACZE[zespół],tbl_ZESPOŁY_dane[[#This Row],[zespół]],tbl_główna_GRACZE['#mecz],tbl_ZESPOŁY_dane[[#This Row],['#mecz]])</f>
        <v>69</v>
      </c>
      <c r="H19">
        <f>SUMIFS(tbl_główna_GRACZE[3pm],tbl_główna_GRACZE[zespół],tbl_ZESPOŁY_dane[[#This Row],[zespół]],tbl_główna_GRACZE['#mecz],tbl_ZESPOŁY_dane[[#This Row],['#mecz]])</f>
        <v>4</v>
      </c>
      <c r="I19">
        <f>SUMIFS(tbl_główna_GRACZE[3pa],tbl_główna_GRACZE[zespół],tbl_ZESPOŁY_dane[[#This Row],[zespół]],tbl_główna_GRACZE['#mecz],tbl_ZESPOŁY_dane[[#This Row],['#mecz]])</f>
        <v>24</v>
      </c>
      <c r="J19">
        <f>SUMIFS(tbl_główna_GRACZE[ftm],tbl_główna_GRACZE[zespół],tbl_ZESPOŁY_dane[[#This Row],[zespół]],tbl_główna_GRACZE['#mecz],tbl_ZESPOŁY_dane[[#This Row],['#mecz]])</f>
        <v>12</v>
      </c>
      <c r="K19">
        <f>SUMIFS(tbl_główna_GRACZE[fta],tbl_główna_GRACZE[zespół],tbl_ZESPOŁY_dane[[#This Row],[zespół]],tbl_główna_GRACZE['#mecz],tbl_ZESPOŁY_dane[[#This Row],['#mecz]])</f>
        <v>19</v>
      </c>
      <c r="L19">
        <f>SUMIFS(tbl_główna_GRACZE[oreb],tbl_główna_GRACZE[zespół],tbl_ZESPOŁY_dane[[#This Row],[zespół]],tbl_główna_GRACZE['#mecz],tbl_ZESPOŁY_dane[[#This Row],['#mecz]])</f>
        <v>10</v>
      </c>
      <c r="M19">
        <f>SUMIFS(tbl_główna_GRACZE[dreb],tbl_główna_GRACZE[zespół],tbl_ZESPOŁY_dane[[#This Row],[zespół]],tbl_główna_GRACZE['#mecz],tbl_ZESPOŁY_dane[[#This Row],['#mecz]])</f>
        <v>21</v>
      </c>
      <c r="N19">
        <f>SUMIFS(tbl_główna_GRACZE[foul],tbl_główna_GRACZE[zespół],tbl_ZESPOŁY_dane[[#This Row],[zespół]],tbl_główna_GRACZE['#mecz],tbl_ZESPOŁY_dane[[#This Row],['#mecz]])</f>
        <v>5</v>
      </c>
      <c r="O19">
        <f>SUMIFS(tbl_główna_GRACZE[stl],tbl_główna_GRACZE[zespół],tbl_ZESPOŁY_dane[[#This Row],[zespół]],tbl_główna_GRACZE['#mecz],tbl_ZESPOŁY_dane[[#This Row],['#mecz]])</f>
        <v>19</v>
      </c>
      <c r="P19">
        <f>SUMIFS(tbl_główna_GRACZE[to],tbl_główna_GRACZE[zespół],tbl_ZESPOŁY_dane[[#This Row],[zespół]],tbl_główna_GRACZE['#mecz],tbl_ZESPOŁY_dane[[#This Row],['#mecz]])</f>
        <v>0</v>
      </c>
      <c r="Q19">
        <f>SUMIFS(tbl_główna_GRACZE[blk],tbl_główna_GRACZE[zespół],tbl_ZESPOŁY_dane[[#This Row],[zespół]],tbl_główna_GRACZE['#mecz],tbl_ZESPOŁY_dane[[#This Row],['#mecz]])</f>
        <v>4</v>
      </c>
      <c r="R19">
        <f>SUMIFS(tbl_główna_GRACZE[asst],tbl_główna_GRACZE[zespół],tbl_ZESPOŁY_dane[[#This Row],[zespół]],tbl_główna_GRACZE['#mecz],tbl_ZESPOŁY_dane[[#This Row],['#mecz]])</f>
        <v>11</v>
      </c>
      <c r="S19">
        <f>SUMIFS(tbl_główna_GRACZE[min],tbl_główna_GRACZE[zespół],tbl_ZESPOŁY_dane[[#This Row],[zespół]],tbl_główna_GRACZE['#mecz],tbl_ZESPOŁY_dane[[#This Row],['#mecz]])</f>
        <v>191</v>
      </c>
      <c r="T19">
        <f>SUMIFS(tbl_główna_GRACZE[pts],tbl_główna_GRACZE[zespół],tbl_ZESPOŁY_dane[[#This Row],[zespół]],tbl_główna_GRACZE['#mecz],tbl_ZESPOŁY_dane[[#This Row],['#mecz]])</f>
        <v>58</v>
      </c>
      <c r="U19">
        <f>tbl_ZESPOŁY_dane[[#This Row],[oreb]]+tbl_ZESPOŁY_dane[[#This Row],[dreb]]</f>
        <v>31</v>
      </c>
      <c r="V19" s="16">
        <f t="shared" si="17"/>
        <v>0.30434782608695654</v>
      </c>
      <c r="W19" s="16">
        <f t="shared" si="18"/>
        <v>0.16666666666666666</v>
      </c>
      <c r="X19" s="17">
        <f t="shared" si="19"/>
        <v>0.63157894736842102</v>
      </c>
      <c r="Y19" s="17">
        <f t="shared" si="20"/>
        <v>0.37487073422957601</v>
      </c>
      <c r="Z19" s="17">
        <f t="shared" si="21"/>
        <v>0.33333333333333331</v>
      </c>
      <c r="AA19">
        <f>SUMIFS(tbl_główna_GRACZE[EVAL],tbl_główna_GRACZE[zespół],$A19,tbl_główna_GRACZE['#mecz],tbl_ZESPOŁY_dane[[#This Row],['#mecz]])</f>
        <v>68</v>
      </c>
      <c r="AB19" s="17">
        <f t="shared" si="22"/>
        <v>0.27536231884057971</v>
      </c>
      <c r="AC19" s="17">
        <f t="shared" si="23"/>
        <v>0.34782608695652173</v>
      </c>
      <c r="AD19" s="31">
        <f>tbl_ZESPOŁY_dane[[#This Row],[fga]]+0.44*tbl_ZESPOŁY_dane[[#This Row],[fta]]-tbl_ZESPOŁY_dane[[#This Row],[oreb]]</f>
        <v>67.36</v>
      </c>
      <c r="AE19" s="31">
        <f>SUMIFS(tbl_ZESPOŁY_dane[Poss],tbl_ZESPOŁY_dane['#mecz],tbl_ZESPOŁY_dane[[#This Row],['#mecz]])/2</f>
        <v>60.12</v>
      </c>
      <c r="AF19" s="31">
        <f>tbl_ZESPOŁY_dane[[#This Row],[pts]]/tbl_ZESPOŁY_dane[[#This Row],[Poss]]*100</f>
        <v>86.104513064133016</v>
      </c>
      <c r="AG19" s="31">
        <f>SUMIFS(tbl_ZESPOŁY_dane[Orating],tbl_ZESPOŁY_dane['#mecz],tbl_ZESPOŁY_dane[[#This Row],['#mecz]],tbl_ZESPOŁY_dane[zespół],tbl_ZESPOŁY_dane[[#This Row],[przeciwnik]])</f>
        <v>83.207261724659602</v>
      </c>
      <c r="AH19" s="6">
        <f>tbl_ZESPOŁY_dane[[#This Row],[Orating]]-tbl_ZESPOŁY_dane[[#This Row],[Drating]]</f>
        <v>2.8972513394734136</v>
      </c>
      <c r="AI19" s="18">
        <f t="shared" si="24"/>
        <v>0.84057971014492749</v>
      </c>
      <c r="AJ19" s="16">
        <f>tbl_ZESPOŁY_dane[[#This Row],[asst]]/tbl_ZESPOŁY_dane[[#This Row],[fgm]]</f>
        <v>0.52380952380952384</v>
      </c>
      <c r="AK19" s="31">
        <f>tbl_ZESPOŁY_dane[[#This Row],[asst]]/tbl_ZESPOŁY_dane[[#This Row],[Poss]]*100</f>
        <v>16.330166270783845</v>
      </c>
      <c r="AL19" s="19">
        <f>(tbl_ZESPOŁY_dane[[#This Row],[eFG%]]*0.7+tbl_ZESPOŁY_dane[[#This Row],[AST%]]*0.3)*100</f>
        <v>39.047619047619044</v>
      </c>
      <c r="AM19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0.27027027027027029</v>
      </c>
      <c r="AN19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0.53846153846153844</v>
      </c>
      <c r="AO19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0.40789473684210525</v>
      </c>
      <c r="AP19">
        <f>tbl_ZESPOŁY_dane[[#This Row],[reb total]]-SUMIFS(tbl_ZESPOŁY_dane[reb total],tbl_ZESPOŁY_dane[zespół],tbl_ZESPOŁY_dane[[#This Row],[przeciwnik]],tbl_ZESPOŁY_dane['#mecz],tbl_ZESPOŁY_dane[[#This Row],['#mecz]])</f>
        <v>-14</v>
      </c>
      <c r="AQ19" s="16">
        <f>tbl_ZESPOŁY_dane[[#This Row],[oreb]]/(tbl_ZESPOŁY_dane[[#This Row],[fga]]-tbl_ZESPOŁY_dane[[#This Row],[fgm]])</f>
        <v>0.20833333333333334</v>
      </c>
      <c r="AR19">
        <f>(tbl_ZESPOŁY_dane[[#This Row],[oreb]]*1.1)+(tbl_ZESPOŁY_dane[[#This Row],[dreb]]*0.3)</f>
        <v>17.3</v>
      </c>
      <c r="AS19">
        <f t="shared" si="25"/>
        <v>58.100000000000009</v>
      </c>
      <c r="AT19" s="16">
        <f>(tbl_ZESPOŁY_dane[[#This Row],[fgm]]-tbl_ZESPOŁY_dane[[#This Row],[3pm]])/(tbl_ZESPOŁY_dane[[#This Row],[fga]]-tbl_ZESPOŁY_dane[[#This Row],[3pa]])</f>
        <v>0.37777777777777777</v>
      </c>
      <c r="AU19">
        <f>IF(tbl_ZESPOŁY_dane[[#This Row],[pts]]&gt;0,1,0)</f>
        <v>1</v>
      </c>
      <c r="AV19">
        <v>19</v>
      </c>
      <c r="AW19">
        <v>15</v>
      </c>
      <c r="AX19">
        <v>9</v>
      </c>
      <c r="AY19">
        <v>15</v>
      </c>
      <c r="AZ19">
        <f>SUMIFS(tbl_ZESPOŁY_dane[Q1],tbl_ZESPOŁY_dane[przeciwnik],tbl_ZESPOŁY_dane[[#This Row],[zespół]],tbl_ZESPOŁY_dane[GW],tbl_ZESPOŁY_dane[[#This Row],[GW]])</f>
        <v>11</v>
      </c>
      <c r="BA19">
        <f>SUMIFS(tbl_ZESPOŁY_dane[Q2],tbl_ZESPOŁY_dane[przeciwnik],tbl_ZESPOŁY_dane[[#This Row],[zespół]],tbl_ZESPOŁY_dane[GW],tbl_ZESPOŁY_dane[[#This Row],[GW]])</f>
        <v>18</v>
      </c>
      <c r="BB19">
        <f>SUMIFS(tbl_ZESPOŁY_dane[Q3],tbl_ZESPOŁY_dane[przeciwnik],tbl_ZESPOŁY_dane[[#This Row],[zespół]],tbl_ZESPOŁY_dane[GW],tbl_ZESPOŁY_dane[[#This Row],[GW]])</f>
        <v>6</v>
      </c>
      <c r="BC19">
        <f>SUMIFS(tbl_ZESPOŁY_dane[Q4],tbl_ZESPOŁY_dane[przeciwnik],tbl_ZESPOŁY_dane[[#This Row],[zespół]],tbl_ZESPOŁY_dane[GW],tbl_ZESPOŁY_dane[[#This Row],[GW]])</f>
        <v>9</v>
      </c>
      <c r="BD19">
        <f>tbl_ZESPOŁY_dane[[#This Row],[O1]]+tbl_ZESPOŁY_dane[[#This Row],[O2]]+tbl_ZESPOŁY_dane[[#This Row],[O3]]+tbl_ZESPOŁY_dane[[#This Row],[O4]]</f>
        <v>44</v>
      </c>
    </row>
    <row r="20" spans="1:56" x14ac:dyDescent="0.35">
      <c r="A20" s="32" t="s">
        <v>19</v>
      </c>
      <c r="B20" t="s">
        <v>48</v>
      </c>
      <c r="C20" t="s">
        <v>58</v>
      </c>
      <c r="D20" s="15" t="str">
        <f>IF(C20="H",VLOOKUP($A20,tab_nazwy_zespołów[],2,0)&amp;VLOOKUP($B20,tab_nazwy_zespołów[],2,0),VLOOKUP($B20,tab_nazwy_zespołów[],2,0)&amp;VLOOKUP($A20,tab_nazwy_zespołów[],2,0))</f>
        <v>ŁODSTA</v>
      </c>
      <c r="E20">
        <v>3</v>
      </c>
      <c r="F20">
        <f>SUMIFS(tbl_główna_GRACZE[fgm],tbl_główna_GRACZE[zespół],tbl_ZESPOŁY_dane[[#This Row],[zespół]],tbl_główna_GRACZE['#mecz],tbl_ZESPOŁY_dane[[#This Row],['#mecz]])</f>
        <v>20</v>
      </c>
      <c r="G20">
        <f>SUMIFS(tbl_główna_GRACZE[fga],tbl_główna_GRACZE[zespół],tbl_ZESPOŁY_dane[[#This Row],[zespół]],tbl_główna_GRACZE['#mecz],tbl_ZESPOŁY_dane[[#This Row],['#mecz]])</f>
        <v>70</v>
      </c>
      <c r="H20">
        <f>SUMIFS(tbl_główna_GRACZE[3pm],tbl_główna_GRACZE[zespół],tbl_ZESPOŁY_dane[[#This Row],[zespół]],tbl_główna_GRACZE['#mecz],tbl_ZESPOŁY_dane[[#This Row],['#mecz]])</f>
        <v>3</v>
      </c>
      <c r="I20">
        <f>SUMIFS(tbl_główna_GRACZE[3pa],tbl_główna_GRACZE[zespół],tbl_ZESPOŁY_dane[[#This Row],[zespół]],tbl_główna_GRACZE['#mecz],tbl_ZESPOŁY_dane[[#This Row],['#mecz]])</f>
        <v>22</v>
      </c>
      <c r="J20">
        <f>SUMIFS(tbl_główna_GRACZE[ftm],tbl_główna_GRACZE[zespół],tbl_ZESPOŁY_dane[[#This Row],[zespół]],tbl_główna_GRACZE['#mecz],tbl_ZESPOŁY_dane[[#This Row],['#mecz]])</f>
        <v>1</v>
      </c>
      <c r="K20">
        <f>SUMIFS(tbl_główna_GRACZE[fta],tbl_główna_GRACZE[zespół],tbl_ZESPOŁY_dane[[#This Row],[zespół]],tbl_główna_GRACZE['#mecz],tbl_ZESPOŁY_dane[[#This Row],['#mecz]])</f>
        <v>2</v>
      </c>
      <c r="L20">
        <f>SUMIFS(tbl_główna_GRACZE[oreb],tbl_główna_GRACZE[zespół],tbl_ZESPOŁY_dane[[#This Row],[zespół]],tbl_główna_GRACZE['#mecz],tbl_ZESPOŁY_dane[[#This Row],['#mecz]])</f>
        <v>18</v>
      </c>
      <c r="M20">
        <f>SUMIFS(tbl_główna_GRACZE[dreb],tbl_główna_GRACZE[zespół],tbl_ZESPOŁY_dane[[#This Row],[zespół]],tbl_główna_GRACZE['#mecz],tbl_ZESPOŁY_dane[[#This Row],['#mecz]])</f>
        <v>27</v>
      </c>
      <c r="N20">
        <f>SUMIFS(tbl_główna_GRACZE[foul],tbl_główna_GRACZE[zespół],tbl_ZESPOŁY_dane[[#This Row],[zespół]],tbl_główna_GRACZE['#mecz],tbl_ZESPOŁY_dane[[#This Row],['#mecz]])</f>
        <v>14</v>
      </c>
      <c r="O20">
        <f>SUMIFS(tbl_główna_GRACZE[stl],tbl_główna_GRACZE[zespół],tbl_ZESPOŁY_dane[[#This Row],[zespół]],tbl_główna_GRACZE['#mecz],tbl_ZESPOŁY_dane[[#This Row],['#mecz]])</f>
        <v>9</v>
      </c>
      <c r="P20">
        <f>SUMIFS(tbl_główna_GRACZE[to],tbl_główna_GRACZE[zespół],tbl_ZESPOŁY_dane[[#This Row],[zespół]],tbl_główna_GRACZE['#mecz],tbl_ZESPOŁY_dane[[#This Row],['#mecz]])</f>
        <v>0</v>
      </c>
      <c r="Q20">
        <f>SUMIFS(tbl_główna_GRACZE[blk],tbl_główna_GRACZE[zespół],tbl_ZESPOŁY_dane[[#This Row],[zespół]],tbl_główna_GRACZE['#mecz],tbl_ZESPOŁY_dane[[#This Row],['#mecz]])</f>
        <v>6</v>
      </c>
      <c r="R20">
        <f>SUMIFS(tbl_główna_GRACZE[asst],tbl_główna_GRACZE[zespół],tbl_ZESPOŁY_dane[[#This Row],[zespół]],tbl_główna_GRACZE['#mecz],tbl_ZESPOŁY_dane[[#This Row],['#mecz]])</f>
        <v>9</v>
      </c>
      <c r="S20">
        <f>SUMIFS(tbl_główna_GRACZE[min],tbl_główna_GRACZE[zespół],tbl_ZESPOŁY_dane[[#This Row],[zespół]],tbl_główna_GRACZE['#mecz],tbl_ZESPOŁY_dane[[#This Row],['#mecz]])</f>
        <v>195</v>
      </c>
      <c r="T20">
        <f>SUMIFS(tbl_główna_GRACZE[pts],tbl_główna_GRACZE[zespół],tbl_ZESPOŁY_dane[[#This Row],[zespół]],tbl_główna_GRACZE['#mecz],tbl_ZESPOŁY_dane[[#This Row],['#mecz]])</f>
        <v>44</v>
      </c>
      <c r="U20">
        <f>tbl_ZESPOŁY_dane[[#This Row],[oreb]]+tbl_ZESPOŁY_dane[[#This Row],[dreb]]</f>
        <v>45</v>
      </c>
      <c r="V20" s="16">
        <f t="shared" si="17"/>
        <v>0.2857142857142857</v>
      </c>
      <c r="W20" s="16">
        <f t="shared" si="18"/>
        <v>0.13636363636363635</v>
      </c>
      <c r="X20" s="17">
        <f t="shared" si="19"/>
        <v>0.5</v>
      </c>
      <c r="Y20" s="17">
        <f t="shared" si="20"/>
        <v>0.31038374717832962</v>
      </c>
      <c r="Z20" s="17">
        <f t="shared" si="21"/>
        <v>0.30714285714285716</v>
      </c>
      <c r="AA20">
        <f>SUMIFS(tbl_główna_GRACZE[EVAL],tbl_główna_GRACZE[zespół],$A20,tbl_główna_GRACZE['#mecz],tbl_ZESPOŁY_dane[[#This Row],['#mecz]])</f>
        <v>62</v>
      </c>
      <c r="AB20" s="17">
        <f t="shared" si="22"/>
        <v>2.8571428571428571E-2</v>
      </c>
      <c r="AC20" s="17">
        <f t="shared" si="23"/>
        <v>0.31428571428571428</v>
      </c>
      <c r="AD20" s="31">
        <f>tbl_ZESPOŁY_dane[[#This Row],[fga]]+0.44*tbl_ZESPOŁY_dane[[#This Row],[fta]]-tbl_ZESPOŁY_dane[[#This Row],[oreb]]</f>
        <v>52.879999999999995</v>
      </c>
      <c r="AE20" s="31">
        <f>SUMIFS(tbl_ZESPOŁY_dane[Poss],tbl_ZESPOŁY_dane['#mecz],tbl_ZESPOŁY_dane[[#This Row],['#mecz]])/2</f>
        <v>60.12</v>
      </c>
      <c r="AF20" s="31">
        <f>tbl_ZESPOŁY_dane[[#This Row],[pts]]/tbl_ZESPOŁY_dane[[#This Row],[Poss]]*100</f>
        <v>83.207261724659602</v>
      </c>
      <c r="AG20" s="31">
        <f>SUMIFS(tbl_ZESPOŁY_dane[Orating],tbl_ZESPOŁY_dane['#mecz],tbl_ZESPOŁY_dane[[#This Row],['#mecz]],tbl_ZESPOŁY_dane[zespół],tbl_ZESPOŁY_dane[[#This Row],[przeciwnik]])</f>
        <v>86.104513064133016</v>
      </c>
      <c r="AH20" s="6">
        <f>tbl_ZESPOŁY_dane[[#This Row],[Orating]]-tbl_ZESPOŁY_dane[[#This Row],[Drating]]</f>
        <v>-2.8972513394734136</v>
      </c>
      <c r="AI20" s="18">
        <f t="shared" si="24"/>
        <v>0.62857142857142856</v>
      </c>
      <c r="AJ20" s="16">
        <f>tbl_ZESPOŁY_dane[[#This Row],[asst]]/tbl_ZESPOŁY_dane[[#This Row],[fgm]]</f>
        <v>0.45</v>
      </c>
      <c r="AK20" s="31">
        <f>tbl_ZESPOŁY_dane[[#This Row],[asst]]/tbl_ZESPOŁY_dane[[#This Row],[Poss]]*100</f>
        <v>17.019667170953102</v>
      </c>
      <c r="AL20" s="19">
        <f>(tbl_ZESPOŁY_dane[[#This Row],[eFG%]]*0.7+tbl_ZESPOŁY_dane[[#This Row],[AST%]]*0.3)*100</f>
        <v>35</v>
      </c>
      <c r="AM20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0.46153846153846156</v>
      </c>
      <c r="AN20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0.72972972972972971</v>
      </c>
      <c r="AO20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0.59210526315789469</v>
      </c>
      <c r="AP20">
        <f>tbl_ZESPOŁY_dane[[#This Row],[reb total]]-SUMIFS(tbl_ZESPOŁY_dane[reb total],tbl_ZESPOŁY_dane[zespół],tbl_ZESPOŁY_dane[[#This Row],[przeciwnik]],tbl_ZESPOŁY_dane['#mecz],tbl_ZESPOŁY_dane[[#This Row],['#mecz]])</f>
        <v>14</v>
      </c>
      <c r="AQ20" s="16">
        <f>tbl_ZESPOŁY_dane[[#This Row],[oreb]]/(tbl_ZESPOŁY_dane[[#This Row],[fga]]-tbl_ZESPOŁY_dane[[#This Row],[fgm]])</f>
        <v>0.36</v>
      </c>
      <c r="AR20">
        <f>(tbl_ZESPOŁY_dane[[#This Row],[oreb]]*1.1)+(tbl_ZESPOŁY_dane[[#This Row],[dreb]]*0.3)</f>
        <v>27.9</v>
      </c>
      <c r="AS20">
        <f t="shared" si="25"/>
        <v>42.8</v>
      </c>
      <c r="AT20" s="16">
        <f>(tbl_ZESPOŁY_dane[[#This Row],[fgm]]-tbl_ZESPOŁY_dane[[#This Row],[3pm]])/(tbl_ZESPOŁY_dane[[#This Row],[fga]]-tbl_ZESPOŁY_dane[[#This Row],[3pa]])</f>
        <v>0.35416666666666669</v>
      </c>
      <c r="AU20">
        <f>IF(tbl_ZESPOŁY_dane[[#This Row],[pts]]&gt;0,1,0)</f>
        <v>1</v>
      </c>
      <c r="AV20">
        <v>11</v>
      </c>
      <c r="AW20">
        <v>18</v>
      </c>
      <c r="AX20">
        <v>6</v>
      </c>
      <c r="AY20">
        <v>9</v>
      </c>
      <c r="AZ20">
        <f>SUMIFS(tbl_ZESPOŁY_dane[Q1],tbl_ZESPOŁY_dane[przeciwnik],tbl_ZESPOŁY_dane[[#This Row],[zespół]],tbl_ZESPOŁY_dane[GW],tbl_ZESPOŁY_dane[[#This Row],[GW]])</f>
        <v>19</v>
      </c>
      <c r="BA20">
        <f>SUMIFS(tbl_ZESPOŁY_dane[Q2],tbl_ZESPOŁY_dane[przeciwnik],tbl_ZESPOŁY_dane[[#This Row],[zespół]],tbl_ZESPOŁY_dane[GW],tbl_ZESPOŁY_dane[[#This Row],[GW]])</f>
        <v>15</v>
      </c>
      <c r="BB20">
        <f>SUMIFS(tbl_ZESPOŁY_dane[Q3],tbl_ZESPOŁY_dane[przeciwnik],tbl_ZESPOŁY_dane[[#This Row],[zespół]],tbl_ZESPOŁY_dane[GW],tbl_ZESPOŁY_dane[[#This Row],[GW]])</f>
        <v>9</v>
      </c>
      <c r="BC20">
        <f>SUMIFS(tbl_ZESPOŁY_dane[Q4],tbl_ZESPOŁY_dane[przeciwnik],tbl_ZESPOŁY_dane[[#This Row],[zespół]],tbl_ZESPOŁY_dane[GW],tbl_ZESPOŁY_dane[[#This Row],[GW]])</f>
        <v>15</v>
      </c>
      <c r="BD20">
        <f>tbl_ZESPOŁY_dane[[#This Row],[O1]]+tbl_ZESPOŁY_dane[[#This Row],[O2]]+tbl_ZESPOŁY_dane[[#This Row],[O3]]+tbl_ZESPOŁY_dane[[#This Row],[O4]]</f>
        <v>58</v>
      </c>
    </row>
    <row r="21" spans="1:56" x14ac:dyDescent="0.35">
      <c r="A21" s="32" t="s">
        <v>50</v>
      </c>
      <c r="B21" t="s">
        <v>25</v>
      </c>
      <c r="C21" t="s">
        <v>57</v>
      </c>
      <c r="D21" s="15" t="str">
        <f>IF(C21="H",VLOOKUP($A21,tab_nazwy_zespołów[],2,0)&amp;VLOOKUP($B21,tab_nazwy_zespołów[],2,0),VLOOKUP($B21,tab_nazwy_zespołów[],2,0)&amp;VLOOKUP($A21,tab_nazwy_zespołów[],2,0))</f>
        <v>KONHUT</v>
      </c>
      <c r="E21">
        <v>3</v>
      </c>
      <c r="F21">
        <f>SUMIFS(tbl_główna_GRACZE[fgm],tbl_główna_GRACZE[zespół],tbl_ZESPOŁY_dane[[#This Row],[zespół]],tbl_główna_GRACZE['#mecz],tbl_ZESPOŁY_dane[[#This Row],['#mecz]])</f>
        <v>25</v>
      </c>
      <c r="G21">
        <f>SUMIFS(tbl_główna_GRACZE[fga],tbl_główna_GRACZE[zespół],tbl_ZESPOŁY_dane[[#This Row],[zespół]],tbl_główna_GRACZE['#mecz],tbl_ZESPOŁY_dane[[#This Row],['#mecz]])</f>
        <v>68</v>
      </c>
      <c r="H21">
        <f>SUMIFS(tbl_główna_GRACZE[3pm],tbl_główna_GRACZE[zespół],tbl_ZESPOŁY_dane[[#This Row],[zespół]],tbl_główna_GRACZE['#mecz],tbl_ZESPOŁY_dane[[#This Row],['#mecz]])</f>
        <v>6</v>
      </c>
      <c r="I21">
        <f>SUMIFS(tbl_główna_GRACZE[3pa],tbl_główna_GRACZE[zespół],tbl_ZESPOŁY_dane[[#This Row],[zespół]],tbl_główna_GRACZE['#mecz],tbl_ZESPOŁY_dane[[#This Row],['#mecz]])</f>
        <v>29</v>
      </c>
      <c r="J21">
        <f>SUMIFS(tbl_główna_GRACZE[ftm],tbl_główna_GRACZE[zespół],tbl_ZESPOŁY_dane[[#This Row],[zespół]],tbl_główna_GRACZE['#mecz],tbl_ZESPOŁY_dane[[#This Row],['#mecz]])</f>
        <v>9</v>
      </c>
      <c r="K21">
        <f>SUMIFS(tbl_główna_GRACZE[fta],tbl_główna_GRACZE[zespół],tbl_ZESPOŁY_dane[[#This Row],[zespół]],tbl_główna_GRACZE['#mecz],tbl_ZESPOŁY_dane[[#This Row],['#mecz]])</f>
        <v>17</v>
      </c>
      <c r="L21">
        <f>SUMIFS(tbl_główna_GRACZE[oreb],tbl_główna_GRACZE[zespół],tbl_ZESPOŁY_dane[[#This Row],[zespół]],tbl_główna_GRACZE['#mecz],tbl_ZESPOŁY_dane[[#This Row],['#mecz]])</f>
        <v>7</v>
      </c>
      <c r="M21">
        <f>SUMIFS(tbl_główna_GRACZE[dreb],tbl_główna_GRACZE[zespół],tbl_ZESPOŁY_dane[[#This Row],[zespół]],tbl_główna_GRACZE['#mecz],tbl_ZESPOŁY_dane[[#This Row],['#mecz]])</f>
        <v>30</v>
      </c>
      <c r="N21">
        <f>SUMIFS(tbl_główna_GRACZE[foul],tbl_główna_GRACZE[zespół],tbl_ZESPOŁY_dane[[#This Row],[zespół]],tbl_główna_GRACZE['#mecz],tbl_ZESPOŁY_dane[[#This Row],['#mecz]])</f>
        <v>9</v>
      </c>
      <c r="O21">
        <f>SUMIFS(tbl_główna_GRACZE[stl],tbl_główna_GRACZE[zespół],tbl_ZESPOŁY_dane[[#This Row],[zespół]],tbl_główna_GRACZE['#mecz],tbl_ZESPOŁY_dane[[#This Row],['#mecz]])</f>
        <v>15</v>
      </c>
      <c r="P21">
        <f>SUMIFS(tbl_główna_GRACZE[to],tbl_główna_GRACZE[zespół],tbl_ZESPOŁY_dane[[#This Row],[zespół]],tbl_główna_GRACZE['#mecz],tbl_ZESPOŁY_dane[[#This Row],['#mecz]])</f>
        <v>0</v>
      </c>
      <c r="Q21">
        <f>SUMIFS(tbl_główna_GRACZE[blk],tbl_główna_GRACZE[zespół],tbl_ZESPOŁY_dane[[#This Row],[zespół]],tbl_główna_GRACZE['#mecz],tbl_ZESPOŁY_dane[[#This Row],['#mecz]])</f>
        <v>1</v>
      </c>
      <c r="R21">
        <f>SUMIFS(tbl_główna_GRACZE[asst],tbl_główna_GRACZE[zespół],tbl_ZESPOŁY_dane[[#This Row],[zespół]],tbl_główna_GRACZE['#mecz],tbl_ZESPOŁY_dane[[#This Row],['#mecz]])</f>
        <v>16</v>
      </c>
      <c r="S21">
        <f>SUMIFS(tbl_główna_GRACZE[min],tbl_główna_GRACZE[zespół],tbl_ZESPOŁY_dane[[#This Row],[zespół]],tbl_główna_GRACZE['#mecz],tbl_ZESPOŁY_dane[[#This Row],['#mecz]])</f>
        <v>198</v>
      </c>
      <c r="T21">
        <f>SUMIFS(tbl_główna_GRACZE[pts],tbl_główna_GRACZE[zespół],tbl_ZESPOŁY_dane[[#This Row],[zespół]],tbl_główna_GRACZE['#mecz],tbl_ZESPOŁY_dane[[#This Row],['#mecz]])</f>
        <v>64</v>
      </c>
      <c r="U21">
        <f>tbl_ZESPOŁY_dane[[#This Row],[oreb]]+tbl_ZESPOŁY_dane[[#This Row],[dreb]]</f>
        <v>37</v>
      </c>
      <c r="V21" s="16">
        <f t="shared" si="17"/>
        <v>0.36764705882352944</v>
      </c>
      <c r="W21" s="16">
        <f t="shared" si="18"/>
        <v>0.20689655172413793</v>
      </c>
      <c r="X21" s="17">
        <f t="shared" si="19"/>
        <v>0.52941176470588236</v>
      </c>
      <c r="Y21" s="17">
        <f t="shared" si="20"/>
        <v>0.42395336512983567</v>
      </c>
      <c r="Z21" s="17">
        <f t="shared" si="21"/>
        <v>0.41176470588235292</v>
      </c>
      <c r="AA21">
        <f>SUMIFS(tbl_główna_GRACZE[EVAL],tbl_główna_GRACZE[zespół],$A21,tbl_główna_GRACZE['#mecz],tbl_ZESPOŁY_dane[[#This Row],['#mecz]])</f>
        <v>82</v>
      </c>
      <c r="AB21" s="17">
        <f t="shared" si="22"/>
        <v>0.25</v>
      </c>
      <c r="AC21" s="17">
        <f t="shared" si="23"/>
        <v>0.4264705882352941</v>
      </c>
      <c r="AD21" s="31">
        <f>tbl_ZESPOŁY_dane[[#This Row],[fga]]+0.44*tbl_ZESPOŁY_dane[[#This Row],[fta]]-tbl_ZESPOŁY_dane[[#This Row],[oreb]]</f>
        <v>68.48</v>
      </c>
      <c r="AE21" s="31">
        <f>SUMIFS(tbl_ZESPOŁY_dane[Poss],tbl_ZESPOŁY_dane['#mecz],tbl_ZESPOŁY_dane[[#This Row],['#mecz]])/2</f>
        <v>66</v>
      </c>
      <c r="AF21" s="31">
        <f>tbl_ZESPOŁY_dane[[#This Row],[pts]]/tbl_ZESPOŁY_dane[[#This Row],[Poss]]*100</f>
        <v>93.45794392523365</v>
      </c>
      <c r="AG21" s="31">
        <f>SUMIFS(tbl_ZESPOŁY_dane[Orating],tbl_ZESPOŁY_dane['#mecz],tbl_ZESPOŁY_dane[[#This Row],['#mecz]],tbl_ZESPOŁY_dane[zespół],tbl_ZESPOŁY_dane[[#This Row],[przeciwnik]])</f>
        <v>94.458438287153655</v>
      </c>
      <c r="AH21" s="6">
        <f>tbl_ZESPOŁY_dane[[#This Row],[Orating]]-tbl_ZESPOŁY_dane[[#This Row],[Drating]]</f>
        <v>-1.0004943619200048</v>
      </c>
      <c r="AI21" s="18">
        <f t="shared" si="24"/>
        <v>0.94117647058823528</v>
      </c>
      <c r="AJ21" s="16">
        <f>tbl_ZESPOŁY_dane[[#This Row],[asst]]/tbl_ZESPOŁY_dane[[#This Row],[fgm]]</f>
        <v>0.64</v>
      </c>
      <c r="AK21" s="31">
        <f>tbl_ZESPOŁY_dane[[#This Row],[asst]]/tbl_ZESPOŁY_dane[[#This Row],[Poss]]*100</f>
        <v>23.364485981308412</v>
      </c>
      <c r="AL21" s="19">
        <f>(tbl_ZESPOŁY_dane[[#This Row],[eFG%]]*0.7+tbl_ZESPOŁY_dane[[#This Row],[AST%]]*0.3)*100</f>
        <v>48.023529411764706</v>
      </c>
      <c r="AM21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0.17948717948717949</v>
      </c>
      <c r="AN21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0.76923076923076927</v>
      </c>
      <c r="AO21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0.47435897435897434</v>
      </c>
      <c r="AP21">
        <f>tbl_ZESPOŁY_dane[[#This Row],[reb total]]-SUMIFS(tbl_ZESPOŁY_dane[reb total],tbl_ZESPOŁY_dane[zespół],tbl_ZESPOŁY_dane[[#This Row],[przeciwnik]],tbl_ZESPOŁY_dane['#mecz],tbl_ZESPOŁY_dane[[#This Row],['#mecz]])</f>
        <v>-4</v>
      </c>
      <c r="AQ21" s="16">
        <f>tbl_ZESPOŁY_dane[[#This Row],[oreb]]/(tbl_ZESPOŁY_dane[[#This Row],[fga]]-tbl_ZESPOŁY_dane[[#This Row],[fgm]])</f>
        <v>0.16279069767441862</v>
      </c>
      <c r="AR21">
        <f>(tbl_ZESPOŁY_dane[[#This Row],[oreb]]*1.1)+(tbl_ZESPOŁY_dane[[#This Row],[dreb]]*0.3)</f>
        <v>16.700000000000003</v>
      </c>
      <c r="AS21">
        <f t="shared" si="25"/>
        <v>64.000000000000014</v>
      </c>
      <c r="AT21" s="16">
        <f>(tbl_ZESPOŁY_dane[[#This Row],[fgm]]-tbl_ZESPOŁY_dane[[#This Row],[3pm]])/(tbl_ZESPOŁY_dane[[#This Row],[fga]]-tbl_ZESPOŁY_dane[[#This Row],[3pa]])</f>
        <v>0.48717948717948717</v>
      </c>
      <c r="AU21">
        <f>IF(tbl_ZESPOŁY_dane[[#This Row],[pts]]&gt;0,1,0)</f>
        <v>1</v>
      </c>
      <c r="AV21">
        <v>11</v>
      </c>
      <c r="AW21">
        <v>13</v>
      </c>
      <c r="AX21">
        <v>19</v>
      </c>
      <c r="AY21">
        <v>21</v>
      </c>
      <c r="AZ21">
        <f>SUMIFS(tbl_ZESPOŁY_dane[Q1],tbl_ZESPOŁY_dane[przeciwnik],tbl_ZESPOŁY_dane[[#This Row],[zespół]],tbl_ZESPOŁY_dane[GW],tbl_ZESPOŁY_dane[[#This Row],[GW]])</f>
        <v>15</v>
      </c>
      <c r="BA21">
        <f>SUMIFS(tbl_ZESPOŁY_dane[Q2],tbl_ZESPOŁY_dane[przeciwnik],tbl_ZESPOŁY_dane[[#This Row],[zespół]],tbl_ZESPOŁY_dane[GW],tbl_ZESPOŁY_dane[[#This Row],[GW]])</f>
        <v>16</v>
      </c>
      <c r="BB21">
        <f>SUMIFS(tbl_ZESPOŁY_dane[Q3],tbl_ZESPOŁY_dane[przeciwnik],tbl_ZESPOŁY_dane[[#This Row],[zespół]],tbl_ZESPOŁY_dane[GW],tbl_ZESPOŁY_dane[[#This Row],[GW]])</f>
        <v>12</v>
      </c>
      <c r="BC21">
        <f>SUMIFS(tbl_ZESPOŁY_dane[Q4],tbl_ZESPOŁY_dane[przeciwnik],tbl_ZESPOŁY_dane[[#This Row],[zespół]],tbl_ZESPOŁY_dane[GW],tbl_ZESPOŁY_dane[[#This Row],[GW]])</f>
        <v>16</v>
      </c>
      <c r="BD21">
        <f>tbl_ZESPOŁY_dane[[#This Row],[O1]]+tbl_ZESPOŁY_dane[[#This Row],[O2]]+tbl_ZESPOŁY_dane[[#This Row],[O3]]+tbl_ZESPOŁY_dane[[#This Row],[O4]]</f>
        <v>59</v>
      </c>
    </row>
    <row r="22" spans="1:56" s="38" customFormat="1" ht="15" thickBot="1" x14ac:dyDescent="0.4">
      <c r="A22" s="37" t="s">
        <v>25</v>
      </c>
      <c r="B22" s="38" t="s">
        <v>50</v>
      </c>
      <c r="C22" s="38" t="s">
        <v>58</v>
      </c>
      <c r="D22" s="39" t="str">
        <f>IF(C22="H",VLOOKUP($A22,tab_nazwy_zespołów[],2,0)&amp;VLOOKUP($B22,tab_nazwy_zespołów[],2,0),VLOOKUP($B22,tab_nazwy_zespołów[],2,0)&amp;VLOOKUP($A22,tab_nazwy_zespołów[],2,0))</f>
        <v>KONHUT</v>
      </c>
      <c r="E22" s="38">
        <v>3</v>
      </c>
      <c r="F22" s="38">
        <f>SUMIFS(tbl_główna_GRACZE[fgm],tbl_główna_GRACZE[zespół],tbl_ZESPOŁY_dane[[#This Row],[zespół]],tbl_główna_GRACZE['#mecz],tbl_ZESPOŁY_dane[[#This Row],['#mecz]])</f>
        <v>25</v>
      </c>
      <c r="G22" s="38">
        <f>SUMIFS(tbl_główna_GRACZE[fga],tbl_główna_GRACZE[zespół],tbl_ZESPOŁY_dane[[#This Row],[zespół]],tbl_główna_GRACZE['#mecz],tbl_ZESPOŁY_dane[[#This Row],['#mecz]])</f>
        <v>69</v>
      </c>
      <c r="H22" s="38">
        <f>SUMIFS(tbl_główna_GRACZE[3pm],tbl_główna_GRACZE[zespół],tbl_ZESPOŁY_dane[[#This Row],[zespół]],tbl_główna_GRACZE['#mecz],tbl_ZESPOŁY_dane[[#This Row],['#mecz]])</f>
        <v>5</v>
      </c>
      <c r="I22" s="38">
        <f>SUMIFS(tbl_główna_GRACZE[3pa],tbl_główna_GRACZE[zespół],tbl_ZESPOŁY_dane[[#This Row],[zespół]],tbl_główna_GRACZE['#mecz],tbl_ZESPOŁY_dane[[#This Row],['#mecz]])</f>
        <v>15</v>
      </c>
      <c r="J22" s="38">
        <f>SUMIFS(tbl_główna_GRACZE[ftm],tbl_główna_GRACZE[zespół],tbl_ZESPOŁY_dane[[#This Row],[zespół]],tbl_główna_GRACZE['#mecz],tbl_ZESPOŁY_dane[[#This Row],['#mecz]])</f>
        <v>5</v>
      </c>
      <c r="K22" s="38">
        <f>SUMIFS(tbl_główna_GRACZE[fta],tbl_główna_GRACZE[zespół],tbl_ZESPOŁY_dane[[#This Row],[zespół]],tbl_główna_GRACZE['#mecz],tbl_ZESPOŁY_dane[[#This Row],['#mecz]])</f>
        <v>8</v>
      </c>
      <c r="L22" s="38">
        <f>SUMIFS(tbl_główna_GRACZE[oreb],tbl_główna_GRACZE[zespół],tbl_ZESPOŁY_dane[[#This Row],[zespół]],tbl_główna_GRACZE['#mecz],tbl_ZESPOŁY_dane[[#This Row],['#mecz]])</f>
        <v>9</v>
      </c>
      <c r="M22" s="38">
        <f>SUMIFS(tbl_główna_GRACZE[dreb],tbl_główna_GRACZE[zespół],tbl_ZESPOŁY_dane[[#This Row],[zespół]],tbl_główna_GRACZE['#mecz],tbl_ZESPOŁY_dane[[#This Row],['#mecz]])</f>
        <v>32</v>
      </c>
      <c r="N22" s="38">
        <f>SUMIFS(tbl_główna_GRACZE[foul],tbl_główna_GRACZE[zespół],tbl_ZESPOŁY_dane[[#This Row],[zespół]],tbl_główna_GRACZE['#mecz],tbl_ZESPOŁY_dane[[#This Row],['#mecz]])</f>
        <v>10</v>
      </c>
      <c r="O22" s="38">
        <f>SUMIFS(tbl_główna_GRACZE[stl],tbl_główna_GRACZE[zespół],tbl_ZESPOŁY_dane[[#This Row],[zespół]],tbl_główna_GRACZE['#mecz],tbl_ZESPOŁY_dane[[#This Row],['#mecz]])</f>
        <v>12</v>
      </c>
      <c r="P22" s="38">
        <f>SUMIFS(tbl_główna_GRACZE[to],tbl_główna_GRACZE[zespół],tbl_ZESPOŁY_dane[[#This Row],[zespół]],tbl_główna_GRACZE['#mecz],tbl_ZESPOŁY_dane[[#This Row],['#mecz]])</f>
        <v>0</v>
      </c>
      <c r="Q22" s="38">
        <f>SUMIFS(tbl_główna_GRACZE[blk],tbl_główna_GRACZE[zespół],tbl_ZESPOŁY_dane[[#This Row],[zespół]],tbl_główna_GRACZE['#mecz],tbl_ZESPOŁY_dane[[#This Row],['#mecz]])</f>
        <v>3</v>
      </c>
      <c r="R22" s="38">
        <f>SUMIFS(tbl_główna_GRACZE[asst],tbl_główna_GRACZE[zespół],tbl_ZESPOŁY_dane[[#This Row],[zespół]],tbl_główna_GRACZE['#mecz],tbl_ZESPOŁY_dane[[#This Row],['#mecz]])</f>
        <v>15</v>
      </c>
      <c r="S22" s="38">
        <f>SUMIFS(tbl_główna_GRACZE[min],tbl_główna_GRACZE[zespół],tbl_ZESPOŁY_dane[[#This Row],[zespół]],tbl_główna_GRACZE['#mecz],tbl_ZESPOŁY_dane[[#This Row],['#mecz]])</f>
        <v>198</v>
      </c>
      <c r="T22" s="38">
        <f>SUMIFS(tbl_główna_GRACZE[pts],tbl_główna_GRACZE[zespół],tbl_ZESPOŁY_dane[[#This Row],[zespół]],tbl_główna_GRACZE['#mecz],tbl_ZESPOŁY_dane[[#This Row],['#mecz]])</f>
        <v>60</v>
      </c>
      <c r="U22" s="38">
        <f>tbl_ZESPOŁY_dane[[#This Row],[oreb]]+tbl_ZESPOŁY_dane[[#This Row],[dreb]]</f>
        <v>41</v>
      </c>
      <c r="V22" s="40">
        <f t="shared" si="17"/>
        <v>0.36231884057971014</v>
      </c>
      <c r="W22" s="40">
        <f t="shared" si="18"/>
        <v>0.33333333333333331</v>
      </c>
      <c r="X22" s="41">
        <f t="shared" si="19"/>
        <v>0.625</v>
      </c>
      <c r="Y22" s="41">
        <f t="shared" si="20"/>
        <v>0.41367898510755657</v>
      </c>
      <c r="Z22" s="41">
        <f t="shared" si="21"/>
        <v>0.39855072463768115</v>
      </c>
      <c r="AA22" s="38">
        <f>SUMIFS(tbl_główna_GRACZE[EVAL],tbl_główna_GRACZE[zespół],$A22,tbl_główna_GRACZE['#mecz],tbl_ZESPOŁY_dane[[#This Row],['#mecz]])</f>
        <v>84</v>
      </c>
      <c r="AB22" s="41">
        <f t="shared" si="22"/>
        <v>0.11594202898550725</v>
      </c>
      <c r="AC22" s="41">
        <f t="shared" si="23"/>
        <v>0.21739130434782608</v>
      </c>
      <c r="AD22" s="42">
        <f>tbl_ZESPOŁY_dane[[#This Row],[fga]]+0.44*tbl_ZESPOŁY_dane[[#This Row],[fta]]-tbl_ZESPOŁY_dane[[#This Row],[oreb]]</f>
        <v>63.519999999999996</v>
      </c>
      <c r="AE22" s="42">
        <f>SUMIFS(tbl_ZESPOŁY_dane[Poss],tbl_ZESPOŁY_dane['#mecz],tbl_ZESPOŁY_dane[[#This Row],['#mecz]])/2</f>
        <v>66</v>
      </c>
      <c r="AF22" s="42">
        <f>tbl_ZESPOŁY_dane[[#This Row],[pts]]/tbl_ZESPOŁY_dane[[#This Row],[Poss]]*100</f>
        <v>94.458438287153655</v>
      </c>
      <c r="AG22" s="42">
        <f>SUMIFS(tbl_ZESPOŁY_dane[Orating],tbl_ZESPOŁY_dane['#mecz],tbl_ZESPOŁY_dane[[#This Row],['#mecz]],tbl_ZESPOŁY_dane[zespół],tbl_ZESPOŁY_dane[[#This Row],[przeciwnik]])</f>
        <v>93.45794392523365</v>
      </c>
      <c r="AH22" s="43">
        <f>tbl_ZESPOŁY_dane[[#This Row],[Orating]]-tbl_ZESPOŁY_dane[[#This Row],[Drating]]</f>
        <v>1.0004943619200048</v>
      </c>
      <c r="AI22" s="44">
        <f t="shared" si="24"/>
        <v>0.86956521739130432</v>
      </c>
      <c r="AJ22" s="40">
        <f>tbl_ZESPOŁY_dane[[#This Row],[asst]]/tbl_ZESPOŁY_dane[[#This Row],[fgm]]</f>
        <v>0.6</v>
      </c>
      <c r="AK22" s="42">
        <f>tbl_ZESPOŁY_dane[[#This Row],[asst]]/tbl_ZESPOŁY_dane[[#This Row],[Poss]]*100</f>
        <v>23.614609571788414</v>
      </c>
      <c r="AL22" s="45">
        <f>(tbl_ZESPOŁY_dane[[#This Row],[eFG%]]*0.7+tbl_ZESPOŁY_dane[[#This Row],[AST%]]*0.3)*100</f>
        <v>45.89855072463768</v>
      </c>
      <c r="AM22" s="40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0.23076923076923078</v>
      </c>
      <c r="AN22" s="40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0.82051282051282048</v>
      </c>
      <c r="AO22" s="40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0.52564102564102566</v>
      </c>
      <c r="AP22" s="38">
        <f>tbl_ZESPOŁY_dane[[#This Row],[reb total]]-SUMIFS(tbl_ZESPOŁY_dane[reb total],tbl_ZESPOŁY_dane[zespół],tbl_ZESPOŁY_dane[[#This Row],[przeciwnik]],tbl_ZESPOŁY_dane['#mecz],tbl_ZESPOŁY_dane[[#This Row],['#mecz]])</f>
        <v>4</v>
      </c>
      <c r="AQ22" s="40">
        <f>tbl_ZESPOŁY_dane[[#This Row],[oreb]]/(tbl_ZESPOŁY_dane[[#This Row],[fga]]-tbl_ZESPOŁY_dane[[#This Row],[fgm]])</f>
        <v>0.20454545454545456</v>
      </c>
      <c r="AR22" s="38">
        <f>(tbl_ZESPOŁY_dane[[#This Row],[oreb]]*1.1)+(tbl_ZESPOŁY_dane[[#This Row],[dreb]]*0.3)</f>
        <v>19.5</v>
      </c>
      <c r="AS22" s="38">
        <f t="shared" si="25"/>
        <v>61.000000000000007</v>
      </c>
      <c r="AT22" s="40">
        <f>(tbl_ZESPOŁY_dane[[#This Row],[fgm]]-tbl_ZESPOŁY_dane[[#This Row],[3pm]])/(tbl_ZESPOŁY_dane[[#This Row],[fga]]-tbl_ZESPOŁY_dane[[#This Row],[3pa]])</f>
        <v>0.37037037037037035</v>
      </c>
      <c r="AU22" s="38">
        <f>IF(tbl_ZESPOŁY_dane[[#This Row],[pts]]&gt;0,1,0)</f>
        <v>1</v>
      </c>
      <c r="AV22" s="38">
        <v>15</v>
      </c>
      <c r="AW22" s="38">
        <v>16</v>
      </c>
      <c r="AX22" s="38">
        <v>12</v>
      </c>
      <c r="AY22" s="38">
        <v>16</v>
      </c>
      <c r="AZ22" s="38">
        <f>SUMIFS(tbl_ZESPOŁY_dane[Q1],tbl_ZESPOŁY_dane[przeciwnik],tbl_ZESPOŁY_dane[[#This Row],[zespół]],tbl_ZESPOŁY_dane[GW],tbl_ZESPOŁY_dane[[#This Row],[GW]])</f>
        <v>11</v>
      </c>
      <c r="BA22" s="38">
        <f>SUMIFS(tbl_ZESPOŁY_dane[Q2],tbl_ZESPOŁY_dane[przeciwnik],tbl_ZESPOŁY_dane[[#This Row],[zespół]],tbl_ZESPOŁY_dane[GW],tbl_ZESPOŁY_dane[[#This Row],[GW]])</f>
        <v>13</v>
      </c>
      <c r="BB22" s="38">
        <f>SUMIFS(tbl_ZESPOŁY_dane[Q3],tbl_ZESPOŁY_dane[przeciwnik],tbl_ZESPOŁY_dane[[#This Row],[zespół]],tbl_ZESPOŁY_dane[GW],tbl_ZESPOŁY_dane[[#This Row],[GW]])</f>
        <v>19</v>
      </c>
      <c r="BC22" s="38">
        <f>SUMIFS(tbl_ZESPOŁY_dane[Q4],tbl_ZESPOŁY_dane[przeciwnik],tbl_ZESPOŁY_dane[[#This Row],[zespół]],tbl_ZESPOŁY_dane[GW],tbl_ZESPOŁY_dane[[#This Row],[GW]])</f>
        <v>21</v>
      </c>
      <c r="BD22" s="38">
        <f>tbl_ZESPOŁY_dane[[#This Row],[O1]]+tbl_ZESPOŁY_dane[[#This Row],[O2]]+tbl_ZESPOŁY_dane[[#This Row],[O3]]+tbl_ZESPOŁY_dane[[#This Row],[O4]]</f>
        <v>64</v>
      </c>
    </row>
    <row r="23" spans="1:56" x14ac:dyDescent="0.35">
      <c r="A23" s="32" t="s">
        <v>46</v>
      </c>
      <c r="B23" t="s">
        <v>19</v>
      </c>
      <c r="C23" t="s">
        <v>57</v>
      </c>
      <c r="D23" s="22" t="str">
        <f>IF(C23="H",VLOOKUP($A23,tab_nazwy_zespołów[],2,0)&amp;VLOOKUP($B23,tab_nazwy_zespołów[],2,0),VLOOKUP($B23,tab_nazwy_zespołów[],2,0)&amp;VLOOKUP($A23,tab_nazwy_zespołów[],2,0))</f>
        <v>BYPSTA</v>
      </c>
      <c r="E23">
        <v>4</v>
      </c>
      <c r="F23">
        <f>SUMIFS(tbl_główna_GRACZE[fgm],tbl_główna_GRACZE[zespół],tbl_ZESPOŁY_dane[[#This Row],[zespół]],tbl_główna_GRACZE['#mecz],tbl_ZESPOŁY_dane[[#This Row],['#mecz]])</f>
        <v>14</v>
      </c>
      <c r="G23">
        <f>SUMIFS(tbl_główna_GRACZE[fga],tbl_główna_GRACZE[zespół],tbl_ZESPOŁY_dane[[#This Row],[zespół]],tbl_główna_GRACZE['#mecz],tbl_ZESPOŁY_dane[[#This Row],['#mecz]])</f>
        <v>58</v>
      </c>
      <c r="H23">
        <f>SUMIFS(tbl_główna_GRACZE[3pm],tbl_główna_GRACZE[zespół],tbl_ZESPOŁY_dane[[#This Row],[zespół]],tbl_główna_GRACZE['#mecz],tbl_ZESPOŁY_dane[[#This Row],['#mecz]])</f>
        <v>1</v>
      </c>
      <c r="I23">
        <f>SUMIFS(tbl_główna_GRACZE[3pa],tbl_główna_GRACZE[zespół],tbl_ZESPOŁY_dane[[#This Row],[zespół]],tbl_główna_GRACZE['#mecz],tbl_ZESPOŁY_dane[[#This Row],['#mecz]])</f>
        <v>19</v>
      </c>
      <c r="J23">
        <f>SUMIFS(tbl_główna_GRACZE[ftm],tbl_główna_GRACZE[zespół],tbl_ZESPOŁY_dane[[#This Row],[zespół]],tbl_główna_GRACZE['#mecz],tbl_ZESPOŁY_dane[[#This Row],['#mecz]])</f>
        <v>7</v>
      </c>
      <c r="K23">
        <f>SUMIFS(tbl_główna_GRACZE[fta],tbl_główna_GRACZE[zespół],tbl_ZESPOŁY_dane[[#This Row],[zespół]],tbl_główna_GRACZE['#mecz],tbl_ZESPOŁY_dane[[#This Row],['#mecz]])</f>
        <v>14</v>
      </c>
      <c r="L23">
        <f>SUMIFS(tbl_główna_GRACZE[oreb],tbl_główna_GRACZE[zespół],tbl_ZESPOŁY_dane[[#This Row],[zespół]],tbl_główna_GRACZE['#mecz],tbl_ZESPOŁY_dane[[#This Row],['#mecz]])</f>
        <v>14</v>
      </c>
      <c r="M23">
        <f>SUMIFS(tbl_główna_GRACZE[dreb],tbl_główna_GRACZE[zespół],tbl_ZESPOŁY_dane[[#This Row],[zespół]],tbl_główna_GRACZE['#mecz],tbl_ZESPOŁY_dane[[#This Row],['#mecz]])</f>
        <v>29</v>
      </c>
      <c r="N23">
        <f>SUMIFS(tbl_główna_GRACZE[foul],tbl_główna_GRACZE[zespół],tbl_ZESPOŁY_dane[[#This Row],[zespół]],tbl_główna_GRACZE['#mecz],tbl_ZESPOŁY_dane[[#This Row],['#mecz]])</f>
        <v>11</v>
      </c>
      <c r="O23">
        <f>SUMIFS(tbl_główna_GRACZE[stl],tbl_główna_GRACZE[zespół],tbl_ZESPOŁY_dane[[#This Row],[zespół]],tbl_główna_GRACZE['#mecz],tbl_ZESPOŁY_dane[[#This Row],['#mecz]])</f>
        <v>6</v>
      </c>
      <c r="P23">
        <f>SUMIFS(tbl_główna_GRACZE[to],tbl_główna_GRACZE[zespół],tbl_ZESPOŁY_dane[[#This Row],[zespół]],tbl_główna_GRACZE['#mecz],tbl_ZESPOŁY_dane[[#This Row],['#mecz]])</f>
        <v>0</v>
      </c>
      <c r="Q23">
        <f>SUMIFS(tbl_główna_GRACZE[blk],tbl_główna_GRACZE[zespół],tbl_ZESPOŁY_dane[[#This Row],[zespół]],tbl_główna_GRACZE['#mecz],tbl_ZESPOŁY_dane[[#This Row],['#mecz]])</f>
        <v>6</v>
      </c>
      <c r="R23">
        <f>SUMIFS(tbl_główna_GRACZE[asst],tbl_główna_GRACZE[zespół],tbl_ZESPOŁY_dane[[#This Row],[zespół]],tbl_główna_GRACZE['#mecz],tbl_ZESPOŁY_dane[[#This Row],['#mecz]])</f>
        <v>10</v>
      </c>
      <c r="S23">
        <f>SUMIFS(tbl_główna_GRACZE[min],tbl_główna_GRACZE[zespół],tbl_ZESPOŁY_dane[[#This Row],[zespół]],tbl_główna_GRACZE['#mecz],tbl_ZESPOŁY_dane[[#This Row],['#mecz]])</f>
        <v>197</v>
      </c>
      <c r="T23">
        <f>SUMIFS(tbl_główna_GRACZE[pts],tbl_główna_GRACZE[zespół],tbl_ZESPOŁY_dane[[#This Row],[zespół]],tbl_główna_GRACZE['#mecz],tbl_ZESPOŁY_dane[[#This Row],['#mecz]])</f>
        <v>36</v>
      </c>
      <c r="U23">
        <f>tbl_ZESPOŁY_dane[[#This Row],[oreb]]+tbl_ZESPOŁY_dane[[#This Row],[dreb]]</f>
        <v>43</v>
      </c>
      <c r="V23" s="16">
        <f t="shared" ref="V23:V28" si="26">F23/G23</f>
        <v>0.2413793103448276</v>
      </c>
      <c r="W23" s="16">
        <f t="shared" ref="W23:W28" si="27">H23/I23</f>
        <v>5.2631578947368418E-2</v>
      </c>
      <c r="X23" s="16">
        <f t="shared" ref="X23:X28" si="28">IFERROR(J23/K23,"-")</f>
        <v>0.5</v>
      </c>
      <c r="Y23" s="16">
        <f t="shared" ref="Y23:Y28" si="29">T23/(2*(G23+0.44*K23))</f>
        <v>0.28054862842892769</v>
      </c>
      <c r="Z23" s="16">
        <f t="shared" ref="Z23:Z28" si="30">(F23+0.5*H23)/G23</f>
        <v>0.25</v>
      </c>
      <c r="AA23">
        <f>SUMIFS(tbl_główna_GRACZE[EVAL],tbl_główna_GRACZE[zespół],$A23,tbl_główna_GRACZE['#mecz],tbl_ZESPOŁY_dane[[#This Row],['#mecz]])</f>
        <v>50</v>
      </c>
      <c r="AB23" s="16">
        <f t="shared" ref="AB23:AB28" si="31">K23/G23</f>
        <v>0.2413793103448276</v>
      </c>
      <c r="AC23" s="16">
        <f t="shared" ref="AC23:AC28" si="32">I23/G23</f>
        <v>0.32758620689655171</v>
      </c>
      <c r="AD23" s="31">
        <f>tbl_ZESPOŁY_dane[[#This Row],[fga]]+0.44*tbl_ZESPOŁY_dane[[#This Row],[fta]]-tbl_ZESPOŁY_dane[[#This Row],[oreb]]</f>
        <v>50.16</v>
      </c>
      <c r="AE23" s="31">
        <f>SUMIFS(tbl_ZESPOŁY_dane[Poss],tbl_ZESPOŁY_dane['#mecz],tbl_ZESPOŁY_dane[[#This Row],['#mecz]])/2</f>
        <v>51.16</v>
      </c>
      <c r="AF23" s="31">
        <f>tbl_ZESPOŁY_dane[[#This Row],[pts]]/tbl_ZESPOŁY_dane[[#This Row],[Poss]]*100</f>
        <v>71.770334928229673</v>
      </c>
      <c r="AG23" s="31">
        <f>SUMIFS(tbl_ZESPOŁY_dane[Orating],tbl_ZESPOŁY_dane['#mecz],tbl_ZESPOŁY_dane[[#This Row],['#mecz]],tbl_ZESPOŁY_dane[zespół],tbl_ZESPOŁY_dane[[#This Row],[przeciwnik]])</f>
        <v>78.604294478527621</v>
      </c>
      <c r="AH23" s="6">
        <f>tbl_ZESPOŁY_dane[[#This Row],[Orating]]-tbl_ZESPOŁY_dane[[#This Row],[Drating]]</f>
        <v>-6.8339595502979478</v>
      </c>
      <c r="AI23" s="5">
        <f t="shared" ref="AI23:AI28" si="33">T23/G23</f>
        <v>0.62068965517241381</v>
      </c>
      <c r="AJ23" s="16">
        <f>tbl_ZESPOŁY_dane[[#This Row],[asst]]/tbl_ZESPOŁY_dane[[#This Row],[fgm]]</f>
        <v>0.7142857142857143</v>
      </c>
      <c r="AK23" s="31">
        <f>tbl_ZESPOŁY_dane[[#This Row],[asst]]/tbl_ZESPOŁY_dane[[#This Row],[Poss]]*100</f>
        <v>19.936204146730464</v>
      </c>
      <c r="AL23" s="23">
        <f>(tbl_ZESPOŁY_dane[[#This Row],[eFG%]]*0.7+tbl_ZESPOŁY_dane[[#This Row],[AST%]]*0.3)*100</f>
        <v>38.928571428571423</v>
      </c>
      <c r="AM23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0.33333333333333331</v>
      </c>
      <c r="AN23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0.61702127659574468</v>
      </c>
      <c r="AO23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0.48314606741573035</v>
      </c>
      <c r="AP23">
        <f>tbl_ZESPOŁY_dane[[#This Row],[reb total]]-SUMIFS(tbl_ZESPOŁY_dane[reb total],tbl_ZESPOŁY_dane[zespół],tbl_ZESPOŁY_dane[[#This Row],[przeciwnik]],tbl_ZESPOŁY_dane['#mecz],tbl_ZESPOŁY_dane[[#This Row],['#mecz]])</f>
        <v>-3</v>
      </c>
      <c r="AQ23" s="16">
        <f>tbl_ZESPOŁY_dane[[#This Row],[oreb]]/(tbl_ZESPOŁY_dane[[#This Row],[fga]]-tbl_ZESPOŁY_dane[[#This Row],[fgm]])</f>
        <v>0.31818181818181818</v>
      </c>
      <c r="AR23">
        <f>(tbl_ZESPOŁY_dane[[#This Row],[oreb]]*1.1)+(tbl_ZESPOŁY_dane[[#This Row],[dreb]]*0.3)</f>
        <v>24.1</v>
      </c>
      <c r="AS23">
        <f t="shared" ref="AS23:AS28" si="34">T23+0.4*F23-0.7*G23-0.4*(K23-J23)+0.7*L23+0.3*M23+O23+0.7*R23+0.7*Q23</f>
        <v>33.900000000000006</v>
      </c>
      <c r="AT23" s="16">
        <f>(tbl_ZESPOŁY_dane[[#This Row],[fgm]]-tbl_ZESPOŁY_dane[[#This Row],[3pm]])/(tbl_ZESPOŁY_dane[[#This Row],[fga]]-tbl_ZESPOŁY_dane[[#This Row],[3pa]])</f>
        <v>0.33333333333333331</v>
      </c>
      <c r="AU23">
        <f>IF(tbl_ZESPOŁY_dane[[#This Row],[pts]]&gt;0,1,0)</f>
        <v>1</v>
      </c>
      <c r="AV23">
        <v>11</v>
      </c>
      <c r="AW23">
        <v>6</v>
      </c>
      <c r="AX23">
        <v>8</v>
      </c>
      <c r="AY23">
        <v>11</v>
      </c>
      <c r="AZ23">
        <f>SUMIFS(tbl_ZESPOŁY_dane[Q1],tbl_ZESPOŁY_dane[przeciwnik],tbl_ZESPOŁY_dane[[#This Row],[zespół]],tbl_ZESPOŁY_dane[GW],tbl_ZESPOŁY_dane[[#This Row],[GW]])</f>
        <v>11</v>
      </c>
      <c r="BA23">
        <f>SUMIFS(tbl_ZESPOŁY_dane[Q2],tbl_ZESPOŁY_dane[przeciwnik],tbl_ZESPOŁY_dane[[#This Row],[zespół]],tbl_ZESPOŁY_dane[GW],tbl_ZESPOŁY_dane[[#This Row],[GW]])</f>
        <v>6</v>
      </c>
      <c r="BB23">
        <f>SUMIFS(tbl_ZESPOŁY_dane[Q3],tbl_ZESPOŁY_dane[przeciwnik],tbl_ZESPOŁY_dane[[#This Row],[zespół]],tbl_ZESPOŁY_dane[GW],tbl_ZESPOŁY_dane[[#This Row],[GW]])</f>
        <v>12</v>
      </c>
      <c r="BC23">
        <f>SUMIFS(tbl_ZESPOŁY_dane[Q4],tbl_ZESPOŁY_dane[przeciwnik],tbl_ZESPOŁY_dane[[#This Row],[zespół]],tbl_ZESPOŁY_dane[GW],tbl_ZESPOŁY_dane[[#This Row],[GW]])</f>
        <v>12</v>
      </c>
      <c r="BD23">
        <f>tbl_ZESPOŁY_dane[[#This Row],[O1]]+tbl_ZESPOŁY_dane[[#This Row],[O2]]+tbl_ZESPOŁY_dane[[#This Row],[O3]]+tbl_ZESPOŁY_dane[[#This Row],[O4]]</f>
        <v>41</v>
      </c>
    </row>
    <row r="24" spans="1:56" x14ac:dyDescent="0.35">
      <c r="A24" s="32" t="s">
        <v>19</v>
      </c>
      <c r="B24" t="s">
        <v>46</v>
      </c>
      <c r="C24" t="s">
        <v>58</v>
      </c>
      <c r="D24" s="15" t="str">
        <f>IF(C24="H",VLOOKUP($A24,tab_nazwy_zespołów[],2,0)&amp;VLOOKUP($B24,tab_nazwy_zespołów[],2,0),VLOOKUP($B24,tab_nazwy_zespołów[],2,0)&amp;VLOOKUP($A24,tab_nazwy_zespołów[],2,0))</f>
        <v>BYPSTA</v>
      </c>
      <c r="E24">
        <v>4</v>
      </c>
      <c r="F24">
        <f>SUMIFS(tbl_główna_GRACZE[fgm],tbl_główna_GRACZE[zespół],tbl_ZESPOŁY_dane[[#This Row],[zespół]],tbl_główna_GRACZE['#mecz],tbl_ZESPOŁY_dane[[#This Row],['#mecz]])</f>
        <v>14</v>
      </c>
      <c r="G24">
        <f>SUMIFS(tbl_główna_GRACZE[fga],tbl_główna_GRACZE[zespół],tbl_ZESPOŁY_dane[[#This Row],[zespół]],tbl_główna_GRACZE['#mecz],tbl_ZESPOŁY_dane[[#This Row],['#mecz]])</f>
        <v>64</v>
      </c>
      <c r="H24">
        <f>SUMIFS(tbl_główna_GRACZE[3pm],tbl_główna_GRACZE[zespół],tbl_ZESPOŁY_dane[[#This Row],[zespół]],tbl_główna_GRACZE['#mecz],tbl_ZESPOŁY_dane[[#This Row],['#mecz]])</f>
        <v>3</v>
      </c>
      <c r="I24">
        <f>SUMIFS(tbl_główna_GRACZE[3pa],tbl_główna_GRACZE[zespół],tbl_ZESPOŁY_dane[[#This Row],[zespół]],tbl_główna_GRACZE['#mecz],tbl_ZESPOŁY_dane[[#This Row],['#mecz]])</f>
        <v>16</v>
      </c>
      <c r="J24">
        <f>SUMIFS(tbl_główna_GRACZE[ftm],tbl_główna_GRACZE[zespół],tbl_ZESPOŁY_dane[[#This Row],[zespół]],tbl_główna_GRACZE['#mecz],tbl_ZESPOŁY_dane[[#This Row],['#mecz]])</f>
        <v>10</v>
      </c>
      <c r="K24">
        <f>SUMIFS(tbl_główna_GRACZE[fta],tbl_główna_GRACZE[zespół],tbl_ZESPOŁY_dane[[#This Row],[zespół]],tbl_główna_GRACZE['#mecz],tbl_ZESPOŁY_dane[[#This Row],['#mecz]])</f>
        <v>14</v>
      </c>
      <c r="L24">
        <f>SUMIFS(tbl_główna_GRACZE[oreb],tbl_główna_GRACZE[zespół],tbl_ZESPOŁY_dane[[#This Row],[zespół]],tbl_główna_GRACZE['#mecz],tbl_ZESPOŁY_dane[[#This Row],['#mecz]])</f>
        <v>18</v>
      </c>
      <c r="M24">
        <f>SUMIFS(tbl_główna_GRACZE[dreb],tbl_główna_GRACZE[zespół],tbl_ZESPOŁY_dane[[#This Row],[zespół]],tbl_główna_GRACZE['#mecz],tbl_ZESPOŁY_dane[[#This Row],['#mecz]])</f>
        <v>28</v>
      </c>
      <c r="N24">
        <f>SUMIFS(tbl_główna_GRACZE[foul],tbl_główna_GRACZE[zespół],tbl_ZESPOŁY_dane[[#This Row],[zespół]],tbl_główna_GRACZE['#mecz],tbl_ZESPOŁY_dane[[#This Row],['#mecz]])</f>
        <v>13</v>
      </c>
      <c r="O24">
        <f>SUMIFS(tbl_główna_GRACZE[stl],tbl_główna_GRACZE[zespół],tbl_ZESPOŁY_dane[[#This Row],[zespół]],tbl_główna_GRACZE['#mecz],tbl_ZESPOŁY_dane[[#This Row],['#mecz]])</f>
        <v>9</v>
      </c>
      <c r="P24">
        <f>SUMIFS(tbl_główna_GRACZE[to],tbl_główna_GRACZE[zespół],tbl_ZESPOŁY_dane[[#This Row],[zespół]],tbl_główna_GRACZE['#mecz],tbl_ZESPOŁY_dane[[#This Row],['#mecz]])</f>
        <v>0</v>
      </c>
      <c r="Q24">
        <f>SUMIFS(tbl_główna_GRACZE[blk],tbl_główna_GRACZE[zespół],tbl_ZESPOŁY_dane[[#This Row],[zespół]],tbl_główna_GRACZE['#mecz],tbl_ZESPOŁY_dane[[#This Row],['#mecz]])</f>
        <v>3</v>
      </c>
      <c r="R24">
        <f>SUMIFS(tbl_główna_GRACZE[asst],tbl_główna_GRACZE[zespół],tbl_ZESPOŁY_dane[[#This Row],[zespół]],tbl_główna_GRACZE['#mecz],tbl_ZESPOŁY_dane[[#This Row],['#mecz]])</f>
        <v>9</v>
      </c>
      <c r="S24">
        <f>SUMIFS(tbl_główna_GRACZE[min],tbl_główna_GRACZE[zespół],tbl_ZESPOŁY_dane[[#This Row],[zespół]],tbl_główna_GRACZE['#mecz],tbl_ZESPOŁY_dane[[#This Row],['#mecz]])</f>
        <v>194</v>
      </c>
      <c r="T24">
        <f>SUMIFS(tbl_główna_GRACZE[pts],tbl_główna_GRACZE[zespół],tbl_ZESPOŁY_dane[[#This Row],[zespół]],tbl_główna_GRACZE['#mecz],tbl_ZESPOŁY_dane[[#This Row],['#mecz]])</f>
        <v>41</v>
      </c>
      <c r="U24">
        <f>tbl_ZESPOŁY_dane[[#This Row],[oreb]]+tbl_ZESPOŁY_dane[[#This Row],[dreb]]</f>
        <v>46</v>
      </c>
      <c r="V24" s="16">
        <f t="shared" si="26"/>
        <v>0.21875</v>
      </c>
      <c r="W24" s="16">
        <f t="shared" si="27"/>
        <v>0.1875</v>
      </c>
      <c r="X24" s="17">
        <f t="shared" si="28"/>
        <v>0.7142857142857143</v>
      </c>
      <c r="Y24" s="17">
        <f t="shared" si="29"/>
        <v>0.29218928164196123</v>
      </c>
      <c r="Z24" s="17">
        <f t="shared" si="30"/>
        <v>0.2421875</v>
      </c>
      <c r="AA24">
        <f>SUMIFS(tbl_główna_GRACZE[EVAL],tbl_główna_GRACZE[zespół],$A24,tbl_główna_GRACZE['#mecz],tbl_ZESPOŁY_dane[[#This Row],['#mecz]])</f>
        <v>54</v>
      </c>
      <c r="AB24" s="17">
        <f t="shared" si="31"/>
        <v>0.21875</v>
      </c>
      <c r="AC24" s="17">
        <f t="shared" si="32"/>
        <v>0.25</v>
      </c>
      <c r="AD24" s="31">
        <f>tbl_ZESPOŁY_dane[[#This Row],[fga]]+0.44*tbl_ZESPOŁY_dane[[#This Row],[fta]]-tbl_ZESPOŁY_dane[[#This Row],[oreb]]</f>
        <v>52.16</v>
      </c>
      <c r="AE24" s="31">
        <f>SUMIFS(tbl_ZESPOŁY_dane[Poss],tbl_ZESPOŁY_dane['#mecz],tbl_ZESPOŁY_dane[[#This Row],['#mecz]])/2</f>
        <v>51.16</v>
      </c>
      <c r="AF24" s="31">
        <f>tbl_ZESPOŁY_dane[[#This Row],[pts]]/tbl_ZESPOŁY_dane[[#This Row],[Poss]]*100</f>
        <v>78.604294478527621</v>
      </c>
      <c r="AG24" s="31">
        <f>SUMIFS(tbl_ZESPOŁY_dane[Orating],tbl_ZESPOŁY_dane['#mecz],tbl_ZESPOŁY_dane[[#This Row],['#mecz]],tbl_ZESPOŁY_dane[zespół],tbl_ZESPOŁY_dane[[#This Row],[przeciwnik]])</f>
        <v>71.770334928229673</v>
      </c>
      <c r="AH24" s="6">
        <f>tbl_ZESPOŁY_dane[[#This Row],[Orating]]-tbl_ZESPOŁY_dane[[#This Row],[Drating]]</f>
        <v>6.8339595502979478</v>
      </c>
      <c r="AI24" s="18">
        <f t="shared" si="33"/>
        <v>0.640625</v>
      </c>
      <c r="AJ24" s="16">
        <f>tbl_ZESPOŁY_dane[[#This Row],[asst]]/tbl_ZESPOŁY_dane[[#This Row],[fgm]]</f>
        <v>0.6428571428571429</v>
      </c>
      <c r="AK24" s="31">
        <f>tbl_ZESPOŁY_dane[[#This Row],[asst]]/tbl_ZESPOŁY_dane[[#This Row],[Poss]]*100</f>
        <v>17.254601226993866</v>
      </c>
      <c r="AL24" s="19">
        <f>(tbl_ZESPOŁY_dane[[#This Row],[eFG%]]*0.7+tbl_ZESPOŁY_dane[[#This Row],[AST%]]*0.3)*100</f>
        <v>36.238839285714285</v>
      </c>
      <c r="AM24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0.38297872340425532</v>
      </c>
      <c r="AN24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0.66666666666666663</v>
      </c>
      <c r="AO24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0.5168539325842697</v>
      </c>
      <c r="AP24">
        <f>tbl_ZESPOŁY_dane[[#This Row],[reb total]]-SUMIFS(tbl_ZESPOŁY_dane[reb total],tbl_ZESPOŁY_dane[zespół],tbl_ZESPOŁY_dane[[#This Row],[przeciwnik]],tbl_ZESPOŁY_dane['#mecz],tbl_ZESPOŁY_dane[[#This Row],['#mecz]])</f>
        <v>3</v>
      </c>
      <c r="AQ24" s="16">
        <f>tbl_ZESPOŁY_dane[[#This Row],[oreb]]/(tbl_ZESPOŁY_dane[[#This Row],[fga]]-tbl_ZESPOŁY_dane[[#This Row],[fgm]])</f>
        <v>0.36</v>
      </c>
      <c r="AR24">
        <f>(tbl_ZESPOŁY_dane[[#This Row],[oreb]]*1.1)+(tbl_ZESPOŁY_dane[[#This Row],[dreb]]*0.3)</f>
        <v>28.200000000000003</v>
      </c>
      <c r="AS24">
        <f t="shared" si="34"/>
        <v>38.6</v>
      </c>
      <c r="AT24" s="16">
        <f>(tbl_ZESPOŁY_dane[[#This Row],[fgm]]-tbl_ZESPOŁY_dane[[#This Row],[3pm]])/(tbl_ZESPOŁY_dane[[#This Row],[fga]]-tbl_ZESPOŁY_dane[[#This Row],[3pa]])</f>
        <v>0.22916666666666666</v>
      </c>
      <c r="AU24">
        <f>IF(tbl_ZESPOŁY_dane[[#This Row],[pts]]&gt;0,1,0)</f>
        <v>1</v>
      </c>
      <c r="AV24">
        <v>11</v>
      </c>
      <c r="AW24">
        <v>6</v>
      </c>
      <c r="AX24">
        <v>12</v>
      </c>
      <c r="AY24">
        <v>12</v>
      </c>
      <c r="AZ24">
        <f>SUMIFS(tbl_ZESPOŁY_dane[Q1],tbl_ZESPOŁY_dane[przeciwnik],tbl_ZESPOŁY_dane[[#This Row],[zespół]],tbl_ZESPOŁY_dane[GW],tbl_ZESPOŁY_dane[[#This Row],[GW]])</f>
        <v>11</v>
      </c>
      <c r="BA24">
        <f>SUMIFS(tbl_ZESPOŁY_dane[Q2],tbl_ZESPOŁY_dane[przeciwnik],tbl_ZESPOŁY_dane[[#This Row],[zespół]],tbl_ZESPOŁY_dane[GW],tbl_ZESPOŁY_dane[[#This Row],[GW]])</f>
        <v>6</v>
      </c>
      <c r="BB24">
        <f>SUMIFS(tbl_ZESPOŁY_dane[Q3],tbl_ZESPOŁY_dane[przeciwnik],tbl_ZESPOŁY_dane[[#This Row],[zespół]],tbl_ZESPOŁY_dane[GW],tbl_ZESPOŁY_dane[[#This Row],[GW]])</f>
        <v>8</v>
      </c>
      <c r="BC24">
        <f>SUMIFS(tbl_ZESPOŁY_dane[Q4],tbl_ZESPOŁY_dane[przeciwnik],tbl_ZESPOŁY_dane[[#This Row],[zespół]],tbl_ZESPOŁY_dane[GW],tbl_ZESPOŁY_dane[[#This Row],[GW]])</f>
        <v>11</v>
      </c>
      <c r="BD24">
        <f>tbl_ZESPOŁY_dane[[#This Row],[O1]]+tbl_ZESPOŁY_dane[[#This Row],[O2]]+tbl_ZESPOŁY_dane[[#This Row],[O3]]+tbl_ZESPOŁY_dane[[#This Row],[O4]]</f>
        <v>36</v>
      </c>
    </row>
    <row r="25" spans="1:56" x14ac:dyDescent="0.35">
      <c r="A25" s="32" t="s">
        <v>48</v>
      </c>
      <c r="B25" t="s">
        <v>50</v>
      </c>
      <c r="C25" t="s">
        <v>57</v>
      </c>
      <c r="D25" s="15" t="str">
        <f>IF(C25="H",VLOOKUP($A25,tab_nazwy_zespołów[],2,0)&amp;VLOOKUP($B25,tab_nazwy_zespołów[],2,0),VLOOKUP($B25,tab_nazwy_zespołów[],2,0)&amp;VLOOKUP($A25,tab_nazwy_zespołów[],2,0))</f>
        <v>ŁODKON</v>
      </c>
      <c r="E25">
        <v>4</v>
      </c>
      <c r="F25">
        <f>SUMIFS(tbl_główna_GRACZE[fgm],tbl_główna_GRACZE[zespół],tbl_ZESPOŁY_dane[[#This Row],[zespół]],tbl_główna_GRACZE['#mecz],tbl_ZESPOŁY_dane[[#This Row],['#mecz]])</f>
        <v>22</v>
      </c>
      <c r="G25">
        <f>SUMIFS(tbl_główna_GRACZE[fga],tbl_główna_GRACZE[zespół],tbl_ZESPOŁY_dane[[#This Row],[zespół]],tbl_główna_GRACZE['#mecz],tbl_ZESPOŁY_dane[[#This Row],['#mecz]])</f>
        <v>85</v>
      </c>
      <c r="H25">
        <f>SUMIFS(tbl_główna_GRACZE[3pm],tbl_główna_GRACZE[zespół],tbl_ZESPOŁY_dane[[#This Row],[zespół]],tbl_główna_GRACZE['#mecz],tbl_ZESPOŁY_dane[[#This Row],['#mecz]])</f>
        <v>5</v>
      </c>
      <c r="I25">
        <f>SUMIFS(tbl_główna_GRACZE[3pa],tbl_główna_GRACZE[zespół],tbl_ZESPOŁY_dane[[#This Row],[zespół]],tbl_główna_GRACZE['#mecz],tbl_ZESPOŁY_dane[[#This Row],['#mecz]])</f>
        <v>28</v>
      </c>
      <c r="J25">
        <f>SUMIFS(tbl_główna_GRACZE[ftm],tbl_główna_GRACZE[zespół],tbl_ZESPOŁY_dane[[#This Row],[zespół]],tbl_główna_GRACZE['#mecz],tbl_ZESPOŁY_dane[[#This Row],['#mecz]])</f>
        <v>9</v>
      </c>
      <c r="K25">
        <f>SUMIFS(tbl_główna_GRACZE[fta],tbl_główna_GRACZE[zespół],tbl_ZESPOŁY_dane[[#This Row],[zespół]],tbl_główna_GRACZE['#mecz],tbl_ZESPOŁY_dane[[#This Row],['#mecz]])</f>
        <v>21</v>
      </c>
      <c r="L25">
        <f>SUMIFS(tbl_główna_GRACZE[oreb],tbl_główna_GRACZE[zespół],tbl_ZESPOŁY_dane[[#This Row],[zespół]],tbl_główna_GRACZE['#mecz],tbl_ZESPOŁY_dane[[#This Row],['#mecz]])</f>
        <v>17</v>
      </c>
      <c r="M25">
        <f>SUMIFS(tbl_główna_GRACZE[dreb],tbl_główna_GRACZE[zespół],tbl_ZESPOŁY_dane[[#This Row],[zespół]],tbl_główna_GRACZE['#mecz],tbl_ZESPOŁY_dane[[#This Row],['#mecz]])</f>
        <v>32</v>
      </c>
      <c r="N25">
        <f>SUMIFS(tbl_główna_GRACZE[foul],tbl_główna_GRACZE[zespół],tbl_ZESPOŁY_dane[[#This Row],[zespół]],tbl_główna_GRACZE['#mecz],tbl_ZESPOŁY_dane[[#This Row],['#mecz]])</f>
        <v>2</v>
      </c>
      <c r="O25">
        <f>SUMIFS(tbl_główna_GRACZE[stl],tbl_główna_GRACZE[zespół],tbl_ZESPOŁY_dane[[#This Row],[zespół]],tbl_główna_GRACZE['#mecz],tbl_ZESPOŁY_dane[[#This Row],['#mecz]])</f>
        <v>17</v>
      </c>
      <c r="P25">
        <f>SUMIFS(tbl_główna_GRACZE[to],tbl_główna_GRACZE[zespół],tbl_ZESPOŁY_dane[[#This Row],[zespół]],tbl_główna_GRACZE['#mecz],tbl_ZESPOŁY_dane[[#This Row],['#mecz]])</f>
        <v>0</v>
      </c>
      <c r="Q25">
        <f>SUMIFS(tbl_główna_GRACZE[blk],tbl_główna_GRACZE[zespół],tbl_ZESPOŁY_dane[[#This Row],[zespół]],tbl_główna_GRACZE['#mecz],tbl_ZESPOŁY_dane[[#This Row],['#mecz]])</f>
        <v>3</v>
      </c>
      <c r="R25">
        <f>SUMIFS(tbl_główna_GRACZE[asst],tbl_główna_GRACZE[zespół],tbl_ZESPOŁY_dane[[#This Row],[zespół]],tbl_główna_GRACZE['#mecz],tbl_ZESPOŁY_dane[[#This Row],['#mecz]])</f>
        <v>11</v>
      </c>
      <c r="S25">
        <f>SUMIFS(tbl_główna_GRACZE[min],tbl_główna_GRACZE[zespół],tbl_ZESPOŁY_dane[[#This Row],[zespół]],tbl_główna_GRACZE['#mecz],tbl_ZESPOŁY_dane[[#This Row],['#mecz]])</f>
        <v>198</v>
      </c>
      <c r="T25">
        <f>SUMIFS(tbl_główna_GRACZE[pts],tbl_główna_GRACZE[zespół],tbl_ZESPOŁY_dane[[#This Row],[zespół]],tbl_główna_GRACZE['#mecz],tbl_ZESPOŁY_dane[[#This Row],['#mecz]])</f>
        <v>58</v>
      </c>
      <c r="U25">
        <f>tbl_ZESPOŁY_dane[[#This Row],[oreb]]+tbl_ZESPOŁY_dane[[#This Row],[dreb]]</f>
        <v>49</v>
      </c>
      <c r="V25" s="16">
        <f t="shared" si="26"/>
        <v>0.25882352941176473</v>
      </c>
      <c r="W25" s="16">
        <f t="shared" si="27"/>
        <v>0.17857142857142858</v>
      </c>
      <c r="X25" s="17">
        <f t="shared" si="28"/>
        <v>0.42857142857142855</v>
      </c>
      <c r="Y25" s="17">
        <f t="shared" si="29"/>
        <v>0.30772495755517826</v>
      </c>
      <c r="Z25" s="17">
        <f t="shared" si="30"/>
        <v>0.28823529411764703</v>
      </c>
      <c r="AA25">
        <f>SUMIFS(tbl_główna_GRACZE[EVAL],tbl_główna_GRACZE[zespół],$A25,tbl_główna_GRACZE['#mecz],tbl_ZESPOŁY_dane[[#This Row],['#mecz]])</f>
        <v>63</v>
      </c>
      <c r="AB25" s="17">
        <f t="shared" si="31"/>
        <v>0.24705882352941178</v>
      </c>
      <c r="AC25" s="17">
        <f t="shared" si="32"/>
        <v>0.32941176470588235</v>
      </c>
      <c r="AD25" s="31">
        <f>tbl_ZESPOŁY_dane[[#This Row],[fga]]+0.44*tbl_ZESPOŁY_dane[[#This Row],[fta]]-tbl_ZESPOŁY_dane[[#This Row],[oreb]]</f>
        <v>77.239999999999995</v>
      </c>
      <c r="AE25" s="31">
        <f>SUMIFS(tbl_ZESPOŁY_dane[Poss],tbl_ZESPOŁY_dane['#mecz],tbl_ZESPOŁY_dane[[#This Row],['#mecz]])/2</f>
        <v>69.84</v>
      </c>
      <c r="AF25" s="31">
        <f>tbl_ZESPOŁY_dane[[#This Row],[pts]]/tbl_ZESPOŁY_dane[[#This Row],[Poss]]*100</f>
        <v>75.090626618332479</v>
      </c>
      <c r="AG25" s="31">
        <f>SUMIFS(tbl_ZESPOŁY_dane[Orating],tbl_ZESPOŁY_dane['#mecz],tbl_ZESPOŁY_dane[[#This Row],['#mecz]],tbl_ZESPOŁY_dane[zespół],tbl_ZESPOŁY_dane[[#This Row],[przeciwnik]])</f>
        <v>84.88148622677771</v>
      </c>
      <c r="AH25" s="6">
        <f>tbl_ZESPOŁY_dane[[#This Row],[Orating]]-tbl_ZESPOŁY_dane[[#This Row],[Drating]]</f>
        <v>-9.7908596084452313</v>
      </c>
      <c r="AI25" s="18">
        <f t="shared" si="33"/>
        <v>0.68235294117647061</v>
      </c>
      <c r="AJ25" s="16">
        <f>tbl_ZESPOŁY_dane[[#This Row],[asst]]/tbl_ZESPOŁY_dane[[#This Row],[fgm]]</f>
        <v>0.5</v>
      </c>
      <c r="AK25" s="31">
        <f>tbl_ZESPOŁY_dane[[#This Row],[asst]]/tbl_ZESPOŁY_dane[[#This Row],[Poss]]*100</f>
        <v>14.241325737959606</v>
      </c>
      <c r="AL25" s="19">
        <f>(tbl_ZESPOŁY_dane[[#This Row],[eFG%]]*0.7+tbl_ZESPOŁY_dane[[#This Row],[AST%]]*0.3)*100</f>
        <v>35.17647058823529</v>
      </c>
      <c r="AM25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0.28813559322033899</v>
      </c>
      <c r="AN25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0.78048780487804881</v>
      </c>
      <c r="AO25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0.49</v>
      </c>
      <c r="AP25">
        <f>tbl_ZESPOŁY_dane[[#This Row],[reb total]]-SUMIFS(tbl_ZESPOŁY_dane[reb total],tbl_ZESPOŁY_dane[zespół],tbl_ZESPOŁY_dane[[#This Row],[przeciwnik]],tbl_ZESPOŁY_dane['#mecz],tbl_ZESPOŁY_dane[[#This Row],['#mecz]])</f>
        <v>-2</v>
      </c>
      <c r="AQ25" s="16">
        <f>tbl_ZESPOŁY_dane[[#This Row],[oreb]]/(tbl_ZESPOŁY_dane[[#This Row],[fga]]-tbl_ZESPOŁY_dane[[#This Row],[fgm]])</f>
        <v>0.26984126984126983</v>
      </c>
      <c r="AR25">
        <f>(tbl_ZESPOŁY_dane[[#This Row],[oreb]]*1.1)+(tbl_ZESPOŁY_dane[[#This Row],[dreb]]*0.3)</f>
        <v>28.300000000000004</v>
      </c>
      <c r="AS25">
        <f t="shared" si="34"/>
        <v>50.800000000000004</v>
      </c>
      <c r="AT25" s="16">
        <f>(tbl_ZESPOŁY_dane[[#This Row],[fgm]]-tbl_ZESPOŁY_dane[[#This Row],[3pm]])/(tbl_ZESPOŁY_dane[[#This Row],[fga]]-tbl_ZESPOŁY_dane[[#This Row],[3pa]])</f>
        <v>0.2982456140350877</v>
      </c>
      <c r="AU25">
        <f>IF(tbl_ZESPOŁY_dane[[#This Row],[pts]]&gt;0,1,0)</f>
        <v>1</v>
      </c>
      <c r="AV25">
        <v>13</v>
      </c>
      <c r="AW25">
        <v>16</v>
      </c>
      <c r="AX25">
        <v>10</v>
      </c>
      <c r="AY25">
        <v>19</v>
      </c>
      <c r="AZ25">
        <f>SUMIFS(tbl_ZESPOŁY_dane[Q1],tbl_ZESPOŁY_dane[przeciwnik],tbl_ZESPOŁY_dane[[#This Row],[zespół]],tbl_ZESPOŁY_dane[GW],tbl_ZESPOŁY_dane[[#This Row],[GW]])</f>
        <v>13</v>
      </c>
      <c r="BA25">
        <f>SUMIFS(tbl_ZESPOŁY_dane[Q2],tbl_ZESPOŁY_dane[przeciwnik],tbl_ZESPOŁY_dane[[#This Row],[zespół]],tbl_ZESPOŁY_dane[GW],tbl_ZESPOŁY_dane[[#This Row],[GW]])</f>
        <v>18</v>
      </c>
      <c r="BB25">
        <f>SUMIFS(tbl_ZESPOŁY_dane[Q3],tbl_ZESPOŁY_dane[przeciwnik],tbl_ZESPOŁY_dane[[#This Row],[zespół]],tbl_ZESPOŁY_dane[GW],tbl_ZESPOŁY_dane[[#This Row],[GW]])</f>
        <v>3</v>
      </c>
      <c r="BC25">
        <f>SUMIFS(tbl_ZESPOŁY_dane[Q4],tbl_ZESPOŁY_dane[przeciwnik],tbl_ZESPOŁY_dane[[#This Row],[zespół]],tbl_ZESPOŁY_dane[GW],tbl_ZESPOŁY_dane[[#This Row],[GW]])</f>
        <v>19</v>
      </c>
      <c r="BD25">
        <f>tbl_ZESPOŁY_dane[[#This Row],[O1]]+tbl_ZESPOŁY_dane[[#This Row],[O2]]+tbl_ZESPOŁY_dane[[#This Row],[O3]]+tbl_ZESPOŁY_dane[[#This Row],[O4]]</f>
        <v>53</v>
      </c>
    </row>
    <row r="26" spans="1:56" x14ac:dyDescent="0.35">
      <c r="A26" s="32" t="s">
        <v>50</v>
      </c>
      <c r="B26" t="s">
        <v>48</v>
      </c>
      <c r="C26" t="s">
        <v>58</v>
      </c>
      <c r="D26" s="15" t="str">
        <f>IF(C26="H",VLOOKUP($A26,tab_nazwy_zespołów[],2,0)&amp;VLOOKUP($B26,tab_nazwy_zespołów[],2,0),VLOOKUP($B26,tab_nazwy_zespołów[],2,0)&amp;VLOOKUP($A26,tab_nazwy_zespołów[],2,0))</f>
        <v>ŁODKON</v>
      </c>
      <c r="E26">
        <v>4</v>
      </c>
      <c r="F26">
        <f>SUMIFS(tbl_główna_GRACZE[fgm],tbl_główna_GRACZE[zespół],tbl_ZESPOŁY_dane[[#This Row],[zespół]],tbl_główna_GRACZE['#mecz],tbl_ZESPOŁY_dane[[#This Row],['#mecz]])</f>
        <v>20</v>
      </c>
      <c r="G26">
        <f>SUMIFS(tbl_główna_GRACZE[fga],tbl_główna_GRACZE[zespół],tbl_ZESPOŁY_dane[[#This Row],[zespół]],tbl_główna_GRACZE['#mecz],tbl_ZESPOŁY_dane[[#This Row],['#mecz]])</f>
        <v>71</v>
      </c>
      <c r="H26">
        <f>SUMIFS(tbl_główna_GRACZE[3pm],tbl_główna_GRACZE[zespół],tbl_ZESPOŁY_dane[[#This Row],[zespół]],tbl_główna_GRACZE['#mecz],tbl_ZESPOŁY_dane[[#This Row],['#mecz]])</f>
        <v>12</v>
      </c>
      <c r="I26">
        <f>SUMIFS(tbl_główna_GRACZE[3pa],tbl_główna_GRACZE[zespół],tbl_ZESPOŁY_dane[[#This Row],[zespół]],tbl_główna_GRACZE['#mecz],tbl_ZESPOŁY_dane[[#This Row],['#mecz]])</f>
        <v>41</v>
      </c>
      <c r="J26">
        <f>SUMIFS(tbl_główna_GRACZE[ftm],tbl_główna_GRACZE[zespół],tbl_ZESPOŁY_dane[[#This Row],[zespół]],tbl_główna_GRACZE['#mecz],tbl_ZESPOŁY_dane[[#This Row],['#mecz]])</f>
        <v>1</v>
      </c>
      <c r="K26">
        <f>SUMIFS(tbl_główna_GRACZE[fta],tbl_główna_GRACZE[zespół],tbl_ZESPOŁY_dane[[#This Row],[zespół]],tbl_główna_GRACZE['#mecz],tbl_ZESPOŁY_dane[[#This Row],['#mecz]])</f>
        <v>1</v>
      </c>
      <c r="L26">
        <f>SUMIFS(tbl_główna_GRACZE[oreb],tbl_główna_GRACZE[zespół],tbl_ZESPOŁY_dane[[#This Row],[zespół]],tbl_główna_GRACZE['#mecz],tbl_ZESPOŁY_dane[[#This Row],['#mecz]])</f>
        <v>9</v>
      </c>
      <c r="M26">
        <f>SUMIFS(tbl_główna_GRACZE[dreb],tbl_główna_GRACZE[zespół],tbl_ZESPOŁY_dane[[#This Row],[zespół]],tbl_główna_GRACZE['#mecz],tbl_ZESPOŁY_dane[[#This Row],['#mecz]])</f>
        <v>42</v>
      </c>
      <c r="N26">
        <f>SUMIFS(tbl_główna_GRACZE[foul],tbl_główna_GRACZE[zespół],tbl_ZESPOŁY_dane[[#This Row],[zespół]],tbl_główna_GRACZE['#mecz],tbl_ZESPOŁY_dane[[#This Row],['#mecz]])</f>
        <v>11</v>
      </c>
      <c r="O26">
        <f>SUMIFS(tbl_główna_GRACZE[stl],tbl_główna_GRACZE[zespół],tbl_ZESPOŁY_dane[[#This Row],[zespół]],tbl_główna_GRACZE['#mecz],tbl_ZESPOŁY_dane[[#This Row],['#mecz]])</f>
        <v>5</v>
      </c>
      <c r="P26">
        <f>SUMIFS(tbl_główna_GRACZE[to],tbl_główna_GRACZE[zespół],tbl_ZESPOŁY_dane[[#This Row],[zespół]],tbl_główna_GRACZE['#mecz],tbl_ZESPOŁY_dane[[#This Row],['#mecz]])</f>
        <v>0</v>
      </c>
      <c r="Q26">
        <f>SUMIFS(tbl_główna_GRACZE[blk],tbl_główna_GRACZE[zespół],tbl_ZESPOŁY_dane[[#This Row],[zespół]],tbl_główna_GRACZE['#mecz],tbl_ZESPOŁY_dane[[#This Row],['#mecz]])</f>
        <v>6</v>
      </c>
      <c r="R26">
        <f>SUMIFS(tbl_główna_GRACZE[asst],tbl_główna_GRACZE[zespół],tbl_ZESPOŁY_dane[[#This Row],[zespół]],tbl_główna_GRACZE['#mecz],tbl_ZESPOŁY_dane[[#This Row],['#mecz]])</f>
        <v>11</v>
      </c>
      <c r="S26">
        <f>SUMIFS(tbl_główna_GRACZE[min],tbl_główna_GRACZE[zespół],tbl_ZESPOŁY_dane[[#This Row],[zespół]],tbl_główna_GRACZE['#mecz],tbl_ZESPOŁY_dane[[#This Row],['#mecz]])</f>
        <v>200</v>
      </c>
      <c r="T26">
        <f>SUMIFS(tbl_główna_GRACZE[pts],tbl_główna_GRACZE[zespół],tbl_ZESPOŁY_dane[[#This Row],[zespół]],tbl_główna_GRACZE['#mecz],tbl_ZESPOŁY_dane[[#This Row],['#mecz]])</f>
        <v>53</v>
      </c>
      <c r="U26">
        <f>tbl_ZESPOŁY_dane[[#This Row],[oreb]]+tbl_ZESPOŁY_dane[[#This Row],[dreb]]</f>
        <v>51</v>
      </c>
      <c r="V26" s="16">
        <f t="shared" si="26"/>
        <v>0.28169014084507044</v>
      </c>
      <c r="W26" s="16">
        <f t="shared" si="27"/>
        <v>0.29268292682926828</v>
      </c>
      <c r="X26" s="17">
        <f t="shared" si="28"/>
        <v>1</v>
      </c>
      <c r="Y26" s="17">
        <f t="shared" si="29"/>
        <v>0.37094064949608063</v>
      </c>
      <c r="Z26" s="17">
        <f t="shared" si="30"/>
        <v>0.36619718309859156</v>
      </c>
      <c r="AA26">
        <f>SUMIFS(tbl_główna_GRACZE[EVAL],tbl_główna_GRACZE[zespół],$A26,tbl_główna_GRACZE['#mecz],tbl_ZESPOŁY_dane[[#This Row],['#mecz]])</f>
        <v>75</v>
      </c>
      <c r="AB26" s="17">
        <f t="shared" si="31"/>
        <v>1.4084507042253521E-2</v>
      </c>
      <c r="AC26" s="17">
        <f t="shared" si="32"/>
        <v>0.57746478873239437</v>
      </c>
      <c r="AD26" s="31">
        <f>tbl_ZESPOŁY_dane[[#This Row],[fga]]+0.44*tbl_ZESPOŁY_dane[[#This Row],[fta]]-tbl_ZESPOŁY_dane[[#This Row],[oreb]]</f>
        <v>62.44</v>
      </c>
      <c r="AE26" s="31">
        <f>SUMIFS(tbl_ZESPOŁY_dane[Poss],tbl_ZESPOŁY_dane['#mecz],tbl_ZESPOŁY_dane[[#This Row],['#mecz]])/2</f>
        <v>69.84</v>
      </c>
      <c r="AF26" s="31">
        <f>tbl_ZESPOŁY_dane[[#This Row],[pts]]/tbl_ZESPOŁY_dane[[#This Row],[Poss]]*100</f>
        <v>84.88148622677771</v>
      </c>
      <c r="AG26" s="31">
        <f>SUMIFS(tbl_ZESPOŁY_dane[Orating],tbl_ZESPOŁY_dane['#mecz],tbl_ZESPOŁY_dane[[#This Row],['#mecz]],tbl_ZESPOŁY_dane[zespół],tbl_ZESPOŁY_dane[[#This Row],[przeciwnik]])</f>
        <v>75.090626618332479</v>
      </c>
      <c r="AH26" s="6">
        <f>tbl_ZESPOŁY_dane[[#This Row],[Orating]]-tbl_ZESPOŁY_dane[[#This Row],[Drating]]</f>
        <v>9.7908596084452313</v>
      </c>
      <c r="AI26" s="18">
        <f t="shared" si="33"/>
        <v>0.74647887323943662</v>
      </c>
      <c r="AJ26" s="16">
        <f>tbl_ZESPOŁY_dane[[#This Row],[asst]]/tbl_ZESPOŁY_dane[[#This Row],[fgm]]</f>
        <v>0.55000000000000004</v>
      </c>
      <c r="AK26" s="31">
        <f>tbl_ZESPOŁY_dane[[#This Row],[asst]]/tbl_ZESPOŁY_dane[[#This Row],[Poss]]*100</f>
        <v>17.616912235746319</v>
      </c>
      <c r="AL26" s="19">
        <f>(tbl_ZESPOŁY_dane[[#This Row],[eFG%]]*0.7+tbl_ZESPOŁY_dane[[#This Row],[AST%]]*0.3)*100</f>
        <v>42.133802816901408</v>
      </c>
      <c r="AM26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0.21951219512195122</v>
      </c>
      <c r="AN26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0.71186440677966101</v>
      </c>
      <c r="AO26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0.51</v>
      </c>
      <c r="AP26">
        <f>tbl_ZESPOŁY_dane[[#This Row],[reb total]]-SUMIFS(tbl_ZESPOŁY_dane[reb total],tbl_ZESPOŁY_dane[zespół],tbl_ZESPOŁY_dane[[#This Row],[przeciwnik]],tbl_ZESPOŁY_dane['#mecz],tbl_ZESPOŁY_dane[[#This Row],['#mecz]])</f>
        <v>2</v>
      </c>
      <c r="AQ26" s="16">
        <f>tbl_ZESPOŁY_dane[[#This Row],[oreb]]/(tbl_ZESPOŁY_dane[[#This Row],[fga]]-tbl_ZESPOŁY_dane[[#This Row],[fgm]])</f>
        <v>0.17647058823529413</v>
      </c>
      <c r="AR26">
        <f>(tbl_ZESPOŁY_dane[[#This Row],[oreb]]*1.1)+(tbl_ZESPOŁY_dane[[#This Row],[dreb]]*0.3)</f>
        <v>22.5</v>
      </c>
      <c r="AS26">
        <f t="shared" si="34"/>
        <v>47.100000000000009</v>
      </c>
      <c r="AT26" s="16">
        <f>(tbl_ZESPOŁY_dane[[#This Row],[fgm]]-tbl_ZESPOŁY_dane[[#This Row],[3pm]])/(tbl_ZESPOŁY_dane[[#This Row],[fga]]-tbl_ZESPOŁY_dane[[#This Row],[3pa]])</f>
        <v>0.26666666666666666</v>
      </c>
      <c r="AU26">
        <f>IF(tbl_ZESPOŁY_dane[[#This Row],[pts]]&gt;0,1,0)</f>
        <v>1</v>
      </c>
      <c r="AV26">
        <v>13</v>
      </c>
      <c r="AW26">
        <v>18</v>
      </c>
      <c r="AX26">
        <v>3</v>
      </c>
      <c r="AY26">
        <v>19</v>
      </c>
      <c r="AZ26">
        <f>SUMIFS(tbl_ZESPOŁY_dane[Q1],tbl_ZESPOŁY_dane[przeciwnik],tbl_ZESPOŁY_dane[[#This Row],[zespół]],tbl_ZESPOŁY_dane[GW],tbl_ZESPOŁY_dane[[#This Row],[GW]])</f>
        <v>13</v>
      </c>
      <c r="BA26">
        <f>SUMIFS(tbl_ZESPOŁY_dane[Q2],tbl_ZESPOŁY_dane[przeciwnik],tbl_ZESPOŁY_dane[[#This Row],[zespół]],tbl_ZESPOŁY_dane[GW],tbl_ZESPOŁY_dane[[#This Row],[GW]])</f>
        <v>16</v>
      </c>
      <c r="BB26">
        <f>SUMIFS(tbl_ZESPOŁY_dane[Q3],tbl_ZESPOŁY_dane[przeciwnik],tbl_ZESPOŁY_dane[[#This Row],[zespół]],tbl_ZESPOŁY_dane[GW],tbl_ZESPOŁY_dane[[#This Row],[GW]])</f>
        <v>10</v>
      </c>
      <c r="BC26">
        <f>SUMIFS(tbl_ZESPOŁY_dane[Q4],tbl_ZESPOŁY_dane[przeciwnik],tbl_ZESPOŁY_dane[[#This Row],[zespół]],tbl_ZESPOŁY_dane[GW],tbl_ZESPOŁY_dane[[#This Row],[GW]])</f>
        <v>19</v>
      </c>
      <c r="BD26">
        <f>tbl_ZESPOŁY_dane[[#This Row],[O1]]+tbl_ZESPOŁY_dane[[#This Row],[O2]]+tbl_ZESPOŁY_dane[[#This Row],[O3]]+tbl_ZESPOŁY_dane[[#This Row],[O4]]</f>
        <v>58</v>
      </c>
    </row>
    <row r="27" spans="1:56" x14ac:dyDescent="0.35">
      <c r="A27" s="32" t="s">
        <v>52</v>
      </c>
      <c r="B27" t="s">
        <v>25</v>
      </c>
      <c r="C27" t="s">
        <v>57</v>
      </c>
      <c r="D27" s="15" t="str">
        <f>IF(C27="H",VLOOKUP($A27,tab_nazwy_zespołów[],2,0)&amp;VLOOKUP($B27,tab_nazwy_zespołów[],2,0),VLOOKUP($B27,tab_nazwy_zespołów[],2,0)&amp;VLOOKUP($A27,tab_nazwy_zespołów[],2,0))</f>
        <v>WILHUT</v>
      </c>
      <c r="E27">
        <v>4</v>
      </c>
      <c r="F27">
        <f>SUMIFS(tbl_główna_GRACZE[fgm],tbl_główna_GRACZE[zespół],tbl_ZESPOŁY_dane[[#This Row],[zespół]],tbl_główna_GRACZE['#mecz],tbl_ZESPOŁY_dane[[#This Row],['#mecz]])</f>
        <v>32</v>
      </c>
      <c r="G27">
        <f>SUMIFS(tbl_główna_GRACZE[fga],tbl_główna_GRACZE[zespół],tbl_ZESPOŁY_dane[[#This Row],[zespół]],tbl_główna_GRACZE['#mecz],tbl_ZESPOŁY_dane[[#This Row],['#mecz]])</f>
        <v>80</v>
      </c>
      <c r="H27">
        <f>SUMIFS(tbl_główna_GRACZE[3pm],tbl_główna_GRACZE[zespół],tbl_ZESPOŁY_dane[[#This Row],[zespół]],tbl_główna_GRACZE['#mecz],tbl_ZESPOŁY_dane[[#This Row],['#mecz]])</f>
        <v>4</v>
      </c>
      <c r="I27">
        <f>SUMIFS(tbl_główna_GRACZE[3pa],tbl_główna_GRACZE[zespół],tbl_ZESPOŁY_dane[[#This Row],[zespół]],tbl_główna_GRACZE['#mecz],tbl_ZESPOŁY_dane[[#This Row],['#mecz]])</f>
        <v>15</v>
      </c>
      <c r="J27">
        <f>SUMIFS(tbl_główna_GRACZE[ftm],tbl_główna_GRACZE[zespół],tbl_ZESPOŁY_dane[[#This Row],[zespół]],tbl_główna_GRACZE['#mecz],tbl_ZESPOŁY_dane[[#This Row],['#mecz]])</f>
        <v>3</v>
      </c>
      <c r="K27">
        <f>SUMIFS(tbl_główna_GRACZE[fta],tbl_główna_GRACZE[zespół],tbl_ZESPOŁY_dane[[#This Row],[zespół]],tbl_główna_GRACZE['#mecz],tbl_ZESPOŁY_dane[[#This Row],['#mecz]])</f>
        <v>5</v>
      </c>
      <c r="L27">
        <f>SUMIFS(tbl_główna_GRACZE[oreb],tbl_główna_GRACZE[zespół],tbl_ZESPOŁY_dane[[#This Row],[zespół]],tbl_główna_GRACZE['#mecz],tbl_ZESPOŁY_dane[[#This Row],['#mecz]])</f>
        <v>16</v>
      </c>
      <c r="M27">
        <f>SUMIFS(tbl_główna_GRACZE[dreb],tbl_główna_GRACZE[zespół],tbl_ZESPOŁY_dane[[#This Row],[zespół]],tbl_główna_GRACZE['#mecz],tbl_ZESPOŁY_dane[[#This Row],['#mecz]])</f>
        <v>33</v>
      </c>
      <c r="N27">
        <f>SUMIFS(tbl_główna_GRACZE[foul],tbl_główna_GRACZE[zespół],tbl_ZESPOŁY_dane[[#This Row],[zespół]],tbl_główna_GRACZE['#mecz],tbl_ZESPOŁY_dane[[#This Row],['#mecz]])</f>
        <v>7</v>
      </c>
      <c r="O27">
        <f>SUMIFS(tbl_główna_GRACZE[stl],tbl_główna_GRACZE[zespół],tbl_ZESPOŁY_dane[[#This Row],[zespół]],tbl_główna_GRACZE['#mecz],tbl_ZESPOŁY_dane[[#This Row],['#mecz]])</f>
        <v>12</v>
      </c>
      <c r="P27">
        <f>SUMIFS(tbl_główna_GRACZE[to],tbl_główna_GRACZE[zespół],tbl_ZESPOŁY_dane[[#This Row],[zespół]],tbl_główna_GRACZE['#mecz],tbl_ZESPOŁY_dane[[#This Row],['#mecz]])</f>
        <v>0</v>
      </c>
      <c r="Q27">
        <f>SUMIFS(tbl_główna_GRACZE[blk],tbl_główna_GRACZE[zespół],tbl_ZESPOŁY_dane[[#This Row],[zespół]],tbl_główna_GRACZE['#mecz],tbl_ZESPOŁY_dane[[#This Row],['#mecz]])</f>
        <v>2</v>
      </c>
      <c r="R27">
        <f>SUMIFS(tbl_główna_GRACZE[asst],tbl_główna_GRACZE[zespół],tbl_ZESPOŁY_dane[[#This Row],[zespół]],tbl_główna_GRACZE['#mecz],tbl_ZESPOŁY_dane[[#This Row],['#mecz]])</f>
        <v>18</v>
      </c>
      <c r="S27">
        <f>SUMIFS(tbl_główna_GRACZE[min],tbl_główna_GRACZE[zespół],tbl_ZESPOŁY_dane[[#This Row],[zespół]],tbl_główna_GRACZE['#mecz],tbl_ZESPOŁY_dane[[#This Row],['#mecz]])</f>
        <v>196</v>
      </c>
      <c r="T27">
        <f>SUMIFS(tbl_główna_GRACZE[pts],tbl_główna_GRACZE[zespół],tbl_ZESPOŁY_dane[[#This Row],[zespół]],tbl_główna_GRACZE['#mecz],tbl_ZESPOŁY_dane[[#This Row],['#mecz]])</f>
        <v>71</v>
      </c>
      <c r="U27">
        <f>tbl_ZESPOŁY_dane[[#This Row],[oreb]]+tbl_ZESPOŁY_dane[[#This Row],[dreb]]</f>
        <v>49</v>
      </c>
      <c r="V27" s="16">
        <f t="shared" si="26"/>
        <v>0.4</v>
      </c>
      <c r="W27" s="16">
        <f t="shared" si="27"/>
        <v>0.26666666666666666</v>
      </c>
      <c r="X27" s="17">
        <f t="shared" si="28"/>
        <v>0.6</v>
      </c>
      <c r="Y27" s="17">
        <f t="shared" si="29"/>
        <v>0.43187347931873477</v>
      </c>
      <c r="Z27" s="17">
        <f t="shared" si="30"/>
        <v>0.42499999999999999</v>
      </c>
      <c r="AA27">
        <f>SUMIFS(tbl_główna_GRACZE[EVAL],tbl_główna_GRACZE[zespół],$A27,tbl_główna_GRACZE['#mecz],tbl_ZESPOŁY_dane[[#This Row],['#mecz]])</f>
        <v>102</v>
      </c>
      <c r="AB27" s="17">
        <f t="shared" si="31"/>
        <v>6.25E-2</v>
      </c>
      <c r="AC27" s="17">
        <f t="shared" si="32"/>
        <v>0.1875</v>
      </c>
      <c r="AD27" s="31">
        <f>tbl_ZESPOŁY_dane[[#This Row],[fga]]+0.44*tbl_ZESPOŁY_dane[[#This Row],[fta]]-tbl_ZESPOŁY_dane[[#This Row],[oreb]]</f>
        <v>66.2</v>
      </c>
      <c r="AE27" s="31">
        <f>SUMIFS(tbl_ZESPOŁY_dane[Poss],tbl_ZESPOŁY_dane['#mecz],tbl_ZESPOŁY_dane[[#This Row],['#mecz]])/2</f>
        <v>60.92</v>
      </c>
      <c r="AF27" s="31">
        <f>tbl_ZESPOŁY_dane[[#This Row],[pts]]/tbl_ZESPOŁY_dane[[#This Row],[Poss]]*100</f>
        <v>107.25075528700907</v>
      </c>
      <c r="AG27" s="31">
        <f>SUMIFS(tbl_ZESPOŁY_dane[Orating],tbl_ZESPOŁY_dane['#mecz],tbl_ZESPOŁY_dane[[#This Row],['#mecz]],tbl_ZESPOŁY_dane[zespół],tbl_ZESPOŁY_dane[[#This Row],[przeciwnik]])</f>
        <v>89.863407620416965</v>
      </c>
      <c r="AH27" s="6">
        <f>tbl_ZESPOŁY_dane[[#This Row],[Orating]]-tbl_ZESPOŁY_dane[[#This Row],[Drating]]</f>
        <v>17.387347666592106</v>
      </c>
      <c r="AI27" s="18">
        <f t="shared" si="33"/>
        <v>0.88749999999999996</v>
      </c>
      <c r="AJ27" s="16">
        <f>tbl_ZESPOŁY_dane[[#This Row],[asst]]/tbl_ZESPOŁY_dane[[#This Row],[fgm]]</f>
        <v>0.5625</v>
      </c>
      <c r="AK27" s="31">
        <f>tbl_ZESPOŁY_dane[[#This Row],[asst]]/tbl_ZESPOŁY_dane[[#This Row],[Poss]]*100</f>
        <v>27.19033232628399</v>
      </c>
      <c r="AL27" s="19">
        <f>(tbl_ZESPOŁY_dane[[#This Row],[eFG%]]*0.7+tbl_ZESPOŁY_dane[[#This Row],[AST%]]*0.3)*100</f>
        <v>46.624999999999993</v>
      </c>
      <c r="AM27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0.34042553191489361</v>
      </c>
      <c r="AN27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0.7021276595744681</v>
      </c>
      <c r="AO27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0.52127659574468088</v>
      </c>
      <c r="AP27">
        <f>tbl_ZESPOŁY_dane[[#This Row],[reb total]]-SUMIFS(tbl_ZESPOŁY_dane[reb total],tbl_ZESPOŁY_dane[zespół],tbl_ZESPOŁY_dane[[#This Row],[przeciwnik]],tbl_ZESPOŁY_dane['#mecz],tbl_ZESPOŁY_dane[[#This Row],['#mecz]])</f>
        <v>4</v>
      </c>
      <c r="AQ27" s="16">
        <f>tbl_ZESPOŁY_dane[[#This Row],[oreb]]/(tbl_ZESPOŁY_dane[[#This Row],[fga]]-tbl_ZESPOŁY_dane[[#This Row],[fgm]])</f>
        <v>0.33333333333333331</v>
      </c>
      <c r="AR27">
        <f>(tbl_ZESPOŁY_dane[[#This Row],[oreb]]*1.1)+(tbl_ZESPOŁY_dane[[#This Row],[dreb]]*0.3)</f>
        <v>27.5</v>
      </c>
      <c r="AS27">
        <f t="shared" si="34"/>
        <v>74.099999999999994</v>
      </c>
      <c r="AT27" s="16">
        <f>(tbl_ZESPOŁY_dane[[#This Row],[fgm]]-tbl_ZESPOŁY_dane[[#This Row],[3pm]])/(tbl_ZESPOŁY_dane[[#This Row],[fga]]-tbl_ZESPOŁY_dane[[#This Row],[3pa]])</f>
        <v>0.43076923076923079</v>
      </c>
      <c r="AU27">
        <f>IF(tbl_ZESPOŁY_dane[[#This Row],[pts]]&gt;0,1,0)</f>
        <v>1</v>
      </c>
      <c r="AV27">
        <v>19</v>
      </c>
      <c r="AW27">
        <v>17</v>
      </c>
      <c r="AX27">
        <v>10</v>
      </c>
      <c r="AY27">
        <v>19</v>
      </c>
      <c r="AZ27">
        <f>SUMIFS(tbl_ZESPOŁY_dane[Q1],tbl_ZESPOŁY_dane[przeciwnik],tbl_ZESPOŁY_dane[[#This Row],[zespół]],tbl_ZESPOŁY_dane[GW],tbl_ZESPOŁY_dane[[#This Row],[GW]])</f>
        <v>11</v>
      </c>
      <c r="BA27">
        <f>SUMIFS(tbl_ZESPOŁY_dane[Q2],tbl_ZESPOŁY_dane[przeciwnik],tbl_ZESPOŁY_dane[[#This Row],[zespół]],tbl_ZESPOŁY_dane[GW],tbl_ZESPOŁY_dane[[#This Row],[GW]])</f>
        <v>11</v>
      </c>
      <c r="BB27">
        <f>SUMIFS(tbl_ZESPOŁY_dane[Q3],tbl_ZESPOŁY_dane[przeciwnik],tbl_ZESPOŁY_dane[[#This Row],[zespół]],tbl_ZESPOŁY_dane[GW],tbl_ZESPOŁY_dane[[#This Row],[GW]])</f>
        <v>13</v>
      </c>
      <c r="BC27">
        <f>SUMIFS(tbl_ZESPOŁY_dane[Q4],tbl_ZESPOŁY_dane[przeciwnik],tbl_ZESPOŁY_dane[[#This Row],[zespół]],tbl_ZESPOŁY_dane[GW],tbl_ZESPOŁY_dane[[#This Row],[GW]])</f>
        <v>15</v>
      </c>
      <c r="BD27">
        <f>tbl_ZESPOŁY_dane[[#This Row],[O1]]+tbl_ZESPOŁY_dane[[#This Row],[O2]]+tbl_ZESPOŁY_dane[[#This Row],[O3]]+tbl_ZESPOŁY_dane[[#This Row],[O4]]</f>
        <v>50</v>
      </c>
    </row>
    <row r="28" spans="1:56" x14ac:dyDescent="0.35">
      <c r="A28" s="32" t="s">
        <v>25</v>
      </c>
      <c r="B28" t="s">
        <v>52</v>
      </c>
      <c r="C28" t="s">
        <v>58</v>
      </c>
      <c r="D28" s="15" t="str">
        <f>IF(C28="H",VLOOKUP($A28,tab_nazwy_zespołów[],2,0)&amp;VLOOKUP($B28,tab_nazwy_zespołów[],2,0),VLOOKUP($B28,tab_nazwy_zespołów[],2,0)&amp;VLOOKUP($A28,tab_nazwy_zespołów[],2,0))</f>
        <v>WILHUT</v>
      </c>
      <c r="E28">
        <v>4</v>
      </c>
      <c r="F28">
        <f>SUMIFS(tbl_główna_GRACZE[fgm],tbl_główna_GRACZE[zespół],tbl_ZESPOŁY_dane[[#This Row],[zespół]],tbl_główna_GRACZE['#mecz],tbl_ZESPOŁY_dane[[#This Row],['#mecz]])</f>
        <v>18</v>
      </c>
      <c r="G28">
        <f>SUMIFS(tbl_główna_GRACZE[fga],tbl_główna_GRACZE[zespół],tbl_ZESPOŁY_dane[[#This Row],[zespół]],tbl_główna_GRACZE['#mecz],tbl_ZESPOŁY_dane[[#This Row],['#mecz]])</f>
        <v>67</v>
      </c>
      <c r="H28">
        <f>SUMIFS(tbl_główna_GRACZE[3pm],tbl_główna_GRACZE[zespół],tbl_ZESPOŁY_dane[[#This Row],[zespół]],tbl_główna_GRACZE['#mecz],tbl_ZESPOŁY_dane[[#This Row],['#mecz]])</f>
        <v>11</v>
      </c>
      <c r="I28">
        <f>SUMIFS(tbl_główna_GRACZE[3pa],tbl_główna_GRACZE[zespół],tbl_ZESPOŁY_dane[[#This Row],[zespół]],tbl_główna_GRACZE['#mecz],tbl_ZESPOŁY_dane[[#This Row],['#mecz]])</f>
        <v>45</v>
      </c>
      <c r="J28">
        <f>SUMIFS(tbl_główna_GRACZE[ftm],tbl_główna_GRACZE[zespół],tbl_ZESPOŁY_dane[[#This Row],[zespół]],tbl_główna_GRACZE['#mecz],tbl_ZESPOŁY_dane[[#This Row],['#mecz]])</f>
        <v>1</v>
      </c>
      <c r="K28">
        <f>SUMIFS(tbl_główna_GRACZE[fta],tbl_główna_GRACZE[zespół],tbl_ZESPOŁY_dane[[#This Row],[zespół]],tbl_główna_GRACZE['#mecz],tbl_ZESPOŁY_dane[[#This Row],['#mecz]])</f>
        <v>6</v>
      </c>
      <c r="L28">
        <f>SUMIFS(tbl_główna_GRACZE[oreb],tbl_główna_GRACZE[zespół],tbl_ZESPOŁY_dane[[#This Row],[zespół]],tbl_główna_GRACZE['#mecz],tbl_ZESPOŁY_dane[[#This Row],['#mecz]])</f>
        <v>14</v>
      </c>
      <c r="M28">
        <f>SUMIFS(tbl_główna_GRACZE[dreb],tbl_główna_GRACZE[zespół],tbl_ZESPOŁY_dane[[#This Row],[zespół]],tbl_główna_GRACZE['#mecz],tbl_ZESPOŁY_dane[[#This Row],['#mecz]])</f>
        <v>31</v>
      </c>
      <c r="N28">
        <f>SUMIFS(tbl_główna_GRACZE[foul],tbl_główna_GRACZE[zespół],tbl_ZESPOŁY_dane[[#This Row],[zespół]],tbl_główna_GRACZE['#mecz],tbl_ZESPOŁY_dane[[#This Row],['#mecz]])</f>
        <v>5</v>
      </c>
      <c r="O28">
        <f>SUMIFS(tbl_główna_GRACZE[stl],tbl_główna_GRACZE[zespół],tbl_ZESPOŁY_dane[[#This Row],[zespół]],tbl_główna_GRACZE['#mecz],tbl_ZESPOŁY_dane[[#This Row],['#mecz]])</f>
        <v>6</v>
      </c>
      <c r="P28">
        <f>SUMIFS(tbl_główna_GRACZE[to],tbl_główna_GRACZE[zespół],tbl_ZESPOŁY_dane[[#This Row],[zespół]],tbl_główna_GRACZE['#mecz],tbl_ZESPOŁY_dane[[#This Row],['#mecz]])</f>
        <v>0</v>
      </c>
      <c r="Q28">
        <f>SUMIFS(tbl_główna_GRACZE[blk],tbl_główna_GRACZE[zespół],tbl_ZESPOŁY_dane[[#This Row],[zespół]],tbl_główna_GRACZE['#mecz],tbl_ZESPOŁY_dane[[#This Row],['#mecz]])</f>
        <v>1</v>
      </c>
      <c r="R28">
        <f>SUMIFS(tbl_główna_GRACZE[asst],tbl_główna_GRACZE[zespół],tbl_ZESPOŁY_dane[[#This Row],[zespół]],tbl_główna_GRACZE['#mecz],tbl_ZESPOŁY_dane[[#This Row],['#mecz]])</f>
        <v>11</v>
      </c>
      <c r="S28">
        <f>SUMIFS(tbl_główna_GRACZE[min],tbl_główna_GRACZE[zespół],tbl_ZESPOŁY_dane[[#This Row],[zespół]],tbl_główna_GRACZE['#mecz],tbl_ZESPOŁY_dane[[#This Row],['#mecz]])</f>
        <v>160</v>
      </c>
      <c r="T28">
        <f>SUMIFS(tbl_główna_GRACZE[pts],tbl_główna_GRACZE[zespół],tbl_ZESPOŁY_dane[[#This Row],[zespół]],tbl_główna_GRACZE['#mecz],tbl_ZESPOŁY_dane[[#This Row],['#mecz]])</f>
        <v>50</v>
      </c>
      <c r="U28">
        <f>tbl_ZESPOŁY_dane[[#This Row],[oreb]]+tbl_ZESPOŁY_dane[[#This Row],[dreb]]</f>
        <v>45</v>
      </c>
      <c r="V28" s="16">
        <f t="shared" si="26"/>
        <v>0.26865671641791045</v>
      </c>
      <c r="W28" s="16">
        <f t="shared" si="27"/>
        <v>0.24444444444444444</v>
      </c>
      <c r="X28" s="17">
        <f t="shared" si="28"/>
        <v>0.16666666666666666</v>
      </c>
      <c r="Y28" s="17">
        <f t="shared" si="29"/>
        <v>0.35898908673176333</v>
      </c>
      <c r="Z28" s="17">
        <f t="shared" si="30"/>
        <v>0.35074626865671643</v>
      </c>
      <c r="AA28">
        <f>SUMIFS(tbl_główna_GRACZE[EVAL],tbl_główna_GRACZE[zespół],$A28,tbl_główna_GRACZE['#mecz],tbl_ZESPOŁY_dane[[#This Row],['#mecz]])</f>
        <v>59</v>
      </c>
      <c r="AB28" s="17">
        <f t="shared" si="31"/>
        <v>8.9552238805970144E-2</v>
      </c>
      <c r="AC28" s="17">
        <f t="shared" si="32"/>
        <v>0.67164179104477617</v>
      </c>
      <c r="AD28" s="31">
        <f>tbl_ZESPOŁY_dane[[#This Row],[fga]]+0.44*tbl_ZESPOŁY_dane[[#This Row],[fta]]-tbl_ZESPOŁY_dane[[#This Row],[oreb]]</f>
        <v>55.64</v>
      </c>
      <c r="AE28" s="31">
        <f>SUMIFS(tbl_ZESPOŁY_dane[Poss],tbl_ZESPOŁY_dane['#mecz],tbl_ZESPOŁY_dane[[#This Row],['#mecz]])/2</f>
        <v>60.92</v>
      </c>
      <c r="AF28" s="31">
        <f>tbl_ZESPOŁY_dane[[#This Row],[pts]]/tbl_ZESPOŁY_dane[[#This Row],[Poss]]*100</f>
        <v>89.863407620416965</v>
      </c>
      <c r="AG28" s="31">
        <f>SUMIFS(tbl_ZESPOŁY_dane[Orating],tbl_ZESPOŁY_dane['#mecz],tbl_ZESPOŁY_dane[[#This Row],['#mecz]],tbl_ZESPOŁY_dane[zespół],tbl_ZESPOŁY_dane[[#This Row],[przeciwnik]])</f>
        <v>107.25075528700907</v>
      </c>
      <c r="AH28" s="6">
        <f>tbl_ZESPOŁY_dane[[#This Row],[Orating]]-tbl_ZESPOŁY_dane[[#This Row],[Drating]]</f>
        <v>-17.387347666592106</v>
      </c>
      <c r="AI28" s="18">
        <f t="shared" si="33"/>
        <v>0.74626865671641796</v>
      </c>
      <c r="AJ28" s="16">
        <f>tbl_ZESPOŁY_dane[[#This Row],[asst]]/tbl_ZESPOŁY_dane[[#This Row],[fgm]]</f>
        <v>0.61111111111111116</v>
      </c>
      <c r="AK28" s="31">
        <f>tbl_ZESPOŁY_dane[[#This Row],[asst]]/tbl_ZESPOŁY_dane[[#This Row],[Poss]]*100</f>
        <v>19.769949676491734</v>
      </c>
      <c r="AL28" s="19">
        <f>(tbl_ZESPOŁY_dane[[#This Row],[eFG%]]*0.7+tbl_ZESPOŁY_dane[[#This Row],[AST%]]*0.3)*100</f>
        <v>42.885572139303484</v>
      </c>
      <c r="AM28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0.2978723404255319</v>
      </c>
      <c r="AN28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0.65957446808510634</v>
      </c>
      <c r="AO28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0.47872340425531917</v>
      </c>
      <c r="AP28">
        <f>tbl_ZESPOŁY_dane[[#This Row],[reb total]]-SUMIFS(tbl_ZESPOŁY_dane[reb total],tbl_ZESPOŁY_dane[zespół],tbl_ZESPOŁY_dane[[#This Row],[przeciwnik]],tbl_ZESPOŁY_dane['#mecz],tbl_ZESPOŁY_dane[[#This Row],['#mecz]])</f>
        <v>-4</v>
      </c>
      <c r="AQ28" s="16">
        <f>tbl_ZESPOŁY_dane[[#This Row],[oreb]]/(tbl_ZESPOŁY_dane[[#This Row],[fga]]-tbl_ZESPOŁY_dane[[#This Row],[fgm]])</f>
        <v>0.2857142857142857</v>
      </c>
      <c r="AR28">
        <f>(tbl_ZESPOŁY_dane[[#This Row],[oreb]]*1.1)+(tbl_ZESPOŁY_dane[[#This Row],[dreb]]*0.3)</f>
        <v>24.700000000000003</v>
      </c>
      <c r="AS28">
        <f t="shared" si="34"/>
        <v>41.8</v>
      </c>
      <c r="AT28" s="16">
        <f>(tbl_ZESPOŁY_dane[[#This Row],[fgm]]-tbl_ZESPOŁY_dane[[#This Row],[3pm]])/(tbl_ZESPOŁY_dane[[#This Row],[fga]]-tbl_ZESPOŁY_dane[[#This Row],[3pa]])</f>
        <v>0.31818181818181818</v>
      </c>
      <c r="AU28">
        <f>IF(tbl_ZESPOŁY_dane[[#This Row],[pts]]&gt;0,1,0)</f>
        <v>1</v>
      </c>
      <c r="AV28">
        <v>11</v>
      </c>
      <c r="AW28">
        <v>11</v>
      </c>
      <c r="AX28">
        <v>13</v>
      </c>
      <c r="AY28">
        <v>15</v>
      </c>
      <c r="AZ28">
        <f>SUMIFS(tbl_ZESPOŁY_dane[Q1],tbl_ZESPOŁY_dane[przeciwnik],tbl_ZESPOŁY_dane[[#This Row],[zespół]],tbl_ZESPOŁY_dane[GW],tbl_ZESPOŁY_dane[[#This Row],[GW]])</f>
        <v>19</v>
      </c>
      <c r="BA28">
        <f>SUMIFS(tbl_ZESPOŁY_dane[Q2],tbl_ZESPOŁY_dane[przeciwnik],tbl_ZESPOŁY_dane[[#This Row],[zespół]],tbl_ZESPOŁY_dane[GW],tbl_ZESPOŁY_dane[[#This Row],[GW]])</f>
        <v>17</v>
      </c>
      <c r="BB28">
        <f>SUMIFS(tbl_ZESPOŁY_dane[Q3],tbl_ZESPOŁY_dane[przeciwnik],tbl_ZESPOŁY_dane[[#This Row],[zespół]],tbl_ZESPOŁY_dane[GW],tbl_ZESPOŁY_dane[[#This Row],[GW]])</f>
        <v>10</v>
      </c>
      <c r="BC28">
        <f>SUMIFS(tbl_ZESPOŁY_dane[Q4],tbl_ZESPOŁY_dane[przeciwnik],tbl_ZESPOŁY_dane[[#This Row],[zespół]],tbl_ZESPOŁY_dane[GW],tbl_ZESPOŁY_dane[[#This Row],[GW]])</f>
        <v>19</v>
      </c>
      <c r="BD28">
        <f>tbl_ZESPOŁY_dane[[#This Row],[O1]]+tbl_ZESPOŁY_dane[[#This Row],[O2]]+tbl_ZESPOŁY_dane[[#This Row],[O3]]+tbl_ZESPOŁY_dane[[#This Row],[O4]]</f>
        <v>65</v>
      </c>
    </row>
  </sheetData>
  <sheetProtection algorithmName="SHA-512" hashValue="C1JdriL3QgvlVwVOnGXtoqKY0BGrjBtnc95pb3Ia0Z4IY7bO+RjRjbzK/rXNk7p08DvWYIkr1/d+wDvIvWkKVA==" saltValue="K81rQo/pWOxNyvHsyC+OTg==" spinCount="100000" sheet="1" objects="1" scenarios="1"/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7AB-2C24-4C45-93A8-74E29EDB7BDB}">
  <dimension ref="A1:Q48"/>
  <sheetViews>
    <sheetView showGridLines="0" tabSelected="1" topLeftCell="A43" workbookViewId="0">
      <selection activeCell="Y68" sqref="Y68"/>
    </sheetView>
  </sheetViews>
  <sheetFormatPr defaultRowHeight="14.5" outlineLevelRow="1" x14ac:dyDescent="0.35"/>
  <cols>
    <col min="1" max="1" width="18.1796875" bestFit="1" customWidth="1"/>
    <col min="2" max="2" width="12.1796875" customWidth="1"/>
    <col min="3" max="3" width="5.453125" bestFit="1" customWidth="1"/>
    <col min="4" max="4" width="18.1796875" bestFit="1" customWidth="1"/>
    <col min="5" max="5" width="12.1796875" customWidth="1"/>
    <col min="6" max="6" width="5.453125" bestFit="1" customWidth="1"/>
    <col min="7" max="7" width="18.08984375" bestFit="1" customWidth="1"/>
    <col min="8" max="8" width="12.1796875" customWidth="1"/>
    <col min="9" max="9" width="10.54296875" bestFit="1" customWidth="1"/>
    <col min="10" max="10" width="18.1796875" bestFit="1" customWidth="1"/>
    <col min="11" max="11" width="19" bestFit="1" customWidth="1"/>
    <col min="12" max="12" width="9.1796875" bestFit="1" customWidth="1"/>
    <col min="13" max="13" width="18.1796875" bestFit="1" customWidth="1"/>
    <col min="14" max="14" width="19" bestFit="1" customWidth="1"/>
    <col min="15" max="15" width="9.7265625" bestFit="1" customWidth="1"/>
    <col min="16" max="16" width="18.1796875" bestFit="1" customWidth="1"/>
    <col min="17" max="17" width="12.1796875" customWidth="1"/>
    <col min="18" max="18" width="11.36328125" bestFit="1" customWidth="1"/>
  </cols>
  <sheetData>
    <row r="1" spans="1:17" hidden="1" outlineLevel="1" x14ac:dyDescent="0.35">
      <c r="A1" s="56" t="s">
        <v>149</v>
      </c>
      <c r="B1" t="s">
        <v>401</v>
      </c>
      <c r="D1" s="56" t="s">
        <v>149</v>
      </c>
      <c r="E1" t="s">
        <v>401</v>
      </c>
      <c r="G1" s="56" t="s">
        <v>149</v>
      </c>
      <c r="H1" t="s">
        <v>401</v>
      </c>
      <c r="J1" s="56" t="s">
        <v>149</v>
      </c>
      <c r="K1" t="s">
        <v>401</v>
      </c>
      <c r="M1" s="56" t="s">
        <v>149</v>
      </c>
      <c r="N1" t="s">
        <v>401</v>
      </c>
      <c r="P1" s="56" t="s">
        <v>149</v>
      </c>
      <c r="Q1" t="s">
        <v>401</v>
      </c>
    </row>
    <row r="2" spans="1:17" hidden="1" outlineLevel="1" x14ac:dyDescent="0.35"/>
    <row r="3" spans="1:17" hidden="1" outlineLevel="1" x14ac:dyDescent="0.35">
      <c r="A3" s="56" t="s">
        <v>235</v>
      </c>
      <c r="D3" s="56" t="s">
        <v>263</v>
      </c>
      <c r="G3" s="56" t="s">
        <v>264</v>
      </c>
      <c r="J3" s="56" t="s">
        <v>234</v>
      </c>
      <c r="M3" s="56" t="s">
        <v>265</v>
      </c>
      <c r="P3" s="56" t="s">
        <v>266</v>
      </c>
    </row>
    <row r="4" spans="1:17" hidden="1" outlineLevel="1" x14ac:dyDescent="0.35">
      <c r="A4" s="56" t="s">
        <v>236</v>
      </c>
      <c r="B4" t="s">
        <v>100</v>
      </c>
      <c r="D4" s="56" t="s">
        <v>236</v>
      </c>
      <c r="E4" t="s">
        <v>100</v>
      </c>
      <c r="G4" s="56" t="s">
        <v>236</v>
      </c>
      <c r="H4" t="s">
        <v>100</v>
      </c>
      <c r="J4" s="56" t="s">
        <v>236</v>
      </c>
      <c r="K4" t="s">
        <v>100</v>
      </c>
      <c r="M4" s="56" t="s">
        <v>236</v>
      </c>
      <c r="N4" t="s">
        <v>100</v>
      </c>
      <c r="P4" s="56" t="s">
        <v>236</v>
      </c>
      <c r="Q4" s="6" t="s">
        <v>100</v>
      </c>
    </row>
    <row r="5" spans="1:17" hidden="1" outlineLevel="1" x14ac:dyDescent="0.35">
      <c r="A5" t="s">
        <v>409</v>
      </c>
      <c r="B5" s="6">
        <v>11</v>
      </c>
      <c r="D5" t="s">
        <v>238</v>
      </c>
      <c r="E5" s="6">
        <v>7.666666666666667</v>
      </c>
      <c r="G5" t="s">
        <v>243</v>
      </c>
      <c r="H5" s="6">
        <v>2.75</v>
      </c>
      <c r="J5" t="s">
        <v>246</v>
      </c>
      <c r="K5" s="6">
        <v>2.3333333333333335</v>
      </c>
      <c r="M5" t="s">
        <v>365</v>
      </c>
      <c r="N5" s="6">
        <v>0.75</v>
      </c>
      <c r="P5" t="s">
        <v>242</v>
      </c>
      <c r="Q5" s="6">
        <v>16.333333333333332</v>
      </c>
    </row>
    <row r="6" spans="1:17" hidden="1" outlineLevel="1" x14ac:dyDescent="0.35">
      <c r="A6" t="s">
        <v>247</v>
      </c>
      <c r="B6" s="6">
        <v>12</v>
      </c>
      <c r="D6" t="s">
        <v>256</v>
      </c>
      <c r="E6" s="6">
        <v>8.3333333333333339</v>
      </c>
      <c r="G6" t="s">
        <v>365</v>
      </c>
      <c r="H6" s="6">
        <v>2.75</v>
      </c>
      <c r="J6" t="s">
        <v>350</v>
      </c>
      <c r="K6" s="6">
        <v>2.3333333333333335</v>
      </c>
      <c r="M6" t="s">
        <v>257</v>
      </c>
      <c r="N6" s="6">
        <v>0.75</v>
      </c>
      <c r="P6" t="s">
        <v>241</v>
      </c>
      <c r="Q6" s="6">
        <v>16.5</v>
      </c>
    </row>
    <row r="7" spans="1:17" hidden="1" outlineLevel="1" x14ac:dyDescent="0.35">
      <c r="A7" t="s">
        <v>241</v>
      </c>
      <c r="B7" s="6">
        <v>12.25</v>
      </c>
      <c r="D7" t="s">
        <v>242</v>
      </c>
      <c r="E7" s="6">
        <v>8.6666666666666661</v>
      </c>
      <c r="G7" t="s">
        <v>250</v>
      </c>
      <c r="H7" s="6">
        <v>3</v>
      </c>
      <c r="J7" t="s">
        <v>354</v>
      </c>
      <c r="K7" s="6">
        <v>2.3333333333333335</v>
      </c>
      <c r="M7" t="s">
        <v>261</v>
      </c>
      <c r="N7" s="6">
        <v>1</v>
      </c>
      <c r="P7" t="s">
        <v>407</v>
      </c>
      <c r="Q7" s="6">
        <v>16.5</v>
      </c>
    </row>
    <row r="8" spans="1:17" hidden="1" outlineLevel="1" x14ac:dyDescent="0.35">
      <c r="A8" t="s">
        <v>250</v>
      </c>
      <c r="B8" s="6">
        <v>13.666666666666666</v>
      </c>
      <c r="D8" t="s">
        <v>365</v>
      </c>
      <c r="E8" s="6">
        <v>9.25</v>
      </c>
      <c r="G8" t="s">
        <v>352</v>
      </c>
      <c r="H8" s="6">
        <v>3</v>
      </c>
      <c r="J8" t="s">
        <v>253</v>
      </c>
      <c r="K8" s="6">
        <v>2.75</v>
      </c>
      <c r="M8" t="s">
        <v>248</v>
      </c>
      <c r="N8" s="6">
        <v>1</v>
      </c>
      <c r="P8" t="s">
        <v>328</v>
      </c>
      <c r="Q8" s="6">
        <v>19.666666666666668</v>
      </c>
    </row>
    <row r="9" spans="1:17" hidden="1" outlineLevel="1" x14ac:dyDescent="0.35">
      <c r="A9" t="s">
        <v>352</v>
      </c>
      <c r="B9" s="6">
        <v>14</v>
      </c>
      <c r="D9" t="s">
        <v>248</v>
      </c>
      <c r="E9" s="6">
        <v>9.25</v>
      </c>
      <c r="G9" t="s">
        <v>254</v>
      </c>
      <c r="H9" s="6">
        <v>3.25</v>
      </c>
      <c r="J9" t="s">
        <v>252</v>
      </c>
      <c r="K9" s="6">
        <v>3</v>
      </c>
      <c r="M9" t="s">
        <v>245</v>
      </c>
      <c r="N9" s="6">
        <v>1</v>
      </c>
      <c r="P9" t="s">
        <v>248</v>
      </c>
      <c r="Q9" s="6">
        <v>19.75</v>
      </c>
    </row>
    <row r="10" spans="1:17" hidden="1" outlineLevel="1" x14ac:dyDescent="0.35">
      <c r="A10" t="s">
        <v>365</v>
      </c>
      <c r="B10" s="6">
        <v>17.25</v>
      </c>
      <c r="D10" t="s">
        <v>241</v>
      </c>
      <c r="E10" s="6">
        <v>9.75</v>
      </c>
      <c r="G10" t="s">
        <v>240</v>
      </c>
      <c r="H10" s="6">
        <v>3.3333333333333335</v>
      </c>
      <c r="J10" t="s">
        <v>409</v>
      </c>
      <c r="K10" s="6">
        <v>3</v>
      </c>
      <c r="M10" t="s">
        <v>255</v>
      </c>
      <c r="N10" s="6">
        <v>1</v>
      </c>
      <c r="P10" t="s">
        <v>250</v>
      </c>
      <c r="Q10" s="6">
        <v>20.333333333333332</v>
      </c>
    </row>
    <row r="11" spans="1:17" hidden="1" outlineLevel="1" x14ac:dyDescent="0.35">
      <c r="A11" t="s">
        <v>410</v>
      </c>
      <c r="B11" s="6">
        <v>20.5</v>
      </c>
      <c r="D11" t="s">
        <v>250</v>
      </c>
      <c r="E11" s="6">
        <v>10</v>
      </c>
      <c r="G11" t="s">
        <v>251</v>
      </c>
      <c r="H11" s="6">
        <v>3.75</v>
      </c>
      <c r="J11" t="s">
        <v>250</v>
      </c>
      <c r="K11" s="6">
        <v>3.3333333333333335</v>
      </c>
      <c r="M11" t="s">
        <v>242</v>
      </c>
      <c r="N11" s="6">
        <v>1</v>
      </c>
      <c r="P11" t="s">
        <v>408</v>
      </c>
      <c r="Q11" s="6">
        <v>24</v>
      </c>
    </row>
    <row r="12" spans="1:17" hidden="1" outlineLevel="1" x14ac:dyDescent="0.35">
      <c r="A12" t="s">
        <v>249</v>
      </c>
      <c r="B12" s="6">
        <v>20.5</v>
      </c>
      <c r="D12" t="s">
        <v>328</v>
      </c>
      <c r="E12" s="6">
        <v>10.333333333333334</v>
      </c>
      <c r="G12" t="s">
        <v>257</v>
      </c>
      <c r="H12" s="6">
        <v>4.25</v>
      </c>
      <c r="J12" t="s">
        <v>328</v>
      </c>
      <c r="K12" s="6">
        <v>3.3333333333333335</v>
      </c>
      <c r="M12" t="s">
        <v>246</v>
      </c>
      <c r="N12" s="6">
        <v>1</v>
      </c>
      <c r="P12" t="s">
        <v>246</v>
      </c>
      <c r="Q12" s="6">
        <v>24.000000000000004</v>
      </c>
    </row>
    <row r="13" spans="1:17" hidden="1" outlineLevel="1" x14ac:dyDescent="0.35">
      <c r="A13" t="s">
        <v>248</v>
      </c>
      <c r="B13" s="6">
        <v>21</v>
      </c>
      <c r="D13" t="s">
        <v>407</v>
      </c>
      <c r="E13" s="6">
        <v>13.5</v>
      </c>
      <c r="G13" t="s">
        <v>408</v>
      </c>
      <c r="H13" s="6">
        <v>4.5</v>
      </c>
      <c r="J13" t="s">
        <v>242</v>
      </c>
      <c r="K13" s="6">
        <v>3.6666666666666665</v>
      </c>
      <c r="M13" t="s">
        <v>241</v>
      </c>
      <c r="N13" s="6">
        <v>1.25</v>
      </c>
      <c r="P13" t="s">
        <v>365</v>
      </c>
      <c r="Q13" s="6">
        <v>25.25</v>
      </c>
    </row>
    <row r="14" spans="1:17" hidden="1" outlineLevel="1" x14ac:dyDescent="0.35">
      <c r="A14" t="s">
        <v>246</v>
      </c>
      <c r="B14" s="6">
        <v>24</v>
      </c>
      <c r="D14" t="s">
        <v>408</v>
      </c>
      <c r="E14" s="6">
        <v>17.5</v>
      </c>
      <c r="G14" t="s">
        <v>351</v>
      </c>
      <c r="H14" s="6">
        <v>4.5</v>
      </c>
      <c r="J14" t="s">
        <v>365</v>
      </c>
      <c r="K14" s="6">
        <v>4.5</v>
      </c>
      <c r="M14" t="s">
        <v>350</v>
      </c>
      <c r="N14" s="6">
        <v>1.3333333333333333</v>
      </c>
      <c r="P14" t="s">
        <v>249</v>
      </c>
      <c r="Q14" s="6">
        <v>28</v>
      </c>
    </row>
    <row r="15" spans="1:17" hidden="1" outlineLevel="1" x14ac:dyDescent="0.35">
      <c r="A15" t="s">
        <v>222</v>
      </c>
      <c r="B15" s="6">
        <v>166.16666666666669</v>
      </c>
      <c r="D15" t="s">
        <v>222</v>
      </c>
      <c r="E15" s="6">
        <v>104.25</v>
      </c>
      <c r="G15" t="s">
        <v>249</v>
      </c>
      <c r="H15" s="6">
        <v>5</v>
      </c>
      <c r="J15" t="s">
        <v>249</v>
      </c>
      <c r="K15" s="6">
        <v>6</v>
      </c>
      <c r="M15" t="s">
        <v>407</v>
      </c>
      <c r="N15" s="6">
        <v>1.5</v>
      </c>
      <c r="P15" t="s">
        <v>222</v>
      </c>
      <c r="Q15" s="6">
        <v>210.33333333333334</v>
      </c>
    </row>
    <row r="16" spans="1:17" hidden="1" outlineLevel="1" x14ac:dyDescent="0.35">
      <c r="G16" t="s">
        <v>222</v>
      </c>
      <c r="H16" s="6">
        <v>40.083333333333336</v>
      </c>
      <c r="J16" t="s">
        <v>222</v>
      </c>
      <c r="K16" s="6">
        <v>36.583333333333329</v>
      </c>
      <c r="M16" t="s">
        <v>222</v>
      </c>
      <c r="N16" s="6">
        <v>11.583333333333334</v>
      </c>
    </row>
    <row r="17" spans="11:14" hidden="1" outlineLevel="1" x14ac:dyDescent="0.35"/>
    <row r="18" spans="11:14" hidden="1" outlineLevel="1" x14ac:dyDescent="0.35"/>
    <row r="19" spans="11:14" hidden="1" outlineLevel="1" x14ac:dyDescent="0.35"/>
    <row r="20" spans="11:14" hidden="1" outlineLevel="1" x14ac:dyDescent="0.35"/>
    <row r="21" spans="11:14" hidden="1" outlineLevel="1" x14ac:dyDescent="0.35">
      <c r="K21" s="6"/>
    </row>
    <row r="22" spans="11:14" hidden="1" outlineLevel="1" x14ac:dyDescent="0.35">
      <c r="K22" s="6"/>
    </row>
    <row r="23" spans="11:14" hidden="1" outlineLevel="1" x14ac:dyDescent="0.35">
      <c r="K23" s="6"/>
    </row>
    <row r="24" spans="11:14" hidden="1" outlineLevel="1" x14ac:dyDescent="0.35">
      <c r="K24" s="6"/>
    </row>
    <row r="25" spans="11:14" hidden="1" outlineLevel="1" x14ac:dyDescent="0.35">
      <c r="K25" s="6"/>
    </row>
    <row r="26" spans="11:14" hidden="1" outlineLevel="1" x14ac:dyDescent="0.35">
      <c r="K26" s="6"/>
    </row>
    <row r="27" spans="11:14" hidden="1" outlineLevel="1" x14ac:dyDescent="0.35">
      <c r="K27" s="6"/>
    </row>
    <row r="28" spans="11:14" hidden="1" outlineLevel="1" x14ac:dyDescent="0.35">
      <c r="K28" s="6"/>
    </row>
    <row r="29" spans="11:14" hidden="1" outlineLevel="1" x14ac:dyDescent="0.35">
      <c r="K29" s="6"/>
      <c r="N29" s="6"/>
    </row>
    <row r="30" spans="11:14" hidden="1" outlineLevel="1" x14ac:dyDescent="0.35">
      <c r="K30" s="6"/>
      <c r="N30" s="6"/>
    </row>
    <row r="31" spans="11:14" hidden="1" outlineLevel="1" x14ac:dyDescent="0.35">
      <c r="K31" s="6"/>
      <c r="N31" s="6"/>
    </row>
    <row r="32" spans="11:14" hidden="1" outlineLevel="1" x14ac:dyDescent="0.35">
      <c r="K32" s="6"/>
      <c r="N32" s="6"/>
    </row>
    <row r="33" spans="1:14" hidden="1" outlineLevel="1" x14ac:dyDescent="0.35">
      <c r="K33" s="6"/>
      <c r="N33" s="6"/>
    </row>
    <row r="34" spans="1:14" hidden="1" outlineLevel="1" x14ac:dyDescent="0.35">
      <c r="K34" s="6"/>
      <c r="N34" s="6"/>
    </row>
    <row r="35" spans="1:14" hidden="1" outlineLevel="1" x14ac:dyDescent="0.35">
      <c r="K35" s="6"/>
      <c r="N35" s="6"/>
    </row>
    <row r="36" spans="1:14" hidden="1" outlineLevel="1" x14ac:dyDescent="0.35">
      <c r="K36" s="6"/>
      <c r="N36" s="6"/>
    </row>
    <row r="37" spans="1:14" hidden="1" outlineLevel="1" x14ac:dyDescent="0.35">
      <c r="K37" s="6"/>
      <c r="N37" s="6"/>
    </row>
    <row r="38" spans="1:14" hidden="1" outlineLevel="1" x14ac:dyDescent="0.35">
      <c r="K38" s="6"/>
      <c r="N38" s="6"/>
    </row>
    <row r="39" spans="1:14" hidden="1" outlineLevel="1" x14ac:dyDescent="0.35">
      <c r="K39" s="6"/>
      <c r="N39" s="6"/>
    </row>
    <row r="40" spans="1:14" hidden="1" outlineLevel="1" x14ac:dyDescent="0.35">
      <c r="K40" s="6"/>
      <c r="N40" s="6"/>
    </row>
    <row r="41" spans="1:14" hidden="1" outlineLevel="1" x14ac:dyDescent="0.35">
      <c r="K41" s="6"/>
      <c r="N41" s="6"/>
    </row>
    <row r="42" spans="1:14" hidden="1" outlineLevel="1" x14ac:dyDescent="0.35">
      <c r="K42" s="6"/>
      <c r="N42" s="6"/>
    </row>
    <row r="43" spans="1:14" collapsed="1" x14ac:dyDescent="0.35">
      <c r="K43" s="6"/>
      <c r="N43" s="6"/>
    </row>
    <row r="44" spans="1:14" s="59" customFormat="1" ht="50" customHeight="1" x14ac:dyDescent="0.35">
      <c r="A44" s="60" t="s">
        <v>267</v>
      </c>
      <c r="K44" s="88"/>
      <c r="M44" s="61" t="s">
        <v>268</v>
      </c>
    </row>
    <row r="45" spans="1:14" x14ac:dyDescent="0.35">
      <c r="K45" s="6"/>
    </row>
    <row r="46" spans="1:14" x14ac:dyDescent="0.35">
      <c r="K46" s="6"/>
    </row>
    <row r="47" spans="1:14" x14ac:dyDescent="0.35">
      <c r="K47" s="6"/>
    </row>
    <row r="48" spans="1:14" x14ac:dyDescent="0.35">
      <c r="K48" s="6"/>
    </row>
  </sheetData>
  <sheetProtection pivotTables="0"/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255-FD99-4AA1-A117-F0142F12A94C}">
  <dimension ref="A1:Q26"/>
  <sheetViews>
    <sheetView showGridLines="0" topLeftCell="A25" workbookViewId="0">
      <selection activeCell="AA72" sqref="AA72"/>
    </sheetView>
  </sheetViews>
  <sheetFormatPr defaultRowHeight="14.5" outlineLevelRow="1" x14ac:dyDescent="0.35"/>
  <cols>
    <col min="1" max="1" width="19.81640625" bestFit="1" customWidth="1"/>
    <col min="2" max="2" width="5.453125" bestFit="1" customWidth="1"/>
    <col min="4" max="4" width="19.26953125" bestFit="1" customWidth="1"/>
    <col min="5" max="5" width="5.453125" bestFit="1" customWidth="1"/>
    <col min="6" max="6" width="10.1796875" bestFit="1" customWidth="1"/>
    <col min="7" max="7" width="18.1796875" bestFit="1" customWidth="1"/>
    <col min="8" max="8" width="6.81640625" bestFit="1" customWidth="1"/>
    <col min="9" max="9" width="10.1796875" bestFit="1" customWidth="1"/>
    <col min="10" max="10" width="19.26953125" bestFit="1" customWidth="1"/>
    <col min="11" max="11" width="6.81640625" bestFit="1" customWidth="1"/>
    <col min="12" max="12" width="10.54296875" bestFit="1" customWidth="1"/>
    <col min="13" max="13" width="18.08984375" bestFit="1" customWidth="1"/>
    <col min="14" max="14" width="5.453125" bestFit="1" customWidth="1"/>
    <col min="15" max="15" width="10.7265625" bestFit="1" customWidth="1"/>
    <col min="16" max="16" width="19.26953125" bestFit="1" customWidth="1"/>
    <col min="17" max="17" width="5.453125" bestFit="1" customWidth="1"/>
    <col min="18" max="18" width="10.26953125" bestFit="1" customWidth="1"/>
  </cols>
  <sheetData>
    <row r="1" spans="1:17" hidden="1" outlineLevel="1" x14ac:dyDescent="0.35">
      <c r="A1" s="56" t="s">
        <v>149</v>
      </c>
      <c r="B1" t="s">
        <v>401</v>
      </c>
      <c r="D1" s="56" t="s">
        <v>149</v>
      </c>
      <c r="E1" t="s">
        <v>401</v>
      </c>
      <c r="G1" s="56" t="s">
        <v>149</v>
      </c>
      <c r="H1" t="s">
        <v>401</v>
      </c>
      <c r="J1" s="56" t="s">
        <v>149</v>
      </c>
      <c r="K1" t="s">
        <v>401</v>
      </c>
      <c r="M1" s="56" t="s">
        <v>149</v>
      </c>
      <c r="N1" t="s">
        <v>401</v>
      </c>
      <c r="P1" s="56" t="s">
        <v>149</v>
      </c>
      <c r="Q1" t="s">
        <v>401</v>
      </c>
    </row>
    <row r="2" spans="1:17" hidden="1" outlineLevel="1" x14ac:dyDescent="0.35"/>
    <row r="3" spans="1:17" hidden="1" outlineLevel="1" x14ac:dyDescent="0.35">
      <c r="A3" s="56" t="s">
        <v>223</v>
      </c>
      <c r="D3" s="56" t="s">
        <v>232</v>
      </c>
      <c r="G3" s="56" t="s">
        <v>269</v>
      </c>
      <c r="J3" s="56" t="s">
        <v>270</v>
      </c>
      <c r="M3" s="56" t="s">
        <v>225</v>
      </c>
      <c r="P3" s="56" t="s">
        <v>271</v>
      </c>
    </row>
    <row r="4" spans="1:17" hidden="1" outlineLevel="1" x14ac:dyDescent="0.35">
      <c r="A4" s="56" t="s">
        <v>236</v>
      </c>
      <c r="B4" t="s">
        <v>100</v>
      </c>
      <c r="D4" s="56" t="s">
        <v>236</v>
      </c>
      <c r="E4" t="s">
        <v>100</v>
      </c>
      <c r="G4" s="56" t="s">
        <v>236</v>
      </c>
      <c r="H4" s="62" t="s">
        <v>100</v>
      </c>
      <c r="J4" s="56" t="s">
        <v>236</v>
      </c>
      <c r="K4" s="62" t="s">
        <v>100</v>
      </c>
      <c r="M4" s="56" t="s">
        <v>236</v>
      </c>
      <c r="N4" t="s">
        <v>100</v>
      </c>
      <c r="P4" s="56" t="s">
        <v>236</v>
      </c>
      <c r="Q4" t="s">
        <v>100</v>
      </c>
    </row>
    <row r="5" spans="1:17" hidden="1" outlineLevel="1" x14ac:dyDescent="0.35">
      <c r="A5" t="s">
        <v>247</v>
      </c>
      <c r="B5" s="6">
        <v>1</v>
      </c>
      <c r="D5" t="s">
        <v>251</v>
      </c>
      <c r="E5" s="6">
        <v>1.25</v>
      </c>
      <c r="G5" t="s">
        <v>352</v>
      </c>
      <c r="H5" s="62">
        <v>0.38709677419354838</v>
      </c>
      <c r="J5" t="s">
        <v>248</v>
      </c>
      <c r="K5" s="62">
        <v>0.45045045045045046</v>
      </c>
      <c r="M5" t="s">
        <v>254</v>
      </c>
      <c r="N5" s="24">
        <v>0.33333333333333331</v>
      </c>
      <c r="P5" t="s">
        <v>240</v>
      </c>
      <c r="Q5" s="5">
        <v>0.96153846153846168</v>
      </c>
    </row>
    <row r="6" spans="1:17" hidden="1" outlineLevel="1" x14ac:dyDescent="0.35">
      <c r="A6" t="s">
        <v>254</v>
      </c>
      <c r="B6" s="6">
        <v>1</v>
      </c>
      <c r="D6" t="s">
        <v>365</v>
      </c>
      <c r="E6" s="6">
        <v>1.25</v>
      </c>
      <c r="G6" t="s">
        <v>250</v>
      </c>
      <c r="H6" s="62">
        <v>0.39534883720930231</v>
      </c>
      <c r="J6" t="s">
        <v>250</v>
      </c>
      <c r="K6" s="62">
        <v>0.45353982300884954</v>
      </c>
      <c r="M6" t="s">
        <v>241</v>
      </c>
      <c r="N6" s="24">
        <v>0.33333333333333331</v>
      </c>
      <c r="P6" t="s">
        <v>252</v>
      </c>
      <c r="Q6" s="5">
        <v>1</v>
      </c>
    </row>
    <row r="7" spans="1:17" hidden="1" outlineLevel="1" x14ac:dyDescent="0.35">
      <c r="A7" t="s">
        <v>409</v>
      </c>
      <c r="B7" s="6">
        <v>1</v>
      </c>
      <c r="D7" t="s">
        <v>256</v>
      </c>
      <c r="E7" s="6">
        <v>1.3333333333333333</v>
      </c>
      <c r="G7" t="s">
        <v>328</v>
      </c>
      <c r="H7" s="62">
        <v>0.39999999999999997</v>
      </c>
      <c r="J7" t="s">
        <v>241</v>
      </c>
      <c r="K7" s="62">
        <v>0.47224363916730916</v>
      </c>
      <c r="M7" t="s">
        <v>259</v>
      </c>
      <c r="N7" s="24">
        <v>0.33333333333333331</v>
      </c>
      <c r="P7" t="s">
        <v>248</v>
      </c>
      <c r="Q7" s="5">
        <v>1</v>
      </c>
    </row>
    <row r="8" spans="1:17" hidden="1" outlineLevel="1" x14ac:dyDescent="0.35">
      <c r="A8" t="s">
        <v>257</v>
      </c>
      <c r="B8" s="6">
        <v>1</v>
      </c>
      <c r="D8" t="s">
        <v>259</v>
      </c>
      <c r="E8" s="6">
        <v>1.3333333333333333</v>
      </c>
      <c r="G8" t="s">
        <v>241</v>
      </c>
      <c r="H8" s="62">
        <v>0.45098039215686275</v>
      </c>
      <c r="J8" t="s">
        <v>242</v>
      </c>
      <c r="K8" s="62">
        <v>0.4837067209775967</v>
      </c>
      <c r="M8" t="s">
        <v>353</v>
      </c>
      <c r="N8" s="24">
        <v>0.35714285714285715</v>
      </c>
      <c r="P8" t="s">
        <v>365</v>
      </c>
      <c r="Q8" s="5">
        <v>1.078125</v>
      </c>
    </row>
    <row r="9" spans="1:17" hidden="1" outlineLevel="1" x14ac:dyDescent="0.35">
      <c r="A9" t="s">
        <v>260</v>
      </c>
      <c r="B9" s="6">
        <v>1</v>
      </c>
      <c r="D9" t="s">
        <v>238</v>
      </c>
      <c r="E9" s="6">
        <v>1.3333333333333333</v>
      </c>
      <c r="G9" t="s">
        <v>365</v>
      </c>
      <c r="H9" s="62">
        <v>0.453125</v>
      </c>
      <c r="J9" t="s">
        <v>365</v>
      </c>
      <c r="K9" s="62">
        <v>0.5143112701252236</v>
      </c>
      <c r="M9" t="s">
        <v>252</v>
      </c>
      <c r="N9" s="24">
        <v>0.375</v>
      </c>
      <c r="P9" t="s">
        <v>249</v>
      </c>
      <c r="Q9" s="5">
        <v>1.1081081081081081</v>
      </c>
    </row>
    <row r="10" spans="1:17" hidden="1" outlineLevel="1" x14ac:dyDescent="0.35">
      <c r="A10" t="s">
        <v>352</v>
      </c>
      <c r="B10" s="6">
        <v>1</v>
      </c>
      <c r="D10" t="s">
        <v>247</v>
      </c>
      <c r="E10" s="6">
        <v>1.5</v>
      </c>
      <c r="G10" t="s">
        <v>242</v>
      </c>
      <c r="H10" s="62">
        <v>0.47058823529411759</v>
      </c>
      <c r="J10" t="s">
        <v>249</v>
      </c>
      <c r="K10" s="62">
        <v>0.53496868475991644</v>
      </c>
      <c r="M10" t="s">
        <v>365</v>
      </c>
      <c r="N10" s="24">
        <v>0.375</v>
      </c>
      <c r="P10" t="s">
        <v>242</v>
      </c>
      <c r="Q10" s="5">
        <v>1.1176470588235292</v>
      </c>
    </row>
    <row r="11" spans="1:17" hidden="1" outlineLevel="1" x14ac:dyDescent="0.35">
      <c r="A11" t="s">
        <v>251</v>
      </c>
      <c r="B11" s="6">
        <v>1</v>
      </c>
      <c r="D11" t="s">
        <v>258</v>
      </c>
      <c r="E11" s="6">
        <v>2</v>
      </c>
      <c r="G11" t="s">
        <v>255</v>
      </c>
      <c r="H11" s="62">
        <v>0.5</v>
      </c>
      <c r="J11" t="s">
        <v>246</v>
      </c>
      <c r="K11" s="62">
        <v>0.54086538461538458</v>
      </c>
      <c r="M11" t="s">
        <v>251</v>
      </c>
      <c r="N11" s="24">
        <v>0.4</v>
      </c>
      <c r="P11" t="s">
        <v>328</v>
      </c>
      <c r="Q11" s="5">
        <v>1.1199999999999999</v>
      </c>
    </row>
    <row r="12" spans="1:17" hidden="1" outlineLevel="1" x14ac:dyDescent="0.35">
      <c r="A12" t="s">
        <v>239</v>
      </c>
      <c r="B12" s="6">
        <v>1.25</v>
      </c>
      <c r="D12" t="s">
        <v>240</v>
      </c>
      <c r="E12" s="6">
        <v>2.6666666666666665</v>
      </c>
      <c r="G12" t="s">
        <v>246</v>
      </c>
      <c r="H12" s="62">
        <v>0.51785714285714279</v>
      </c>
      <c r="J12" t="s">
        <v>328</v>
      </c>
      <c r="K12" s="62">
        <v>0.55031446540880502</v>
      </c>
      <c r="M12" t="s">
        <v>255</v>
      </c>
      <c r="N12" s="24">
        <v>0.42857142857142855</v>
      </c>
      <c r="P12" t="s">
        <v>246</v>
      </c>
      <c r="Q12" s="5">
        <v>1.2857142857142856</v>
      </c>
    </row>
    <row r="13" spans="1:17" hidden="1" outlineLevel="1" x14ac:dyDescent="0.35">
      <c r="A13" t="s">
        <v>353</v>
      </c>
      <c r="B13" s="6">
        <v>1.25</v>
      </c>
      <c r="D13" t="s">
        <v>248</v>
      </c>
      <c r="E13" s="6">
        <v>3.25</v>
      </c>
      <c r="G13" t="s">
        <v>249</v>
      </c>
      <c r="H13" s="62">
        <v>0.54054054054054057</v>
      </c>
      <c r="J13" t="s">
        <v>255</v>
      </c>
      <c r="K13" s="62">
        <v>0.60728744939271251</v>
      </c>
      <c r="M13" t="s">
        <v>328</v>
      </c>
      <c r="N13" s="24">
        <v>0.47058823529411759</v>
      </c>
      <c r="P13" t="s">
        <v>255</v>
      </c>
      <c r="Q13" s="5">
        <v>1.3333333333333333</v>
      </c>
    </row>
    <row r="14" spans="1:17" hidden="1" outlineLevel="1" x14ac:dyDescent="0.35">
      <c r="A14" t="s">
        <v>252</v>
      </c>
      <c r="B14" s="6">
        <v>1.5</v>
      </c>
      <c r="D14" t="s">
        <v>246</v>
      </c>
      <c r="E14" s="6">
        <v>4.666666666666667</v>
      </c>
      <c r="G14" t="s">
        <v>411</v>
      </c>
      <c r="H14" s="62">
        <v>1</v>
      </c>
      <c r="J14" t="s">
        <v>411</v>
      </c>
      <c r="K14" s="62">
        <v>1</v>
      </c>
      <c r="M14" t="s">
        <v>261</v>
      </c>
      <c r="N14" s="24">
        <v>0.5</v>
      </c>
      <c r="P14" t="s">
        <v>411</v>
      </c>
      <c r="Q14" s="5">
        <v>2</v>
      </c>
    </row>
    <row r="15" spans="1:17" hidden="1" outlineLevel="1" x14ac:dyDescent="0.35">
      <c r="A15" t="s">
        <v>365</v>
      </c>
      <c r="B15" s="6">
        <v>1.5</v>
      </c>
      <c r="D15" t="s">
        <v>222</v>
      </c>
      <c r="E15" s="6">
        <v>20.583333333333336</v>
      </c>
      <c r="G15" t="s">
        <v>222</v>
      </c>
      <c r="H15" s="62">
        <v>5.1155369222515139</v>
      </c>
      <c r="J15" t="s">
        <v>222</v>
      </c>
      <c r="K15" s="62">
        <v>5.6076878879062484</v>
      </c>
      <c r="M15" t="s">
        <v>350</v>
      </c>
      <c r="N15" s="24">
        <v>0.5</v>
      </c>
      <c r="P15" t="s">
        <v>222</v>
      </c>
      <c r="Q15" s="5">
        <v>12.004466247517719</v>
      </c>
    </row>
    <row r="16" spans="1:17" hidden="1" outlineLevel="1" x14ac:dyDescent="0.35">
      <c r="A16" t="s">
        <v>250</v>
      </c>
      <c r="B16" s="6">
        <v>1.6666666666666667</v>
      </c>
      <c r="M16" t="s">
        <v>256</v>
      </c>
      <c r="N16" s="24">
        <v>1</v>
      </c>
    </row>
    <row r="17" spans="1:14" hidden="1" outlineLevel="1" x14ac:dyDescent="0.35">
      <c r="A17" t="s">
        <v>253</v>
      </c>
      <c r="B17" s="6">
        <v>2</v>
      </c>
      <c r="M17" t="s">
        <v>222</v>
      </c>
      <c r="N17" s="24">
        <v>5.4063025210084037</v>
      </c>
    </row>
    <row r="18" spans="1:14" hidden="1" outlineLevel="1" x14ac:dyDescent="0.35">
      <c r="A18" t="s">
        <v>328</v>
      </c>
      <c r="B18" s="6">
        <v>2.6666666666666665</v>
      </c>
    </row>
    <row r="19" spans="1:14" hidden="1" outlineLevel="1" x14ac:dyDescent="0.35">
      <c r="A19" t="s">
        <v>248</v>
      </c>
      <c r="B19" s="6">
        <v>2.75</v>
      </c>
    </row>
    <row r="20" spans="1:14" hidden="1" outlineLevel="1" x14ac:dyDescent="0.35">
      <c r="A20" t="s">
        <v>410</v>
      </c>
      <c r="B20" s="6">
        <v>5</v>
      </c>
    </row>
    <row r="21" spans="1:14" hidden="1" outlineLevel="1" x14ac:dyDescent="0.35">
      <c r="A21" t="s">
        <v>222</v>
      </c>
      <c r="B21" s="6">
        <v>26.583333333333332</v>
      </c>
    </row>
    <row r="22" spans="1:14" hidden="1" outlineLevel="1" x14ac:dyDescent="0.35"/>
    <row r="23" spans="1:14" hidden="1" outlineLevel="1" x14ac:dyDescent="0.35"/>
    <row r="24" spans="1:14" hidden="1" outlineLevel="1" x14ac:dyDescent="0.35"/>
    <row r="25" spans="1:14" collapsed="1" x14ac:dyDescent="0.35"/>
    <row r="26" spans="1:14" s="59" customFormat="1" ht="50" customHeight="1" x14ac:dyDescent="0.35">
      <c r="A26" s="60" t="s">
        <v>267</v>
      </c>
      <c r="L26" s="61" t="s">
        <v>277</v>
      </c>
      <c r="M26" s="61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8766-D12E-44F5-BBBA-69E48AD3E71D}">
  <dimension ref="A1:Q26"/>
  <sheetViews>
    <sheetView showGridLines="0" topLeftCell="A25" workbookViewId="0">
      <selection activeCell="Z44" sqref="Z44"/>
    </sheetView>
  </sheetViews>
  <sheetFormatPr defaultRowHeight="14.5" outlineLevelRow="1" x14ac:dyDescent="0.35"/>
  <cols>
    <col min="1" max="1" width="18.1796875" bestFit="1" customWidth="1"/>
    <col min="2" max="2" width="6.81640625" bestFit="1" customWidth="1"/>
    <col min="4" max="4" width="18.1796875" bestFit="1" customWidth="1"/>
    <col min="5" max="5" width="5.453125" bestFit="1" customWidth="1"/>
    <col min="6" max="6" width="11.81640625" bestFit="1" customWidth="1"/>
    <col min="7" max="7" width="17.1796875" bestFit="1" customWidth="1"/>
    <col min="8" max="8" width="5.453125" bestFit="1" customWidth="1"/>
    <col min="9" max="9" width="12.26953125" bestFit="1" customWidth="1"/>
    <col min="10" max="10" width="19.81640625" bestFit="1" customWidth="1"/>
    <col min="11" max="11" width="5.453125" bestFit="1" customWidth="1"/>
    <col min="12" max="12" width="11.54296875" bestFit="1" customWidth="1"/>
    <col min="13" max="13" width="19.81640625" bestFit="1" customWidth="1"/>
    <col min="14" max="14" width="5.453125" bestFit="1" customWidth="1"/>
    <col min="15" max="15" width="10.453125" bestFit="1" customWidth="1"/>
    <col min="16" max="16" width="18.1796875" bestFit="1" customWidth="1"/>
    <col min="17" max="17" width="5.453125" bestFit="1" customWidth="1"/>
    <col min="18" max="18" width="14.26953125" bestFit="1" customWidth="1"/>
  </cols>
  <sheetData>
    <row r="1" spans="1:17" hidden="1" outlineLevel="1" x14ac:dyDescent="0.35">
      <c r="A1" s="56" t="s">
        <v>149</v>
      </c>
      <c r="B1" t="s">
        <v>401</v>
      </c>
      <c r="D1" s="56" t="s">
        <v>149</v>
      </c>
      <c r="E1" t="s">
        <v>401</v>
      </c>
      <c r="G1" s="56" t="s">
        <v>149</v>
      </c>
      <c r="H1" t="s">
        <v>401</v>
      </c>
      <c r="J1" s="56" t="s">
        <v>149</v>
      </c>
      <c r="K1" t="s">
        <v>401</v>
      </c>
      <c r="M1" s="56" t="s">
        <v>149</v>
      </c>
      <c r="N1" t="s">
        <v>401</v>
      </c>
      <c r="P1" s="56" t="s">
        <v>149</v>
      </c>
      <c r="Q1" t="s">
        <v>401</v>
      </c>
    </row>
    <row r="2" spans="1:17" hidden="1" outlineLevel="1" x14ac:dyDescent="0.35"/>
    <row r="3" spans="1:17" hidden="1" outlineLevel="1" x14ac:dyDescent="0.35">
      <c r="A3" s="56" t="s">
        <v>272</v>
      </c>
      <c r="D3" s="56" t="s">
        <v>273</v>
      </c>
      <c r="G3" s="56" t="s">
        <v>274</v>
      </c>
      <c r="J3" s="56" t="s">
        <v>275</v>
      </c>
      <c r="M3" s="56" t="s">
        <v>233</v>
      </c>
      <c r="P3" s="56" t="s">
        <v>276</v>
      </c>
    </row>
    <row r="4" spans="1:17" hidden="1" outlineLevel="1" x14ac:dyDescent="0.35">
      <c r="A4" s="56" t="s">
        <v>236</v>
      </c>
      <c r="B4" t="s">
        <v>100</v>
      </c>
      <c r="D4" s="56" t="s">
        <v>236</v>
      </c>
      <c r="E4" t="s">
        <v>100</v>
      </c>
      <c r="G4" s="56" t="s">
        <v>236</v>
      </c>
      <c r="H4" t="s">
        <v>100</v>
      </c>
      <c r="J4" s="56" t="s">
        <v>236</v>
      </c>
      <c r="K4" t="s">
        <v>100</v>
      </c>
      <c r="M4" s="56" t="s">
        <v>236</v>
      </c>
      <c r="N4" t="s">
        <v>100</v>
      </c>
      <c r="P4" s="56" t="s">
        <v>236</v>
      </c>
      <c r="Q4" t="s">
        <v>100</v>
      </c>
    </row>
    <row r="5" spans="1:17" hidden="1" outlineLevel="1" x14ac:dyDescent="0.35">
      <c r="A5" t="s">
        <v>241</v>
      </c>
      <c r="B5" s="62">
        <v>0.18502710084030766</v>
      </c>
      <c r="D5" t="s">
        <v>352</v>
      </c>
      <c r="E5" s="6">
        <v>10.149999999999999</v>
      </c>
      <c r="G5" t="s">
        <v>262</v>
      </c>
      <c r="H5" s="63">
        <v>0.2</v>
      </c>
      <c r="J5" t="s">
        <v>245</v>
      </c>
      <c r="K5" s="5">
        <v>4.1666666666666661</v>
      </c>
      <c r="M5" t="s">
        <v>261</v>
      </c>
      <c r="N5" s="6">
        <v>1.5</v>
      </c>
      <c r="P5" t="s">
        <v>252</v>
      </c>
      <c r="Q5" s="6">
        <v>20.952380952380953</v>
      </c>
    </row>
    <row r="6" spans="1:17" hidden="1" outlineLevel="1" x14ac:dyDescent="0.35">
      <c r="A6" t="s">
        <v>250</v>
      </c>
      <c r="B6" s="62">
        <v>0.20207351163955387</v>
      </c>
      <c r="D6" t="s">
        <v>241</v>
      </c>
      <c r="E6" s="6">
        <v>11.250000000000004</v>
      </c>
      <c r="G6" t="s">
        <v>261</v>
      </c>
      <c r="H6" s="63">
        <v>0.20114942528735633</v>
      </c>
      <c r="J6" t="s">
        <v>246</v>
      </c>
      <c r="K6" s="5">
        <v>4.166666666666667</v>
      </c>
      <c r="M6" t="s">
        <v>244</v>
      </c>
      <c r="N6" s="6">
        <v>1.5</v>
      </c>
      <c r="P6" t="s">
        <v>240</v>
      </c>
      <c r="Q6" s="6">
        <v>22.857142857142858</v>
      </c>
    </row>
    <row r="7" spans="1:17" hidden="1" outlineLevel="1" x14ac:dyDescent="0.35">
      <c r="A7" t="s">
        <v>243</v>
      </c>
      <c r="B7" s="62">
        <v>0.21790637585396991</v>
      </c>
      <c r="D7" t="s">
        <v>242</v>
      </c>
      <c r="E7" s="6">
        <v>11.533333333333331</v>
      </c>
      <c r="G7" t="s">
        <v>238</v>
      </c>
      <c r="H7" s="63">
        <v>0.20588235294117646</v>
      </c>
      <c r="J7" t="s">
        <v>354</v>
      </c>
      <c r="K7" s="5">
        <v>4.556962025316456</v>
      </c>
      <c r="M7" t="s">
        <v>253</v>
      </c>
      <c r="N7" s="6">
        <v>1.5</v>
      </c>
      <c r="P7" t="s">
        <v>328</v>
      </c>
      <c r="Q7" s="6">
        <v>23.137254901960787</v>
      </c>
    </row>
    <row r="8" spans="1:17" hidden="1" outlineLevel="1" x14ac:dyDescent="0.35">
      <c r="A8" t="s">
        <v>352</v>
      </c>
      <c r="B8" s="62">
        <v>0.21997303764844856</v>
      </c>
      <c r="D8" t="s">
        <v>328</v>
      </c>
      <c r="E8" s="6">
        <v>13.066666666666668</v>
      </c>
      <c r="G8" t="s">
        <v>249</v>
      </c>
      <c r="H8" s="63">
        <v>0.21794871794871795</v>
      </c>
      <c r="J8" t="s">
        <v>409</v>
      </c>
      <c r="K8" s="5">
        <v>4.7457627118644066</v>
      </c>
      <c r="M8" t="s">
        <v>409</v>
      </c>
      <c r="N8" s="6">
        <v>1.5</v>
      </c>
      <c r="P8" t="s">
        <v>408</v>
      </c>
      <c r="Q8" s="6">
        <v>24</v>
      </c>
    </row>
    <row r="9" spans="1:17" hidden="1" outlineLevel="1" x14ac:dyDescent="0.35">
      <c r="A9" t="s">
        <v>365</v>
      </c>
      <c r="B9" s="62">
        <v>0.2220606504951726</v>
      </c>
      <c r="D9" t="s">
        <v>408</v>
      </c>
      <c r="E9" s="6">
        <v>14.45</v>
      </c>
      <c r="G9" t="s">
        <v>328</v>
      </c>
      <c r="H9" s="63">
        <v>0.23039215686274511</v>
      </c>
      <c r="J9" t="s">
        <v>407</v>
      </c>
      <c r="K9" s="5">
        <v>5.1063829787234045</v>
      </c>
      <c r="M9" t="s">
        <v>408</v>
      </c>
      <c r="N9" s="6">
        <v>1.5</v>
      </c>
      <c r="P9" t="s">
        <v>241</v>
      </c>
      <c r="Q9" s="6">
        <v>27.5</v>
      </c>
    </row>
    <row r="10" spans="1:17" hidden="1" outlineLevel="1" x14ac:dyDescent="0.35">
      <c r="A10" t="s">
        <v>249</v>
      </c>
      <c r="B10" s="62">
        <v>0.24992741434356858</v>
      </c>
      <c r="D10" t="s">
        <v>250</v>
      </c>
      <c r="E10" s="6">
        <v>14.866666666666667</v>
      </c>
      <c r="G10" t="s">
        <v>365</v>
      </c>
      <c r="H10" s="63">
        <v>0.24647887323943662</v>
      </c>
      <c r="J10" t="s">
        <v>365</v>
      </c>
      <c r="K10" s="5">
        <v>5.915492957746479</v>
      </c>
      <c r="M10" t="s">
        <v>239</v>
      </c>
      <c r="N10" s="6">
        <v>1.5</v>
      </c>
      <c r="P10" t="s">
        <v>407</v>
      </c>
      <c r="Q10" s="6">
        <v>28.085106382978722</v>
      </c>
    </row>
    <row r="11" spans="1:17" hidden="1" outlineLevel="1" x14ac:dyDescent="0.35">
      <c r="A11" t="s">
        <v>246</v>
      </c>
      <c r="B11" s="62">
        <v>0.28611900107024085</v>
      </c>
      <c r="D11" t="s">
        <v>248</v>
      </c>
      <c r="E11" s="6">
        <v>15.499999999999998</v>
      </c>
      <c r="G11" t="s">
        <v>350</v>
      </c>
      <c r="H11" s="63">
        <v>0.25675675675675674</v>
      </c>
      <c r="J11" t="s">
        <v>350</v>
      </c>
      <c r="K11" s="5">
        <v>5.9459459459459456</v>
      </c>
      <c r="M11" t="s">
        <v>351</v>
      </c>
      <c r="N11" s="6">
        <v>1.5</v>
      </c>
      <c r="P11" t="s">
        <v>365</v>
      </c>
      <c r="Q11" s="6">
        <v>28.450704225352116</v>
      </c>
    </row>
    <row r="12" spans="1:17" hidden="1" outlineLevel="1" x14ac:dyDescent="0.35">
      <c r="A12" t="s">
        <v>247</v>
      </c>
      <c r="B12" s="62">
        <v>0.28839296740909642</v>
      </c>
      <c r="D12" t="s">
        <v>365</v>
      </c>
      <c r="E12" s="6">
        <v>19.374999999999996</v>
      </c>
      <c r="G12" t="s">
        <v>252</v>
      </c>
      <c r="H12" s="63">
        <v>0.27380952380952384</v>
      </c>
      <c r="J12" t="s">
        <v>249</v>
      </c>
      <c r="K12" s="5">
        <v>6.6666666666666661</v>
      </c>
      <c r="M12" t="s">
        <v>260</v>
      </c>
      <c r="N12" s="6">
        <v>1.5</v>
      </c>
      <c r="P12" t="s">
        <v>249</v>
      </c>
      <c r="Q12" s="6">
        <v>28.717948717948715</v>
      </c>
    </row>
    <row r="13" spans="1:17" hidden="1" outlineLevel="1" x14ac:dyDescent="0.35">
      <c r="A13" t="s">
        <v>248</v>
      </c>
      <c r="B13" s="62">
        <v>0.33533371820253155</v>
      </c>
      <c r="D13" t="s">
        <v>246</v>
      </c>
      <c r="E13" s="6">
        <v>20.8</v>
      </c>
      <c r="G13" t="s">
        <v>407</v>
      </c>
      <c r="H13" s="63">
        <v>0.31914893617021278</v>
      </c>
      <c r="J13" t="s">
        <v>252</v>
      </c>
      <c r="K13" s="5">
        <v>6.6666666666666661</v>
      </c>
      <c r="M13" t="s">
        <v>353</v>
      </c>
      <c r="N13" s="6">
        <v>1.5</v>
      </c>
      <c r="P13" t="s">
        <v>246</v>
      </c>
      <c r="Q13" s="6">
        <v>30.000000000000004</v>
      </c>
    </row>
    <row r="14" spans="1:17" hidden="1" outlineLevel="1" x14ac:dyDescent="0.35">
      <c r="A14" t="s">
        <v>410</v>
      </c>
      <c r="B14" s="62">
        <v>0.43567332792792546</v>
      </c>
      <c r="D14" t="s">
        <v>249</v>
      </c>
      <c r="E14" s="6">
        <v>23.400000000000002</v>
      </c>
      <c r="G14" t="s">
        <v>242</v>
      </c>
      <c r="H14" s="63">
        <v>0.39655172413793105</v>
      </c>
      <c r="J14" t="s">
        <v>242</v>
      </c>
      <c r="K14" s="5">
        <v>9.6551724137931032</v>
      </c>
      <c r="M14" t="s">
        <v>365</v>
      </c>
      <c r="N14" s="6">
        <v>1.5</v>
      </c>
      <c r="P14" t="s">
        <v>242</v>
      </c>
      <c r="Q14" s="6">
        <v>33.793103448275865</v>
      </c>
    </row>
    <row r="15" spans="1:17" hidden="1" outlineLevel="1" x14ac:dyDescent="0.35">
      <c r="A15" t="s">
        <v>222</v>
      </c>
      <c r="B15" s="62">
        <v>2.6424871054308157</v>
      </c>
      <c r="D15" t="s">
        <v>222</v>
      </c>
      <c r="E15" s="6">
        <v>154.39166666666668</v>
      </c>
      <c r="G15" t="s">
        <v>222</v>
      </c>
      <c r="H15" s="63">
        <v>2.548118467153857</v>
      </c>
      <c r="J15" t="s">
        <v>222</v>
      </c>
      <c r="K15" s="5">
        <v>57.592385700056461</v>
      </c>
      <c r="M15" t="s">
        <v>238</v>
      </c>
      <c r="N15" s="6">
        <v>1.6666666666666667</v>
      </c>
      <c r="P15" t="s">
        <v>222</v>
      </c>
      <c r="Q15" s="6">
        <v>267.49364148604002</v>
      </c>
    </row>
    <row r="16" spans="1:17" hidden="1" outlineLevel="1" x14ac:dyDescent="0.35">
      <c r="M16" t="s">
        <v>243</v>
      </c>
      <c r="N16" s="6">
        <v>2</v>
      </c>
    </row>
    <row r="17" spans="1:14" hidden="1" outlineLevel="1" x14ac:dyDescent="0.35">
      <c r="M17" t="s">
        <v>250</v>
      </c>
      <c r="N17" s="6">
        <v>2</v>
      </c>
    </row>
    <row r="18" spans="1:14" hidden="1" outlineLevel="1" x14ac:dyDescent="0.35">
      <c r="M18" t="s">
        <v>237</v>
      </c>
      <c r="N18" s="6">
        <v>2</v>
      </c>
    </row>
    <row r="19" spans="1:14" hidden="1" outlineLevel="1" x14ac:dyDescent="0.35">
      <c r="M19" t="s">
        <v>402</v>
      </c>
      <c r="N19" s="6">
        <v>2</v>
      </c>
    </row>
    <row r="20" spans="1:14" hidden="1" outlineLevel="1" x14ac:dyDescent="0.35">
      <c r="M20" t="s">
        <v>407</v>
      </c>
      <c r="N20" s="6">
        <v>3</v>
      </c>
    </row>
    <row r="21" spans="1:14" hidden="1" outlineLevel="1" x14ac:dyDescent="0.35">
      <c r="M21" t="s">
        <v>248</v>
      </c>
      <c r="N21" s="6">
        <v>3.25</v>
      </c>
    </row>
    <row r="22" spans="1:14" hidden="1" outlineLevel="1" x14ac:dyDescent="0.35">
      <c r="M22" t="s">
        <v>242</v>
      </c>
      <c r="N22" s="6">
        <v>4.333333333333333</v>
      </c>
    </row>
    <row r="23" spans="1:14" hidden="1" outlineLevel="1" x14ac:dyDescent="0.35">
      <c r="M23" t="s">
        <v>222</v>
      </c>
      <c r="N23" s="6">
        <v>35.25</v>
      </c>
    </row>
    <row r="24" spans="1:14" hidden="1" outlineLevel="1" x14ac:dyDescent="0.35"/>
    <row r="25" spans="1:14" collapsed="1" x14ac:dyDescent="0.35"/>
    <row r="26" spans="1:14" s="59" customFormat="1" ht="50" customHeight="1" x14ac:dyDescent="0.35">
      <c r="A26" s="60" t="s">
        <v>267</v>
      </c>
      <c r="L26" s="61" t="s">
        <v>278</v>
      </c>
      <c r="M26" s="61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7147-7941-4CAA-A9DB-AF47B73DD429}">
  <dimension ref="A1:AO20"/>
  <sheetViews>
    <sheetView showGridLines="0" topLeftCell="A20" workbookViewId="0">
      <selection activeCell="AB40" sqref="AB40"/>
    </sheetView>
  </sheetViews>
  <sheetFormatPr defaultRowHeight="14.5" outlineLevelRow="1" x14ac:dyDescent="0.35"/>
  <cols>
    <col min="1" max="1" width="15.54296875" bestFit="1" customWidth="1"/>
    <col min="2" max="2" width="6.81640625" bestFit="1" customWidth="1"/>
    <col min="4" max="4" width="15.54296875" bestFit="1" customWidth="1"/>
    <col min="5" max="5" width="8.26953125" bestFit="1" customWidth="1"/>
    <col min="6" max="6" width="7.453125" bestFit="1" customWidth="1"/>
    <col min="7" max="7" width="13" bestFit="1" customWidth="1"/>
    <col min="8" max="8" width="10.1796875" bestFit="1" customWidth="1"/>
    <col min="9" max="9" width="15.54296875" bestFit="1" customWidth="1"/>
    <col min="10" max="10" width="8.26953125" bestFit="1" customWidth="1"/>
    <col min="11" max="11" width="7.453125" bestFit="1" customWidth="1"/>
    <col min="12" max="12" width="13" bestFit="1" customWidth="1"/>
    <col min="13" max="13" width="5.36328125" customWidth="1"/>
    <col min="14" max="14" width="15.54296875" bestFit="1" customWidth="1"/>
    <col min="15" max="15" width="8.26953125" bestFit="1" customWidth="1"/>
    <col min="16" max="16" width="7.453125" bestFit="1" customWidth="1"/>
    <col min="17" max="17" width="13" bestFit="1" customWidth="1"/>
    <col min="18" max="18" width="10.1796875" bestFit="1" customWidth="1"/>
    <col min="19" max="19" width="15.54296875" bestFit="1" customWidth="1"/>
    <col min="20" max="20" width="5.7265625" bestFit="1" customWidth="1"/>
    <col min="21" max="21" width="10.54296875" bestFit="1" customWidth="1"/>
    <col min="22" max="22" width="19.81640625" bestFit="1" customWidth="1"/>
    <col min="23" max="23" width="5.453125" bestFit="1" customWidth="1"/>
    <col min="24" max="24" width="9.81640625" bestFit="1" customWidth="1"/>
    <col min="25" max="25" width="15.54296875" bestFit="1" customWidth="1"/>
    <col min="26" max="26" width="5.81640625" bestFit="1" customWidth="1"/>
    <col min="27" max="27" width="10.54296875" bestFit="1" customWidth="1"/>
    <col min="28" max="28" width="15.54296875" bestFit="1" customWidth="1"/>
    <col min="29" max="29" width="5.7265625" bestFit="1" customWidth="1"/>
    <col min="30" max="30" width="10.54296875" bestFit="1" customWidth="1"/>
    <col min="31" max="31" width="15.54296875" bestFit="1" customWidth="1"/>
    <col min="32" max="32" width="5.453125" bestFit="1" customWidth="1"/>
    <col min="33" max="33" width="13.54296875" bestFit="1" customWidth="1"/>
    <col min="34" max="34" width="15.54296875" bestFit="1" customWidth="1"/>
    <col min="35" max="35" width="5.453125" bestFit="1" customWidth="1"/>
    <col min="36" max="36" width="13.453125" bestFit="1" customWidth="1"/>
    <col min="37" max="37" width="15.54296875" bestFit="1" customWidth="1"/>
    <col min="38" max="38" width="5.453125" bestFit="1" customWidth="1"/>
    <col min="39" max="39" width="11.08984375" bestFit="1" customWidth="1"/>
    <col min="40" max="40" width="15.54296875" bestFit="1" customWidth="1"/>
    <col min="41" max="41" width="5.7265625" bestFit="1" customWidth="1"/>
    <col min="42" max="42" width="11.81640625" bestFit="1" customWidth="1"/>
  </cols>
  <sheetData>
    <row r="1" spans="1:41" hidden="1" outlineLevel="1" x14ac:dyDescent="0.35"/>
    <row r="2" spans="1:41" hidden="1" outlineLevel="1" x14ac:dyDescent="0.35"/>
    <row r="3" spans="1:41" hidden="1" outlineLevel="1" x14ac:dyDescent="0.35">
      <c r="A3" s="56" t="s">
        <v>235</v>
      </c>
      <c r="E3" s="56" t="s">
        <v>224</v>
      </c>
      <c r="J3" s="56" t="s">
        <v>224</v>
      </c>
      <c r="O3" s="56" t="s">
        <v>224</v>
      </c>
      <c r="S3" s="56" t="s">
        <v>270</v>
      </c>
      <c r="V3" s="56" t="s">
        <v>279</v>
      </c>
      <c r="Y3" s="56" t="s">
        <v>264</v>
      </c>
      <c r="AB3" s="56" t="s">
        <v>270</v>
      </c>
      <c r="AE3" s="56" t="s">
        <v>286</v>
      </c>
      <c r="AH3" s="56" t="s">
        <v>285</v>
      </c>
      <c r="AK3" s="56" t="s">
        <v>284</v>
      </c>
      <c r="AN3" s="56" t="s">
        <v>283</v>
      </c>
    </row>
    <row r="4" spans="1:41" hidden="1" outlineLevel="1" x14ac:dyDescent="0.35">
      <c r="A4" s="56" t="s">
        <v>38</v>
      </c>
      <c r="B4" t="s">
        <v>100</v>
      </c>
      <c r="D4" s="56" t="s">
        <v>38</v>
      </c>
      <c r="E4" t="s">
        <v>280</v>
      </c>
      <c r="F4" t="s">
        <v>281</v>
      </c>
      <c r="G4" t="s">
        <v>282</v>
      </c>
      <c r="I4" s="56" t="s">
        <v>38</v>
      </c>
      <c r="J4" t="s">
        <v>280</v>
      </c>
      <c r="K4" t="s">
        <v>281</v>
      </c>
      <c r="L4" t="s">
        <v>282</v>
      </c>
      <c r="N4" s="56" t="s">
        <v>38</v>
      </c>
      <c r="O4" t="s">
        <v>280</v>
      </c>
      <c r="P4" t="s">
        <v>281</v>
      </c>
      <c r="Q4" t="s">
        <v>282</v>
      </c>
      <c r="S4" s="56" t="s">
        <v>38</v>
      </c>
      <c r="T4" t="s">
        <v>100</v>
      </c>
      <c r="V4" s="56" t="s">
        <v>38</v>
      </c>
      <c r="W4" t="s">
        <v>100</v>
      </c>
      <c r="Y4" s="56" t="s">
        <v>38</v>
      </c>
      <c r="Z4" t="s">
        <v>100</v>
      </c>
      <c r="AB4" s="56" t="s">
        <v>38</v>
      </c>
      <c r="AC4" t="s">
        <v>100</v>
      </c>
      <c r="AE4" s="56" t="s">
        <v>38</v>
      </c>
      <c r="AF4" t="s">
        <v>100</v>
      </c>
      <c r="AH4" s="56" t="s">
        <v>38</v>
      </c>
      <c r="AI4" t="s">
        <v>100</v>
      </c>
      <c r="AK4" s="56" t="s">
        <v>38</v>
      </c>
      <c r="AL4" t="s">
        <v>100</v>
      </c>
      <c r="AN4" s="56" t="s">
        <v>38</v>
      </c>
      <c r="AO4" t="s">
        <v>100</v>
      </c>
    </row>
    <row r="5" spans="1:41" hidden="1" outlineLevel="1" x14ac:dyDescent="0.35">
      <c r="A5" t="s">
        <v>19</v>
      </c>
      <c r="B5" s="6">
        <v>44.5</v>
      </c>
      <c r="D5" t="s">
        <v>46</v>
      </c>
      <c r="E5" s="6">
        <v>17.25</v>
      </c>
      <c r="F5" s="6">
        <v>59</v>
      </c>
      <c r="G5" s="62">
        <v>0.2923728813559322</v>
      </c>
      <c r="I5" t="s">
        <v>46</v>
      </c>
      <c r="J5" s="6">
        <v>3.75</v>
      </c>
      <c r="K5" s="6">
        <v>18.5</v>
      </c>
      <c r="L5" s="62">
        <v>0.20270270270270271</v>
      </c>
      <c r="N5" t="s">
        <v>46</v>
      </c>
      <c r="O5" s="6">
        <v>6.5</v>
      </c>
      <c r="P5" s="6">
        <v>12.5</v>
      </c>
      <c r="Q5" s="62">
        <v>0.52</v>
      </c>
      <c r="S5" t="s">
        <v>46</v>
      </c>
      <c r="T5" s="62">
        <v>0.34689922480620156</v>
      </c>
      <c r="V5" t="s">
        <v>46</v>
      </c>
      <c r="W5" s="6">
        <v>60.25</v>
      </c>
      <c r="Y5" t="s">
        <v>52</v>
      </c>
      <c r="Z5" s="6">
        <v>11</v>
      </c>
      <c r="AB5" t="s">
        <v>19</v>
      </c>
      <c r="AC5" s="62">
        <v>0.31849413111938163</v>
      </c>
      <c r="AE5" t="s">
        <v>50</v>
      </c>
      <c r="AF5" s="6">
        <v>80.8039376538146</v>
      </c>
      <c r="AH5" t="s">
        <v>46</v>
      </c>
      <c r="AI5" s="6">
        <v>96.112667759262862</v>
      </c>
      <c r="AK5" t="s">
        <v>52</v>
      </c>
      <c r="AL5" s="6">
        <v>57.11</v>
      </c>
      <c r="AN5" t="s">
        <v>19</v>
      </c>
      <c r="AO5" s="62">
        <v>0.30410447761194032</v>
      </c>
    </row>
    <row r="6" spans="1:41" hidden="1" outlineLevel="1" x14ac:dyDescent="0.35">
      <c r="A6" t="s">
        <v>46</v>
      </c>
      <c r="B6" s="6">
        <v>44.75</v>
      </c>
      <c r="D6" t="s">
        <v>25</v>
      </c>
      <c r="E6" s="6">
        <v>24.25</v>
      </c>
      <c r="F6" s="6">
        <v>70.75</v>
      </c>
      <c r="G6" s="62">
        <v>0.34275618374558303</v>
      </c>
      <c r="I6" t="s">
        <v>25</v>
      </c>
      <c r="J6" s="6">
        <v>5.25</v>
      </c>
      <c r="K6" s="6">
        <v>25.75</v>
      </c>
      <c r="L6" s="62">
        <v>0.20388349514563106</v>
      </c>
      <c r="N6" t="s">
        <v>25</v>
      </c>
      <c r="O6" s="6">
        <v>3.75</v>
      </c>
      <c r="P6" s="6">
        <v>8</v>
      </c>
      <c r="Q6" s="62">
        <v>0.46875</v>
      </c>
      <c r="S6" t="s">
        <v>25</v>
      </c>
      <c r="T6" s="62">
        <v>0.39046721421839237</v>
      </c>
      <c r="V6" t="s">
        <v>50</v>
      </c>
      <c r="W6" s="6">
        <v>62.25</v>
      </c>
      <c r="Y6" t="s">
        <v>19</v>
      </c>
      <c r="Z6" s="6">
        <v>11.5</v>
      </c>
      <c r="AB6" t="s">
        <v>46</v>
      </c>
      <c r="AC6" s="62">
        <v>0.34689922480620156</v>
      </c>
      <c r="AE6" t="s">
        <v>19</v>
      </c>
      <c r="AF6" s="6">
        <v>81.115566897557429</v>
      </c>
      <c r="AH6" t="s">
        <v>25</v>
      </c>
      <c r="AI6" s="6">
        <v>95.208076229376019</v>
      </c>
      <c r="AK6" t="s">
        <v>19</v>
      </c>
      <c r="AL6" s="6">
        <v>57.589999999999996</v>
      </c>
      <c r="AN6" t="s">
        <v>46</v>
      </c>
      <c r="AO6" s="62">
        <v>0.32415254237288138</v>
      </c>
    </row>
    <row r="7" spans="1:41" hidden="1" outlineLevel="1" x14ac:dyDescent="0.35">
      <c r="A7" t="s">
        <v>50</v>
      </c>
      <c r="B7" s="6">
        <v>49.25</v>
      </c>
      <c r="D7" t="s">
        <v>50</v>
      </c>
      <c r="E7" s="6">
        <v>18</v>
      </c>
      <c r="F7" s="6">
        <v>65</v>
      </c>
      <c r="G7" s="62">
        <v>0.27692307692307694</v>
      </c>
      <c r="I7" t="s">
        <v>50</v>
      </c>
      <c r="J7" s="6">
        <v>7</v>
      </c>
      <c r="K7" s="6">
        <v>30.25</v>
      </c>
      <c r="L7" s="62">
        <v>0.23140495867768596</v>
      </c>
      <c r="N7" t="s">
        <v>50</v>
      </c>
      <c r="O7" s="6">
        <v>6.25</v>
      </c>
      <c r="P7" s="6">
        <v>11.25</v>
      </c>
      <c r="Q7" s="62">
        <v>0.55555555555555558</v>
      </c>
      <c r="S7" t="s">
        <v>50</v>
      </c>
      <c r="T7" s="62">
        <v>0.35203716940671909</v>
      </c>
      <c r="V7" t="s">
        <v>19</v>
      </c>
      <c r="W7" s="6">
        <v>63</v>
      </c>
      <c r="Y7" t="s">
        <v>50</v>
      </c>
      <c r="Z7" s="6">
        <v>11.75</v>
      </c>
      <c r="AB7" t="s">
        <v>52</v>
      </c>
      <c r="AC7" s="62">
        <v>0.35081240768094535</v>
      </c>
      <c r="AE7" t="s">
        <v>46</v>
      </c>
      <c r="AF7" s="6">
        <v>81.36363636363636</v>
      </c>
      <c r="AH7" t="s">
        <v>50</v>
      </c>
      <c r="AI7" s="6">
        <v>85.523719034466822</v>
      </c>
      <c r="AK7" t="s">
        <v>46</v>
      </c>
      <c r="AL7" s="6">
        <v>58.449999999999996</v>
      </c>
      <c r="AN7" t="s">
        <v>50</v>
      </c>
      <c r="AO7" s="62">
        <v>0.33076923076923076</v>
      </c>
    </row>
    <row r="8" spans="1:41" hidden="1" outlineLevel="1" x14ac:dyDescent="0.35">
      <c r="A8" t="s">
        <v>52</v>
      </c>
      <c r="B8" s="6">
        <v>52.25</v>
      </c>
      <c r="D8" t="s">
        <v>48</v>
      </c>
      <c r="E8" s="6">
        <v>24</v>
      </c>
      <c r="F8" s="6">
        <v>74.25</v>
      </c>
      <c r="G8" s="62">
        <v>0.32323232323232326</v>
      </c>
      <c r="I8" t="s">
        <v>48</v>
      </c>
      <c r="J8" s="6">
        <v>6.25</v>
      </c>
      <c r="K8" s="6">
        <v>25.25</v>
      </c>
      <c r="L8" s="62">
        <v>0.24752475247524752</v>
      </c>
      <c r="N8" t="s">
        <v>48</v>
      </c>
      <c r="O8" s="6">
        <v>9.25</v>
      </c>
      <c r="P8" s="6">
        <v>18.5</v>
      </c>
      <c r="Q8" s="62">
        <v>0.5</v>
      </c>
      <c r="S8" t="s">
        <v>48</v>
      </c>
      <c r="T8" s="62">
        <v>0.3853623012501517</v>
      </c>
      <c r="V8" t="s">
        <v>52</v>
      </c>
      <c r="W8" s="6">
        <v>70.5</v>
      </c>
      <c r="Y8" t="s">
        <v>46</v>
      </c>
      <c r="Z8" s="6">
        <v>11.75</v>
      </c>
      <c r="AB8" t="s">
        <v>50</v>
      </c>
      <c r="AC8" s="62">
        <v>0.35203716940671909</v>
      </c>
      <c r="AE8" t="s">
        <v>52</v>
      </c>
      <c r="AF8" s="6">
        <v>87.859424920127793</v>
      </c>
      <c r="AH8" t="s">
        <v>52</v>
      </c>
      <c r="AI8" s="6">
        <v>81.988520953792815</v>
      </c>
      <c r="AK8" t="s">
        <v>25</v>
      </c>
      <c r="AL8" s="6">
        <v>60.864999999999995</v>
      </c>
      <c r="AN8" t="s">
        <v>52</v>
      </c>
      <c r="AO8" s="62">
        <v>0.34440559440559443</v>
      </c>
    </row>
    <row r="9" spans="1:41" hidden="1" outlineLevel="1" x14ac:dyDescent="0.35">
      <c r="A9" t="s">
        <v>25</v>
      </c>
      <c r="B9" s="6">
        <v>58</v>
      </c>
      <c r="D9" t="s">
        <v>19</v>
      </c>
      <c r="E9" s="6">
        <v>18.75</v>
      </c>
      <c r="F9" s="6">
        <v>67</v>
      </c>
      <c r="G9" s="62">
        <v>0.27985074626865669</v>
      </c>
      <c r="I9" t="s">
        <v>19</v>
      </c>
      <c r="J9" s="6">
        <v>3.25</v>
      </c>
      <c r="K9" s="6">
        <v>20</v>
      </c>
      <c r="L9" s="62">
        <v>0.16250000000000001</v>
      </c>
      <c r="N9" t="s">
        <v>19</v>
      </c>
      <c r="O9" s="6">
        <v>3.75</v>
      </c>
      <c r="P9" s="6">
        <v>6.5</v>
      </c>
      <c r="Q9" s="62">
        <v>0.57692307692307687</v>
      </c>
      <c r="S9" t="s">
        <v>19</v>
      </c>
      <c r="T9" s="62">
        <v>0.31849413111938163</v>
      </c>
      <c r="V9" t="s">
        <v>48</v>
      </c>
      <c r="W9" s="6">
        <v>78.75</v>
      </c>
      <c r="Y9" t="s">
        <v>48</v>
      </c>
      <c r="Z9" s="6">
        <v>14</v>
      </c>
      <c r="AB9" t="s">
        <v>48</v>
      </c>
      <c r="AC9" s="62">
        <v>0.3853623012501517</v>
      </c>
      <c r="AE9" t="s">
        <v>48</v>
      </c>
      <c r="AF9" s="6">
        <v>91.511745208243269</v>
      </c>
      <c r="AH9" t="s">
        <v>19</v>
      </c>
      <c r="AI9" s="6">
        <v>80.507075105276542</v>
      </c>
      <c r="AK9" t="s">
        <v>48</v>
      </c>
      <c r="AL9" s="6">
        <v>62.71</v>
      </c>
      <c r="AN9" t="s">
        <v>48</v>
      </c>
      <c r="AO9" s="62">
        <v>0.36531986531986532</v>
      </c>
    </row>
    <row r="10" spans="1:41" hidden="1" outlineLevel="1" x14ac:dyDescent="0.35">
      <c r="A10" t="s">
        <v>48</v>
      </c>
      <c r="B10" s="6">
        <v>63.5</v>
      </c>
      <c r="D10" t="s">
        <v>52</v>
      </c>
      <c r="E10" s="6">
        <v>22.75</v>
      </c>
      <c r="F10" s="6">
        <v>71.5</v>
      </c>
      <c r="G10" s="62">
        <v>0.31818181818181818</v>
      </c>
      <c r="I10" t="s">
        <v>52</v>
      </c>
      <c r="J10" s="6">
        <v>3.75</v>
      </c>
      <c r="K10" s="6">
        <v>15.75</v>
      </c>
      <c r="L10" s="62">
        <v>0.23809523809523808</v>
      </c>
      <c r="N10" t="s">
        <v>52</v>
      </c>
      <c r="O10" s="6">
        <v>3</v>
      </c>
      <c r="P10" s="6">
        <v>6.75</v>
      </c>
      <c r="Q10" s="62">
        <v>0.44444444444444442</v>
      </c>
      <c r="S10" t="s">
        <v>52</v>
      </c>
      <c r="T10" s="62">
        <v>0.35081240768094535</v>
      </c>
      <c r="V10" t="s">
        <v>25</v>
      </c>
      <c r="W10" s="6">
        <v>79.25</v>
      </c>
      <c r="Y10" t="s">
        <v>25</v>
      </c>
      <c r="Z10" s="6">
        <v>16.25</v>
      </c>
      <c r="AB10" t="s">
        <v>25</v>
      </c>
      <c r="AC10" s="62">
        <v>0.39046721421839237</v>
      </c>
      <c r="AE10" t="s">
        <v>25</v>
      </c>
      <c r="AF10" s="6">
        <v>96.233615397378472</v>
      </c>
      <c r="AH10" t="s">
        <v>48</v>
      </c>
      <c r="AI10" s="6">
        <v>76.205167712718236</v>
      </c>
      <c r="AK10" t="s">
        <v>50</v>
      </c>
      <c r="AL10" s="6">
        <v>63.215000000000003</v>
      </c>
      <c r="AN10" t="s">
        <v>25</v>
      </c>
      <c r="AO10" s="62">
        <v>0.37985865724381623</v>
      </c>
    </row>
    <row r="11" spans="1:41" hidden="1" outlineLevel="1" x14ac:dyDescent="0.35">
      <c r="A11" t="s">
        <v>222</v>
      </c>
      <c r="B11" s="89">
        <v>312.25</v>
      </c>
      <c r="D11" t="s">
        <v>222</v>
      </c>
      <c r="E11" s="89">
        <v>125</v>
      </c>
      <c r="F11" s="89">
        <v>407.5</v>
      </c>
      <c r="G11" s="24">
        <v>1.8333170297073902</v>
      </c>
      <c r="I11" t="s">
        <v>222</v>
      </c>
      <c r="J11" s="89">
        <v>29.25</v>
      </c>
      <c r="K11" s="89">
        <v>135.5</v>
      </c>
      <c r="L11" s="24">
        <v>1.2861111470965054</v>
      </c>
      <c r="N11" t="s">
        <v>222</v>
      </c>
      <c r="O11" s="89">
        <v>32.5</v>
      </c>
      <c r="P11" s="89">
        <v>63.5</v>
      </c>
      <c r="Q11" s="24">
        <v>3.0656730769230771</v>
      </c>
      <c r="S11" t="s">
        <v>222</v>
      </c>
      <c r="T11" s="24">
        <v>2.1440724484817917</v>
      </c>
      <c r="V11" t="s">
        <v>222</v>
      </c>
      <c r="W11" s="89">
        <v>414</v>
      </c>
      <c r="Y11" t="s">
        <v>222</v>
      </c>
      <c r="Z11" s="89">
        <v>76.25</v>
      </c>
      <c r="AB11" t="s">
        <v>222</v>
      </c>
      <c r="AC11" s="24">
        <v>2.1440724484817917</v>
      </c>
      <c r="AE11" t="s">
        <v>222</v>
      </c>
      <c r="AF11" s="6">
        <v>518.88792644075795</v>
      </c>
      <c r="AH11" t="s">
        <v>222</v>
      </c>
      <c r="AI11" s="6">
        <v>515.54522679489332</v>
      </c>
      <c r="AK11" t="s">
        <v>222</v>
      </c>
      <c r="AL11" s="6">
        <v>359.94</v>
      </c>
      <c r="AN11" t="s">
        <v>222</v>
      </c>
      <c r="AO11" s="24">
        <v>2.0486103677233283</v>
      </c>
    </row>
    <row r="12" spans="1:41" hidden="1" outlineLevel="1" x14ac:dyDescent="0.35"/>
    <row r="13" spans="1:41" hidden="1" outlineLevel="1" x14ac:dyDescent="0.35"/>
    <row r="14" spans="1:41" hidden="1" outlineLevel="1" x14ac:dyDescent="0.35"/>
    <row r="15" spans="1:41" hidden="1" outlineLevel="1" x14ac:dyDescent="0.35"/>
    <row r="16" spans="1:41" hidden="1" outlineLevel="1" x14ac:dyDescent="0.35"/>
    <row r="17" spans="1:13" hidden="1" outlineLevel="1" x14ac:dyDescent="0.35"/>
    <row r="18" spans="1:13" hidden="1" outlineLevel="1" x14ac:dyDescent="0.35"/>
    <row r="19" spans="1:13" hidden="1" outlineLevel="1" x14ac:dyDescent="0.35"/>
    <row r="20" spans="1:13" s="59" customFormat="1" ht="50" customHeight="1" collapsed="1" x14ac:dyDescent="0.35">
      <c r="A20" s="60" t="s">
        <v>287</v>
      </c>
      <c r="L20" s="61" t="s">
        <v>288</v>
      </c>
      <c r="M20" s="61"/>
    </row>
  </sheetData>
  <sheetProtection algorithmName="SHA-512" hashValue="2rMqQBIuvFWgP9Zq3nO7f+KT+NYsj0aoiH4SBTJBj1JjfPly7VPg3buJhTjc3GwKK3R6eh2Hek4+lqPtyqd5Qw==" saltValue="59aotE+rX7lDCO9SlGvppw==" spinCount="100000" sheet="1" objects="1" scenarios="1"/>
  <pageMargins left="0.7" right="0.7" top="0.75" bottom="0.75" header="0.3" footer="0.3"/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F3A1-27CD-4BD0-85BE-FD90D27B923F}">
  <dimension ref="A1:AA23"/>
  <sheetViews>
    <sheetView showGridLines="0" topLeftCell="A23" workbookViewId="0">
      <selection activeCell="Z45" sqref="Z45"/>
    </sheetView>
  </sheetViews>
  <sheetFormatPr defaultRowHeight="14.5" outlineLevelRow="1" x14ac:dyDescent="0.35"/>
  <cols>
    <col min="1" max="1" width="15.54296875" bestFit="1" customWidth="1"/>
    <col min="2" max="2" width="5.453125" bestFit="1" customWidth="1"/>
    <col min="4" max="4" width="15.54296875" bestFit="1" customWidth="1"/>
    <col min="5" max="5" width="5.453125" bestFit="1" customWidth="1"/>
    <col min="6" max="6" width="9.7265625" bestFit="1" customWidth="1"/>
    <col min="7" max="7" width="15.54296875" bestFit="1" customWidth="1"/>
    <col min="8" max="8" width="10.1796875" bestFit="1" customWidth="1"/>
    <col min="9" max="9" width="11.08984375" bestFit="1" customWidth="1"/>
    <col min="10" max="10" width="14.54296875" bestFit="1" customWidth="1"/>
    <col min="11" max="11" width="14.54296875" customWidth="1"/>
    <col min="12" max="12" width="15.54296875" bestFit="1" customWidth="1"/>
    <col min="13" max="14" width="9.1796875" bestFit="1" customWidth="1"/>
    <col min="15" max="15" width="13.36328125" bestFit="1" customWidth="1"/>
    <col min="17" max="17" width="15.54296875" bestFit="1" customWidth="1"/>
    <col min="18" max="18" width="5.7265625" bestFit="1" customWidth="1"/>
    <col min="19" max="19" width="11.81640625" bestFit="1" customWidth="1"/>
    <col min="20" max="20" width="15.54296875" bestFit="1" customWidth="1"/>
    <col min="21" max="21" width="5.7265625" bestFit="1" customWidth="1"/>
    <col min="23" max="23" width="15.54296875" bestFit="1" customWidth="1"/>
    <col min="24" max="24" width="5.453125" bestFit="1" customWidth="1"/>
    <col min="25" max="25" width="11" bestFit="1" customWidth="1"/>
    <col min="26" max="26" width="15.54296875" bestFit="1" customWidth="1"/>
    <col min="27" max="27" width="5.81640625" bestFit="1" customWidth="1"/>
    <col min="28" max="28" width="10.453125" bestFit="1" customWidth="1"/>
  </cols>
  <sheetData>
    <row r="1" spans="1:27" hidden="1" outlineLevel="1" x14ac:dyDescent="0.35"/>
    <row r="2" spans="1:27" hidden="1" outlineLevel="1" x14ac:dyDescent="0.35"/>
    <row r="3" spans="1:27" hidden="1" outlineLevel="1" x14ac:dyDescent="0.35">
      <c r="A3" s="56" t="s">
        <v>234</v>
      </c>
      <c r="D3" s="56" t="s">
        <v>265</v>
      </c>
      <c r="H3" s="56" t="s">
        <v>224</v>
      </c>
      <c r="M3" s="56" t="s">
        <v>224</v>
      </c>
      <c r="Q3" s="56" t="s">
        <v>294</v>
      </c>
      <c r="T3" s="56" t="s">
        <v>293</v>
      </c>
      <c r="W3" s="56" t="s">
        <v>295</v>
      </c>
      <c r="Z3" s="56" t="s">
        <v>233</v>
      </c>
    </row>
    <row r="4" spans="1:27" hidden="1" outlineLevel="1" x14ac:dyDescent="0.35">
      <c r="A4" s="56" t="s">
        <v>38</v>
      </c>
      <c r="B4" t="s">
        <v>100</v>
      </c>
      <c r="D4" s="56" t="s">
        <v>38</v>
      </c>
      <c r="E4" t="s">
        <v>100</v>
      </c>
      <c r="G4" s="56" t="s">
        <v>38</v>
      </c>
      <c r="H4" t="s">
        <v>296</v>
      </c>
      <c r="I4" t="s">
        <v>297</v>
      </c>
      <c r="J4" t="s">
        <v>263</v>
      </c>
      <c r="L4" s="56" t="s">
        <v>38</v>
      </c>
      <c r="M4" t="s">
        <v>298</v>
      </c>
      <c r="N4" t="s">
        <v>299</v>
      </c>
      <c r="O4" t="s">
        <v>300</v>
      </c>
      <c r="Q4" s="56" t="s">
        <v>38</v>
      </c>
      <c r="R4" t="s">
        <v>100</v>
      </c>
      <c r="T4" s="56" t="s">
        <v>38</v>
      </c>
      <c r="U4" t="s">
        <v>100</v>
      </c>
      <c r="W4" s="56" t="s">
        <v>38</v>
      </c>
      <c r="X4" t="s">
        <v>100</v>
      </c>
      <c r="Z4" s="56" t="s">
        <v>38</v>
      </c>
      <c r="AA4" t="s">
        <v>100</v>
      </c>
    </row>
    <row r="5" spans="1:27" hidden="1" outlineLevel="1" x14ac:dyDescent="0.35">
      <c r="A5" t="s">
        <v>19</v>
      </c>
      <c r="B5" s="6">
        <v>8.75</v>
      </c>
      <c r="D5" t="s">
        <v>50</v>
      </c>
      <c r="E5" s="6">
        <v>2.25</v>
      </c>
      <c r="G5" t="s">
        <v>46</v>
      </c>
      <c r="H5" s="6">
        <v>9.5</v>
      </c>
      <c r="I5" s="6">
        <v>28.5</v>
      </c>
      <c r="J5" s="6">
        <v>38</v>
      </c>
      <c r="L5" t="s">
        <v>52</v>
      </c>
      <c r="M5" s="62">
        <v>0.22027972027972029</v>
      </c>
      <c r="N5" s="62">
        <v>0.77972027972027969</v>
      </c>
      <c r="O5" s="62">
        <v>9.4405594405594401E-2</v>
      </c>
      <c r="Q5" t="s">
        <v>46</v>
      </c>
      <c r="R5" s="62">
        <v>0.46200607902735563</v>
      </c>
      <c r="T5" t="s">
        <v>52</v>
      </c>
      <c r="U5" s="62">
        <v>0.48351648351648352</v>
      </c>
      <c r="W5" t="s">
        <v>19</v>
      </c>
      <c r="X5" s="6">
        <v>54.86</v>
      </c>
      <c r="Z5" t="s">
        <v>48</v>
      </c>
      <c r="AA5" s="6">
        <v>5.5</v>
      </c>
    </row>
    <row r="6" spans="1:27" hidden="1" outlineLevel="1" x14ac:dyDescent="0.35">
      <c r="A6" t="s">
        <v>46</v>
      </c>
      <c r="B6" s="6">
        <v>8.75</v>
      </c>
      <c r="D6" t="s">
        <v>25</v>
      </c>
      <c r="E6" s="6">
        <v>2.25</v>
      </c>
      <c r="G6" t="s">
        <v>25</v>
      </c>
      <c r="H6" s="6">
        <v>14</v>
      </c>
      <c r="I6" s="6">
        <v>26.5</v>
      </c>
      <c r="J6" s="6">
        <v>40.5</v>
      </c>
      <c r="L6" t="s">
        <v>19</v>
      </c>
      <c r="M6" s="62">
        <v>0.29850746268656714</v>
      </c>
      <c r="N6" s="62">
        <v>0.70149253731343286</v>
      </c>
      <c r="O6" s="62">
        <v>9.7014925373134331E-2</v>
      </c>
      <c r="Q6" t="s">
        <v>50</v>
      </c>
      <c r="R6" s="62">
        <v>0.478134110787172</v>
      </c>
      <c r="T6" t="s">
        <v>48</v>
      </c>
      <c r="U6" s="62">
        <v>0.58333333333333337</v>
      </c>
      <c r="W6" t="s">
        <v>46</v>
      </c>
      <c r="X6" s="6">
        <v>55</v>
      </c>
      <c r="Z6" t="s">
        <v>25</v>
      </c>
      <c r="AA6" s="6">
        <v>6.25</v>
      </c>
    </row>
    <row r="7" spans="1:27" hidden="1" outlineLevel="1" x14ac:dyDescent="0.35">
      <c r="A7" t="s">
        <v>50</v>
      </c>
      <c r="B7" s="6">
        <v>10</v>
      </c>
      <c r="D7" t="s">
        <v>48</v>
      </c>
      <c r="E7" s="6">
        <v>2.75</v>
      </c>
      <c r="G7" t="s">
        <v>50</v>
      </c>
      <c r="H7" s="6">
        <v>9</v>
      </c>
      <c r="I7" s="6">
        <v>32</v>
      </c>
      <c r="J7" s="6">
        <v>41</v>
      </c>
      <c r="L7" t="s">
        <v>48</v>
      </c>
      <c r="M7" s="62">
        <v>0.34006734006734007</v>
      </c>
      <c r="N7" s="62">
        <v>0.65993265993265993</v>
      </c>
      <c r="O7" s="62">
        <v>0.24915824915824916</v>
      </c>
      <c r="Q7" t="s">
        <v>48</v>
      </c>
      <c r="R7" s="62">
        <v>0.48823529411764705</v>
      </c>
      <c r="T7" t="s">
        <v>19</v>
      </c>
      <c r="U7" s="62">
        <v>0.61333333333333329</v>
      </c>
      <c r="W7" t="s">
        <v>52</v>
      </c>
      <c r="X7" s="6">
        <v>59.47</v>
      </c>
      <c r="Z7" t="s">
        <v>46</v>
      </c>
      <c r="AA7" s="6">
        <v>6.75</v>
      </c>
    </row>
    <row r="8" spans="1:27" hidden="1" outlineLevel="1" x14ac:dyDescent="0.35">
      <c r="A8" t="s">
        <v>25</v>
      </c>
      <c r="B8" s="6">
        <v>13</v>
      </c>
      <c r="D8" t="s">
        <v>52</v>
      </c>
      <c r="E8" s="6">
        <v>2.75</v>
      </c>
      <c r="G8" t="s">
        <v>48</v>
      </c>
      <c r="H8" s="6">
        <v>13</v>
      </c>
      <c r="I8" s="6">
        <v>28.5</v>
      </c>
      <c r="J8" s="6">
        <v>41.5</v>
      </c>
      <c r="L8" t="s">
        <v>50</v>
      </c>
      <c r="M8" s="62">
        <v>0.4653846153846154</v>
      </c>
      <c r="N8" s="62">
        <v>0.5346153846153846</v>
      </c>
      <c r="O8" s="62">
        <v>0.17307692307692307</v>
      </c>
      <c r="Q8" t="s">
        <v>25</v>
      </c>
      <c r="R8" s="62">
        <v>0.49541284403669728</v>
      </c>
      <c r="T8" t="s">
        <v>50</v>
      </c>
      <c r="U8" s="62">
        <v>0.65277777777777779</v>
      </c>
      <c r="W8" t="s">
        <v>25</v>
      </c>
      <c r="X8" s="6">
        <v>60.269999999999996</v>
      </c>
      <c r="Z8" t="s">
        <v>50</v>
      </c>
      <c r="AA8" s="6">
        <v>7.5</v>
      </c>
    </row>
    <row r="9" spans="1:27" hidden="1" outlineLevel="1" x14ac:dyDescent="0.35">
      <c r="A9" t="s">
        <v>52</v>
      </c>
      <c r="B9" s="6">
        <v>13.5</v>
      </c>
      <c r="D9" t="s">
        <v>19</v>
      </c>
      <c r="E9" s="6">
        <v>3.25</v>
      </c>
      <c r="G9" t="s">
        <v>19</v>
      </c>
      <c r="H9" s="6">
        <v>15</v>
      </c>
      <c r="I9" s="6">
        <v>31</v>
      </c>
      <c r="J9" s="6">
        <v>46</v>
      </c>
      <c r="L9" t="s">
        <v>25</v>
      </c>
      <c r="M9" s="62">
        <v>0.36395759717314485</v>
      </c>
      <c r="N9" s="62">
        <v>0.63604240282685509</v>
      </c>
      <c r="O9" s="62">
        <v>0.11307420494699646</v>
      </c>
      <c r="Q9" t="s">
        <v>19</v>
      </c>
      <c r="R9" s="62">
        <v>0.53644314868804666</v>
      </c>
      <c r="T9" t="s">
        <v>25</v>
      </c>
      <c r="U9" s="62">
        <v>0.67010309278350511</v>
      </c>
      <c r="W9" t="s">
        <v>50</v>
      </c>
      <c r="X9" s="6">
        <v>60.95</v>
      </c>
      <c r="Z9" t="s">
        <v>19</v>
      </c>
      <c r="AA9" s="6">
        <v>10.75</v>
      </c>
    </row>
    <row r="10" spans="1:27" hidden="1" outlineLevel="1" x14ac:dyDescent="0.35">
      <c r="A10" t="s">
        <v>48</v>
      </c>
      <c r="B10" s="6">
        <v>16.5</v>
      </c>
      <c r="D10" t="s">
        <v>46</v>
      </c>
      <c r="E10" s="6">
        <v>4.75</v>
      </c>
      <c r="G10" t="s">
        <v>52</v>
      </c>
      <c r="H10" s="6">
        <v>15</v>
      </c>
      <c r="I10" s="6">
        <v>28.5</v>
      </c>
      <c r="J10" s="6">
        <v>43.5</v>
      </c>
      <c r="L10" t="s">
        <v>46</v>
      </c>
      <c r="M10" s="62">
        <v>0.3135593220338983</v>
      </c>
      <c r="N10" s="62">
        <v>0.68644067796610164</v>
      </c>
      <c r="O10" s="62">
        <v>0.21186440677966101</v>
      </c>
      <c r="Q10" t="s">
        <v>52</v>
      </c>
      <c r="R10" s="62">
        <v>0.54037267080745344</v>
      </c>
      <c r="T10" t="s">
        <v>46</v>
      </c>
      <c r="U10" s="62">
        <v>0.6811594202898551</v>
      </c>
      <c r="W10" t="s">
        <v>48</v>
      </c>
      <c r="X10" s="6">
        <v>69.39</v>
      </c>
      <c r="Z10" t="s">
        <v>52</v>
      </c>
      <c r="AA10" s="6">
        <v>12.5</v>
      </c>
    </row>
    <row r="11" spans="1:27" hidden="1" outlineLevel="1" x14ac:dyDescent="0.35">
      <c r="A11" t="s">
        <v>222</v>
      </c>
      <c r="B11" s="89">
        <v>70.5</v>
      </c>
      <c r="D11" t="s">
        <v>222</v>
      </c>
      <c r="E11" s="89">
        <v>18</v>
      </c>
      <c r="G11" t="s">
        <v>222</v>
      </c>
      <c r="H11" s="89">
        <v>75.5</v>
      </c>
      <c r="I11" s="89">
        <v>175</v>
      </c>
      <c r="J11" s="89">
        <v>250.5</v>
      </c>
      <c r="L11" t="s">
        <v>222</v>
      </c>
      <c r="M11" s="24">
        <v>2.0017560576252862</v>
      </c>
      <c r="N11" s="24">
        <v>3.9982439423747138</v>
      </c>
      <c r="O11" s="24">
        <v>0.93859430374055841</v>
      </c>
      <c r="Q11" t="s">
        <v>222</v>
      </c>
      <c r="R11" s="24">
        <v>3.0006041474643723</v>
      </c>
      <c r="T11" t="s">
        <v>222</v>
      </c>
      <c r="U11" s="24">
        <v>3.6842234410342884</v>
      </c>
      <c r="W11" t="s">
        <v>222</v>
      </c>
      <c r="X11" s="6">
        <v>359.94000000000005</v>
      </c>
      <c r="Z11" t="s">
        <v>222</v>
      </c>
      <c r="AA11" s="89">
        <v>49.25</v>
      </c>
    </row>
    <row r="12" spans="1:27" hidden="1" outlineLevel="1" x14ac:dyDescent="0.35"/>
    <row r="13" spans="1:27" hidden="1" outlineLevel="1" x14ac:dyDescent="0.35"/>
    <row r="14" spans="1:27" hidden="1" outlineLevel="1" x14ac:dyDescent="0.35"/>
    <row r="15" spans="1:27" hidden="1" outlineLevel="1" x14ac:dyDescent="0.35"/>
    <row r="16" spans="1:27" hidden="1" outlineLevel="1" x14ac:dyDescent="0.35"/>
    <row r="17" spans="1:13" hidden="1" outlineLevel="1" x14ac:dyDescent="0.35"/>
    <row r="18" spans="1:13" hidden="1" outlineLevel="1" x14ac:dyDescent="0.35"/>
    <row r="19" spans="1:13" hidden="1" outlineLevel="1" x14ac:dyDescent="0.35"/>
    <row r="20" spans="1:13" hidden="1" outlineLevel="1" x14ac:dyDescent="0.35"/>
    <row r="21" spans="1:13" hidden="1" outlineLevel="1" x14ac:dyDescent="0.35"/>
    <row r="22" spans="1:13" hidden="1" outlineLevel="1" x14ac:dyDescent="0.35"/>
    <row r="23" spans="1:13" s="59" customFormat="1" ht="50" customHeight="1" collapsed="1" x14ac:dyDescent="0.35">
      <c r="A23" s="60" t="s">
        <v>287</v>
      </c>
      <c r="L23" s="61" t="s">
        <v>301</v>
      </c>
      <c r="M23" s="61"/>
    </row>
  </sheetData>
  <sheetProtection algorithmName="SHA-512" hashValue="XxTKDarpFT8fc7t/+TYKlLmmrTEKV+jy99q3aiCT28vtFDr5/aT1+3H/2RtmxzG4e7gI9U7i8JmuCOdC4t/xuQ==" saltValue="qjJQ2uFxW5wuJB8m/2zA+w==" spinCount="100000" sheet="1" objects="1" scenarios="1"/>
  <pageMargins left="0.7" right="0.7" top="0.75" bottom="0.75" header="0.3" footer="0.3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8E5A-9D80-4C17-8EBE-B95F0021AF20}">
  <dimension ref="A1:AA15"/>
  <sheetViews>
    <sheetView showGridLines="0" topLeftCell="A15" workbookViewId="0">
      <selection activeCell="Z33" sqref="Z33"/>
    </sheetView>
  </sheetViews>
  <sheetFormatPr defaultRowHeight="14.5" outlineLevelRow="1" x14ac:dyDescent="0.35"/>
  <cols>
    <col min="1" max="1" width="15.54296875" bestFit="1" customWidth="1"/>
    <col min="2" max="2" width="10.54296875" bestFit="1" customWidth="1"/>
    <col min="3" max="3" width="7.54296875" bestFit="1" customWidth="1"/>
    <col min="4" max="4" width="9.54296875" bestFit="1" customWidth="1"/>
    <col min="5" max="5" width="15.54296875" bestFit="1" customWidth="1"/>
    <col min="6" max="6" width="10.54296875" bestFit="1" customWidth="1"/>
    <col min="7" max="7" width="7.54296875" bestFit="1" customWidth="1"/>
    <col min="8" max="8" width="9.54296875" bestFit="1" customWidth="1"/>
    <col min="9" max="9" width="15.54296875" bestFit="1" customWidth="1"/>
    <col min="10" max="10" width="10.54296875" bestFit="1" customWidth="1"/>
    <col min="11" max="11" width="7.54296875" bestFit="1" customWidth="1"/>
    <col min="12" max="12" width="9.54296875" bestFit="1" customWidth="1"/>
    <col min="13" max="13" width="15.54296875" bestFit="1" customWidth="1"/>
    <col min="14" max="14" width="10.54296875" bestFit="1" customWidth="1"/>
    <col min="15" max="15" width="7.54296875" bestFit="1" customWidth="1"/>
    <col min="17" max="17" width="15.54296875" bestFit="1" customWidth="1"/>
    <col min="18" max="21" width="8.26953125" bestFit="1" customWidth="1"/>
    <col min="22" max="22" width="11" bestFit="1" customWidth="1"/>
    <col min="23" max="23" width="15.54296875" bestFit="1" customWidth="1"/>
    <col min="24" max="31" width="11" bestFit="1" customWidth="1"/>
  </cols>
  <sheetData>
    <row r="1" spans="1:27" hidden="1" outlineLevel="1" x14ac:dyDescent="0.35"/>
    <row r="2" spans="1:27" hidden="1" outlineLevel="1" x14ac:dyDescent="0.35"/>
    <row r="3" spans="1:27" hidden="1" outlineLevel="1" x14ac:dyDescent="0.35">
      <c r="B3" s="56" t="s">
        <v>224</v>
      </c>
      <c r="F3" s="56" t="s">
        <v>224</v>
      </c>
      <c r="J3" s="56" t="s">
        <v>224</v>
      </c>
      <c r="N3" s="56" t="s">
        <v>224</v>
      </c>
      <c r="R3" s="56" t="s">
        <v>224</v>
      </c>
      <c r="X3" s="56" t="s">
        <v>224</v>
      </c>
    </row>
    <row r="4" spans="1:27" hidden="1" outlineLevel="1" x14ac:dyDescent="0.35">
      <c r="A4" s="56" t="s">
        <v>38</v>
      </c>
      <c r="B4" t="s">
        <v>366</v>
      </c>
      <c r="C4" t="s">
        <v>367</v>
      </c>
      <c r="E4" s="56" t="s">
        <v>38</v>
      </c>
      <c r="F4" t="s">
        <v>366</v>
      </c>
      <c r="G4" t="s">
        <v>367</v>
      </c>
      <c r="I4" s="56" t="s">
        <v>38</v>
      </c>
      <c r="J4" t="s">
        <v>366</v>
      </c>
      <c r="K4" t="s">
        <v>367</v>
      </c>
      <c r="M4" s="56" t="s">
        <v>38</v>
      </c>
      <c r="N4" t="s">
        <v>366</v>
      </c>
      <c r="O4" t="s">
        <v>367</v>
      </c>
      <c r="Q4" s="56" t="s">
        <v>38</v>
      </c>
      <c r="R4" t="s">
        <v>368</v>
      </c>
      <c r="S4" t="s">
        <v>369</v>
      </c>
      <c r="T4" t="s">
        <v>370</v>
      </c>
      <c r="U4" t="s">
        <v>371</v>
      </c>
      <c r="W4" s="56" t="s">
        <v>38</v>
      </c>
      <c r="X4" t="s">
        <v>380</v>
      </c>
      <c r="Y4" t="s">
        <v>381</v>
      </c>
      <c r="Z4" t="s">
        <v>382</v>
      </c>
      <c r="AA4" t="s">
        <v>383</v>
      </c>
    </row>
    <row r="5" spans="1:27" hidden="1" outlineLevel="1" x14ac:dyDescent="0.35">
      <c r="A5" t="s">
        <v>46</v>
      </c>
      <c r="B5" s="6">
        <v>10.25</v>
      </c>
      <c r="C5" s="6">
        <v>14.75</v>
      </c>
      <c r="E5" t="s">
        <v>46</v>
      </c>
      <c r="F5" s="6">
        <v>8.75</v>
      </c>
      <c r="G5" s="6">
        <v>12.75</v>
      </c>
      <c r="I5" t="s">
        <v>46</v>
      </c>
      <c r="J5" s="6">
        <v>12.25</v>
      </c>
      <c r="K5" s="6">
        <v>14.75</v>
      </c>
      <c r="M5" t="s">
        <v>46</v>
      </c>
      <c r="N5" s="6">
        <v>13.5</v>
      </c>
      <c r="O5" s="6">
        <v>18.25</v>
      </c>
      <c r="Q5" t="s">
        <v>52</v>
      </c>
      <c r="R5" s="62">
        <v>0.24880382775119617</v>
      </c>
      <c r="S5" s="62">
        <v>0.24401913875598086</v>
      </c>
      <c r="T5" s="62">
        <v>0.20095693779904306</v>
      </c>
      <c r="U5" s="62">
        <v>0.27751196172248804</v>
      </c>
      <c r="W5" t="s">
        <v>52</v>
      </c>
      <c r="X5" s="62">
        <v>0.22777777777777777</v>
      </c>
      <c r="Y5" s="62">
        <v>0.16666666666666666</v>
      </c>
      <c r="Z5" s="62">
        <v>0.28333333333333333</v>
      </c>
      <c r="AA5" s="62">
        <v>0.32222222222222224</v>
      </c>
    </row>
    <row r="6" spans="1:27" hidden="1" outlineLevel="1" x14ac:dyDescent="0.35">
      <c r="A6" t="s">
        <v>25</v>
      </c>
      <c r="B6" s="6">
        <v>13.75</v>
      </c>
      <c r="C6" s="6">
        <v>12.5</v>
      </c>
      <c r="E6" t="s">
        <v>25</v>
      </c>
      <c r="F6" s="6">
        <v>14.25</v>
      </c>
      <c r="G6" s="6">
        <v>15.25</v>
      </c>
      <c r="I6" t="s">
        <v>25</v>
      </c>
      <c r="J6" s="6">
        <v>14</v>
      </c>
      <c r="K6" s="6">
        <v>13.75</v>
      </c>
      <c r="M6" t="s">
        <v>25</v>
      </c>
      <c r="N6" s="6">
        <v>15.75</v>
      </c>
      <c r="O6" s="6">
        <v>15.75</v>
      </c>
      <c r="Q6" t="s">
        <v>19</v>
      </c>
      <c r="R6" s="62">
        <v>0.24157303370786518</v>
      </c>
      <c r="S6" s="62">
        <v>0.24719101123595505</v>
      </c>
      <c r="T6" s="62">
        <v>0.2808988764044944</v>
      </c>
      <c r="U6" s="62">
        <v>0.2303370786516854</v>
      </c>
      <c r="W6" t="s">
        <v>19</v>
      </c>
      <c r="X6" s="62">
        <v>0.28061224489795916</v>
      </c>
      <c r="Y6" s="62">
        <v>0.25</v>
      </c>
      <c r="Z6" s="62">
        <v>0.19897959183673469</v>
      </c>
      <c r="AA6" s="62">
        <v>0.27040816326530615</v>
      </c>
    </row>
    <row r="7" spans="1:27" hidden="1" outlineLevel="1" x14ac:dyDescent="0.35">
      <c r="A7" t="s">
        <v>50</v>
      </c>
      <c r="B7" s="6">
        <v>11</v>
      </c>
      <c r="C7" s="6">
        <v>12.5</v>
      </c>
      <c r="E7" t="s">
        <v>50</v>
      </c>
      <c r="F7" s="6">
        <v>10.5</v>
      </c>
      <c r="G7" s="6">
        <v>14.25</v>
      </c>
      <c r="I7" t="s">
        <v>50</v>
      </c>
      <c r="J7" s="6">
        <v>11</v>
      </c>
      <c r="K7" s="6">
        <v>13.75</v>
      </c>
      <c r="M7" t="s">
        <v>50</v>
      </c>
      <c r="N7" s="6">
        <v>16.75</v>
      </c>
      <c r="O7" s="6">
        <v>15</v>
      </c>
      <c r="Q7" t="s">
        <v>48</v>
      </c>
      <c r="R7" s="62">
        <v>0.23228346456692914</v>
      </c>
      <c r="S7" s="62">
        <v>0.26771653543307089</v>
      </c>
      <c r="T7" s="62">
        <v>0.19291338582677164</v>
      </c>
      <c r="U7" s="62">
        <v>0.30708661417322836</v>
      </c>
      <c r="W7" t="s">
        <v>48</v>
      </c>
      <c r="X7" s="62">
        <v>0.22543352601156069</v>
      </c>
      <c r="Y7" s="62">
        <v>0.2832369942196532</v>
      </c>
      <c r="Z7" s="62">
        <v>0.1791907514450867</v>
      </c>
      <c r="AA7" s="62">
        <v>0.31213872832369943</v>
      </c>
    </row>
    <row r="8" spans="1:27" hidden="1" outlineLevel="1" x14ac:dyDescent="0.35">
      <c r="A8" t="s">
        <v>48</v>
      </c>
      <c r="B8" s="6">
        <v>14.75</v>
      </c>
      <c r="C8" s="6">
        <v>9.75</v>
      </c>
      <c r="E8" t="s">
        <v>48</v>
      </c>
      <c r="F8" s="6">
        <v>17</v>
      </c>
      <c r="G8" s="6">
        <v>12.25</v>
      </c>
      <c r="I8" t="s">
        <v>48</v>
      </c>
      <c r="J8" s="6">
        <v>12.25</v>
      </c>
      <c r="K8" s="6">
        <v>7.75</v>
      </c>
      <c r="M8" t="s">
        <v>48</v>
      </c>
      <c r="N8" s="6">
        <v>19.5</v>
      </c>
      <c r="O8" s="6">
        <v>13.5</v>
      </c>
      <c r="Q8" t="s">
        <v>50</v>
      </c>
      <c r="R8" s="62">
        <v>0.2233502538071066</v>
      </c>
      <c r="S8" s="62">
        <v>0.21319796954314721</v>
      </c>
      <c r="T8" s="62">
        <v>0.2233502538071066</v>
      </c>
      <c r="U8" s="62">
        <v>0.34010152284263961</v>
      </c>
      <c r="W8" t="s">
        <v>50</v>
      </c>
      <c r="X8" s="62">
        <v>0.22522522522522523</v>
      </c>
      <c r="Y8" s="62">
        <v>0.25675675675675674</v>
      </c>
      <c r="Z8" s="62">
        <v>0.24774774774774774</v>
      </c>
      <c r="AA8" s="62">
        <v>0.27027027027027029</v>
      </c>
    </row>
    <row r="9" spans="1:27" hidden="1" outlineLevel="1" x14ac:dyDescent="0.35">
      <c r="A9" t="s">
        <v>19</v>
      </c>
      <c r="B9" s="6">
        <v>10.75</v>
      </c>
      <c r="C9" s="6">
        <v>13.75</v>
      </c>
      <c r="E9" t="s">
        <v>19</v>
      </c>
      <c r="F9" s="6">
        <v>11</v>
      </c>
      <c r="G9" s="6">
        <v>12.25</v>
      </c>
      <c r="I9" t="s">
        <v>19</v>
      </c>
      <c r="J9" s="6">
        <v>12.5</v>
      </c>
      <c r="K9" s="6">
        <v>9.75</v>
      </c>
      <c r="M9" t="s">
        <v>19</v>
      </c>
      <c r="N9" s="6">
        <v>10.25</v>
      </c>
      <c r="O9" s="6">
        <v>13.25</v>
      </c>
      <c r="Q9" t="s">
        <v>25</v>
      </c>
      <c r="R9" s="62">
        <v>0.23706896551724138</v>
      </c>
      <c r="S9" s="62">
        <v>0.24568965517241378</v>
      </c>
      <c r="T9" s="62">
        <v>0.2413793103448276</v>
      </c>
      <c r="U9" s="62">
        <v>0.27155172413793105</v>
      </c>
      <c r="W9" t="s">
        <v>25</v>
      </c>
      <c r="X9" s="62">
        <v>0.2183406113537118</v>
      </c>
      <c r="Y9" s="62">
        <v>0.26637554585152839</v>
      </c>
      <c r="Z9" s="62">
        <v>0.24017467248908297</v>
      </c>
      <c r="AA9" s="62">
        <v>0.27510917030567683</v>
      </c>
    </row>
    <row r="10" spans="1:27" hidden="1" outlineLevel="1" x14ac:dyDescent="0.35">
      <c r="A10" t="s">
        <v>52</v>
      </c>
      <c r="B10" s="6">
        <v>13</v>
      </c>
      <c r="C10" s="6">
        <v>10.25</v>
      </c>
      <c r="E10" t="s">
        <v>52</v>
      </c>
      <c r="F10" s="6">
        <v>12.75</v>
      </c>
      <c r="G10" s="6">
        <v>7.5</v>
      </c>
      <c r="I10" t="s">
        <v>52</v>
      </c>
      <c r="J10" s="6">
        <v>10.5</v>
      </c>
      <c r="K10" s="6">
        <v>12.75</v>
      </c>
      <c r="M10" t="s">
        <v>52</v>
      </c>
      <c r="N10" s="6">
        <v>14.5</v>
      </c>
      <c r="O10" s="6">
        <v>14.5</v>
      </c>
      <c r="Q10" t="s">
        <v>46</v>
      </c>
      <c r="R10" s="62">
        <v>0.22905027932960895</v>
      </c>
      <c r="S10" s="62">
        <v>0.19553072625698323</v>
      </c>
      <c r="T10" s="62">
        <v>0.27374301675977653</v>
      </c>
      <c r="U10" s="62">
        <v>0.3016759776536313</v>
      </c>
      <c r="W10" t="s">
        <v>46</v>
      </c>
      <c r="X10" s="62">
        <v>0.24380165289256198</v>
      </c>
      <c r="Y10" s="62">
        <v>0.21074380165289255</v>
      </c>
      <c r="Z10" s="62">
        <v>0.24380165289256198</v>
      </c>
      <c r="AA10" s="62">
        <v>0.30165289256198347</v>
      </c>
    </row>
    <row r="11" spans="1:27" hidden="1" outlineLevel="1" x14ac:dyDescent="0.35">
      <c r="A11" t="s">
        <v>222</v>
      </c>
      <c r="B11" s="89">
        <v>73.5</v>
      </c>
      <c r="C11" s="89">
        <v>73.5</v>
      </c>
      <c r="E11" t="s">
        <v>222</v>
      </c>
      <c r="F11" s="89">
        <v>74.25</v>
      </c>
      <c r="G11" s="89">
        <v>74.25</v>
      </c>
      <c r="I11" t="s">
        <v>222</v>
      </c>
      <c r="J11" s="89">
        <v>72.5</v>
      </c>
      <c r="K11" s="89">
        <v>72.5</v>
      </c>
      <c r="M11" t="s">
        <v>222</v>
      </c>
      <c r="N11" s="89">
        <v>90.25</v>
      </c>
      <c r="O11" s="89">
        <v>90.25</v>
      </c>
      <c r="W11" t="s">
        <v>222</v>
      </c>
      <c r="X11" s="24">
        <v>1.4211910381587967</v>
      </c>
      <c r="Y11" s="24">
        <v>1.4337797651474977</v>
      </c>
      <c r="Z11" s="24">
        <v>1.3932277497445476</v>
      </c>
      <c r="AA11" s="24">
        <v>1.7518014469491583</v>
      </c>
    </row>
    <row r="12" spans="1:27" hidden="1" outlineLevel="1" x14ac:dyDescent="0.35"/>
    <row r="13" spans="1:27" hidden="1" outlineLevel="1" x14ac:dyDescent="0.35"/>
    <row r="14" spans="1:27" hidden="1" outlineLevel="1" x14ac:dyDescent="0.35"/>
    <row r="15" spans="1:27" s="59" customFormat="1" ht="50" customHeight="1" collapsed="1" x14ac:dyDescent="0.35">
      <c r="A15" s="60" t="s">
        <v>287</v>
      </c>
      <c r="L15" s="61"/>
      <c r="M15" s="61" t="s">
        <v>384</v>
      </c>
    </row>
  </sheetData>
  <sheetProtection algorithmName="SHA-512" hashValue="x8urDzUZ5S3XXfZqD+k9vgWGSoAoP4fiVXAfkIsjngtewQBm3Ln0agoKSGh/FumboWadYh08R3z+OBjK7YoZHg==" saltValue="ZRu/Ter4sTSRrhDXEVLDIw==" spinCount="100000" sheet="1" objects="1" scenarios="1"/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0490-6000-4F5C-AA44-053609595357}">
  <dimension ref="A8:AQ86"/>
  <sheetViews>
    <sheetView workbookViewId="0">
      <selection activeCell="B25" sqref="B25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4.54296875" customWidth="1"/>
    <col min="38" max="38" width="8.26953125" bestFit="1" customWidth="1"/>
  </cols>
  <sheetData>
    <row r="8" spans="1:43" s="27" customFormat="1" ht="31.5" x14ac:dyDescent="0.25">
      <c r="R8" s="28"/>
      <c r="S8" s="28"/>
      <c r="T8" s="28"/>
      <c r="AG8" s="27" t="s">
        <v>111</v>
      </c>
      <c r="AH8" s="27" t="s">
        <v>108</v>
      </c>
      <c r="AI8" s="27" t="s">
        <v>109</v>
      </c>
      <c r="AK8" s="27" t="s">
        <v>110</v>
      </c>
    </row>
    <row r="9" spans="1:43" s="8" customFormat="1" ht="5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 s="4"/>
      <c r="S9" s="4"/>
      <c r="T9" s="4"/>
      <c r="U9"/>
      <c r="V9"/>
      <c r="Y9" s="8" t="s">
        <v>67</v>
      </c>
      <c r="Z9" s="8" t="s">
        <v>61</v>
      </c>
      <c r="AA9" s="8" t="s">
        <v>63</v>
      </c>
      <c r="AC9" s="8" t="s">
        <v>119</v>
      </c>
      <c r="AD9" s="8" t="s">
        <v>116</v>
      </c>
      <c r="AE9" s="8" t="s">
        <v>114</v>
      </c>
      <c r="AF9" s="8" t="s">
        <v>42</v>
      </c>
      <c r="AG9" s="8" t="s">
        <v>105</v>
      </c>
      <c r="AH9" s="8" t="s">
        <v>43</v>
      </c>
      <c r="AI9" s="8" t="s">
        <v>103</v>
      </c>
      <c r="AJ9" s="8" t="s">
        <v>106</v>
      </c>
      <c r="AK9" s="8" t="s">
        <v>68</v>
      </c>
    </row>
    <row r="10" spans="1:43" ht="29" x14ac:dyDescent="0.35">
      <c r="A10" s="8" t="s">
        <v>38</v>
      </c>
      <c r="B10" s="8" t="s">
        <v>112</v>
      </c>
      <c r="C10" s="1" t="s">
        <v>149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2</v>
      </c>
      <c r="K10" s="1" t="s">
        <v>3</v>
      </c>
      <c r="L10" s="1" t="s">
        <v>4</v>
      </c>
      <c r="M10" s="1" t="s">
        <v>5</v>
      </c>
      <c r="N10" s="1" t="s">
        <v>6</v>
      </c>
      <c r="O10" s="1" t="s">
        <v>7</v>
      </c>
      <c r="P10" s="1" t="s">
        <v>8</v>
      </c>
      <c r="Q10" s="1" t="s">
        <v>9</v>
      </c>
      <c r="R10" s="1" t="s">
        <v>10</v>
      </c>
      <c r="S10" s="1" t="s">
        <v>32</v>
      </c>
      <c r="T10" s="3" t="s">
        <v>0</v>
      </c>
      <c r="U10" s="3" t="s">
        <v>33</v>
      </c>
      <c r="V10" s="3" t="s">
        <v>1</v>
      </c>
      <c r="W10" s="3" t="s">
        <v>289</v>
      </c>
      <c r="X10" s="3" t="s">
        <v>34</v>
      </c>
      <c r="Y10" s="3" t="s">
        <v>40</v>
      </c>
      <c r="Z10" s="3" t="s">
        <v>66</v>
      </c>
      <c r="AA10" s="3" t="s">
        <v>60</v>
      </c>
      <c r="AB10" s="3" t="s">
        <v>62</v>
      </c>
      <c r="AC10" s="3" t="s">
        <v>41</v>
      </c>
      <c r="AD10" s="3" t="s">
        <v>118</v>
      </c>
      <c r="AE10" s="3" t="s">
        <v>117</v>
      </c>
      <c r="AF10" s="3" t="s">
        <v>115</v>
      </c>
      <c r="AG10" s="3" t="s">
        <v>65</v>
      </c>
      <c r="AH10" s="3" t="s">
        <v>104</v>
      </c>
      <c r="AI10" s="3" t="s">
        <v>101</v>
      </c>
      <c r="AJ10" s="3" t="s">
        <v>102</v>
      </c>
      <c r="AK10" s="3" t="s">
        <v>107</v>
      </c>
      <c r="AL10" s="3" t="s">
        <v>64</v>
      </c>
      <c r="AM10" s="3" t="s">
        <v>228</v>
      </c>
      <c r="AN10" s="3" t="s">
        <v>229</v>
      </c>
      <c r="AO10" s="3" t="s">
        <v>290</v>
      </c>
      <c r="AP10" s="3" t="s">
        <v>291</v>
      </c>
      <c r="AQ10" s="3" t="s">
        <v>221</v>
      </c>
    </row>
    <row r="11" spans="1:43" ht="14.5" customHeight="1" x14ac:dyDescent="0.35">
      <c r="A11" s="58" t="s">
        <v>19</v>
      </c>
      <c r="B11" s="58" t="s">
        <v>160</v>
      </c>
      <c r="C11" s="9">
        <f>SUMIF(tbl_główna_GRACZE[I. Nazwisko],tbl_zawodnicy_sumy[[#This Row],[I. Nazwisko]],tbl_główna_GRACZE[Played?])</f>
        <v>4</v>
      </c>
      <c r="D11" s="10">
        <f>SUMIF(tbl_główna_GRACZE[I. Nazwisko],tbl_zawodnicy_sumy[[#This Row],[I. Nazwisko]],tbl_główna_GRACZE[fgm])</f>
        <v>23</v>
      </c>
      <c r="E11" s="10">
        <f>SUMIF(tbl_główna_GRACZE[I. Nazwisko],tbl_zawodnicy_sumy[[#This Row],[I. Nazwisko]],tbl_główna_GRACZE[fga])</f>
        <v>51</v>
      </c>
      <c r="F11" s="10">
        <f>SUMIF(tbl_główna_GRACZE[I. Nazwisko],tbl_zawodnicy_sumy[[#This Row],[I. Nazwisko]],tbl_główna_GRACZE[3pm])</f>
        <v>2</v>
      </c>
      <c r="G11" s="10">
        <f>SUMIF(tbl_główna_GRACZE[I. Nazwisko],tbl_zawodnicy_sumy[[#This Row],[I. Nazwisko]],tbl_główna_GRACZE[3pa])</f>
        <v>6</v>
      </c>
      <c r="H11" s="10">
        <f>SUMIF(tbl_główna_GRACZE[I. Nazwisko],tbl_zawodnicy_sumy[[#This Row],[I. Nazwisko]],tbl_główna_GRACZE[ftm])</f>
        <v>1</v>
      </c>
      <c r="I11" s="10">
        <f>SUMIF(tbl_główna_GRACZE[I. Nazwisko],tbl_zawodnicy_sumy[[#This Row],[I. Nazwisko]],tbl_główna_GRACZE[fta])</f>
        <v>2</v>
      </c>
      <c r="J11" s="10">
        <f>SUMIF(tbl_główna_GRACZE[I. Nazwisko],tbl_zawodnicy_sumy[[#This Row],[I. Nazwisko]],tbl_główna_GRACZE[oreb])</f>
        <v>15</v>
      </c>
      <c r="K11" s="10">
        <f>SUMIF(tbl_główna_GRACZE[I. Nazwisko],tbl_zawodnicy_sumy[[#This Row],[I. Nazwisko]],tbl_główna_GRACZE[dreb])</f>
        <v>24</v>
      </c>
      <c r="L11" s="10">
        <f>SUMIF(tbl_główna_GRACZE[I. Nazwisko],tbl_zawodnicy_sumy[[#This Row],[I. Nazwisko]],tbl_główna_GRACZE[foul])</f>
        <v>3</v>
      </c>
      <c r="M11" s="10">
        <f>SUMIF(tbl_główna_GRACZE[I. Nazwisko],tbl_zawodnicy_sumy[[#This Row],[I. Nazwisko]],tbl_główna_GRACZE[stl])</f>
        <v>1</v>
      </c>
      <c r="N11" s="10">
        <f>SUMIF(tbl_główna_GRACZE[I. Nazwisko],tbl_zawodnicy_sumy[[#This Row],[I. Nazwisko]],tbl_główna_GRACZE[to])</f>
        <v>0</v>
      </c>
      <c r="O11" s="10">
        <f>SUMIF(tbl_główna_GRACZE[I. Nazwisko],tbl_zawodnicy_sumy[[#This Row],[I. Nazwisko]],tbl_główna_GRACZE[blk])</f>
        <v>5</v>
      </c>
      <c r="P11" s="10">
        <f>SUMIF(tbl_główna_GRACZE[I. Nazwisko],tbl_zawodnicy_sumy[[#This Row],[I. Nazwisko]],tbl_główna_GRACZE[asst])</f>
        <v>1</v>
      </c>
      <c r="Q11" s="10">
        <f>SUMIF(tbl_główna_GRACZE[I. Nazwisko],tbl_zawodnicy_sumy[[#This Row],[I. Nazwisko]],tbl_główna_GRACZE[min])</f>
        <v>96</v>
      </c>
      <c r="R11" s="10">
        <f>SUMIF(tbl_główna_GRACZE[I. Nazwisko],tbl_zawodnicy_sumy[[#This Row],[I. Nazwisko]],tbl_główna_GRACZE[pts])</f>
        <v>49</v>
      </c>
      <c r="S11" s="11">
        <f t="shared" ref="S11:S42" si="0">J11+K11</f>
        <v>39</v>
      </c>
      <c r="T11" s="4">
        <f t="shared" ref="T11:T42" si="1">IFERROR(D11/E11,0)</f>
        <v>0.45098039215686275</v>
      </c>
      <c r="U11" s="4">
        <f t="shared" ref="U11:U42" si="2">IFERROR(F11/G11,0)</f>
        <v>0.33333333333333331</v>
      </c>
      <c r="V11" s="4">
        <f>IFERROR(H11/I11,0)</f>
        <v>0.5</v>
      </c>
      <c r="W11" s="4">
        <f>IFERROR(tbl_zawodnicy_sumy[[#This Row],[2pm]]/tbl_zawodnicy_sumy[[#This Row],[2pa]],0)</f>
        <v>0.46666666666666667</v>
      </c>
      <c r="X11" s="4">
        <f t="shared" ref="X11:X42" si="3">IFERROR(R11/(2*(E11+0.44*I11)),0)</f>
        <v>0.47224363916730916</v>
      </c>
      <c r="Y11" s="4">
        <f t="shared" ref="Y11:Y42" si="4">IFERROR((D11+0.5*F11)/E11,0)</f>
        <v>0.47058823529411764</v>
      </c>
      <c r="Z11" s="11">
        <f t="shared" ref="Z11:Z42" si="5">M11+O11+P11+R11+S11-(E11-D11)-(I11-H11)</f>
        <v>66</v>
      </c>
      <c r="AA11" s="4">
        <f t="shared" ref="AA11:AA42" si="6">IFERROR(I11/E11,0)</f>
        <v>3.9215686274509803E-2</v>
      </c>
      <c r="AB11" s="4">
        <f t="shared" ref="AB11:AB42" si="7">IFERROR(G11/E11,0)</f>
        <v>0.11764705882352941</v>
      </c>
      <c r="AC11" s="26">
        <f>IFERROR((SUMIF(tbl_główna_GRACZE[I. Nazwisko],tbl_zawodnicy_sumy[[#This Row],[I. Nazwisko]],tbl_główna_GRACZE[USG%]))/tbl_zawodnicy_sumy[[#This Row],[Played]],0)</f>
        <v>0.18502710084030766</v>
      </c>
      <c r="AD11" s="25">
        <f>IFERROR(tbl_zawodnicy_sumy[[#This Row],[pts]]*(40/tbl_zawodnicy_sumy[[#This Row],[min]]),0)</f>
        <v>20.416666666666668</v>
      </c>
      <c r="AE11" s="30">
        <f>IFERROR(tbl_zawodnicy_sumy[[#This Row],[reb total]]*(40/tbl_zawodnicy_sumy[[#This Row],[min]]),0)</f>
        <v>16.25</v>
      </c>
      <c r="AF11" s="30">
        <f>IFERROR(tbl_zawodnicy_sumy[[#This Row],[asst]]*(40/tbl_zawodnicy_sumy[[#This Row],[min]]),0)</f>
        <v>0.41666666666666669</v>
      </c>
      <c r="AG11" s="5">
        <f t="shared" ref="AG11:AG42" si="8">IFERROR(R11/E11,0)</f>
        <v>0.96078431372549022</v>
      </c>
      <c r="AH11" s="5">
        <f>IFERROR((tbl_zawodnicy_sumy[[#This Row],[stl]]+tbl_zawodnicy_sumy[[#This Row],[blk]])*(40/tbl_zawodnicy_sumy[[#This Row],[min]]),0)</f>
        <v>2.5</v>
      </c>
      <c r="AI11" s="54">
        <f>IFERROR((SUMIF(tbl_główna_GRACZE[I. Nazwisko],tbl_zawodnicy_sumy[[#This Row],[I. Nazwisko]],tbl_główna_GRACZE[DI]))/tbl_zawodnicy_sumy[[#This Row],[Played]],0)</f>
        <v>0.10833333333333334</v>
      </c>
      <c r="AJ11" s="25">
        <f>tbl_zawodnicy_sumy[[#This Row],[stl]]+tbl_zawodnicy_sumy[[#This Row],[blk]]+(tbl_zawodnicy_sumy[[#This Row],[dreb]]*0.5)</f>
        <v>18</v>
      </c>
      <c r="AK11" s="29">
        <f>IFERROR((tbl_zawodnicy_sumy[[#This Row],[stl]]+tbl_zawodnicy_sumy[[#This Row],[blk]]+0.5*tbl_zawodnicy_sumy[[#This Row],[dreb]])/tbl_zawodnicy_sumy[[#This Row],[min]],0)</f>
        <v>0.1875</v>
      </c>
      <c r="AL11" s="6">
        <f>R11+0.4*D11-0.7*E11-0.4*(I11-H11)+0.7*J11+0.3*K11+M11+0.7*P11+0.7*O11</f>
        <v>45.000000000000014</v>
      </c>
      <c r="AM11" s="6">
        <f>IFERROR(tbl_zawodnicy_sumy[[#This Row],[GmSc]]*(40/tbl_zawodnicy_sumy[[#This Row],[min]]),0)</f>
        <v>18.750000000000007</v>
      </c>
      <c r="AN11" s="6">
        <f>IFERROR(tbl_zawodnicy_sumy[[#This Row],[EVAL]]*(40/tbl_zawodnicy_sumy[[#This Row],[min]]),0)</f>
        <v>27.5</v>
      </c>
      <c r="AO11" s="11">
        <f>tbl_zawodnicy_sumy[[#This Row],[fgm]]-tbl_zawodnicy_sumy[[#This Row],[3pm]]</f>
        <v>21</v>
      </c>
      <c r="AP11" s="11">
        <f>tbl_zawodnicy_sumy[[#This Row],[fga]]-tbl_zawodnicy_sumy[[#This Row],[3pa]]</f>
        <v>45</v>
      </c>
      <c r="AQ11">
        <f>SUMIF(tbl_zawodnicy_średnie[I. Nazwisko],tbl_zawodnicy_sumy[[#This Row],[I. Nazwisko]],tbl_zawodnicy_średnie[ID])</f>
        <v>1</v>
      </c>
    </row>
    <row r="12" spans="1:43" ht="14.5" customHeight="1" x14ac:dyDescent="0.35">
      <c r="A12" s="58" t="s">
        <v>19</v>
      </c>
      <c r="B12" s="58" t="s">
        <v>161</v>
      </c>
      <c r="C12" s="9">
        <f>SUMIF(tbl_główna_GRACZE[I. Nazwisko],tbl_zawodnicy_sumy[[#This Row],[I. Nazwisko]],tbl_główna_GRACZE[Played?])</f>
        <v>3</v>
      </c>
      <c r="D12" s="10">
        <f>SUMIF(tbl_główna_GRACZE[I. Nazwisko],tbl_zawodnicy_sumy[[#This Row],[I. Nazwisko]],tbl_główna_GRACZE[fgm])</f>
        <v>8</v>
      </c>
      <c r="E12" s="10">
        <f>SUMIF(tbl_główna_GRACZE[I. Nazwisko],tbl_zawodnicy_sumy[[#This Row],[I. Nazwisko]],tbl_główna_GRACZE[fga])</f>
        <v>26</v>
      </c>
      <c r="F12" s="10">
        <f>SUMIF(tbl_główna_GRACZE[I. Nazwisko],tbl_zawodnicy_sumy[[#This Row],[I. Nazwisko]],tbl_główna_GRACZE[3pm])</f>
        <v>1</v>
      </c>
      <c r="G12" s="10">
        <f>SUMIF(tbl_główna_GRACZE[I. Nazwisko],tbl_zawodnicy_sumy[[#This Row],[I. Nazwisko]],tbl_główna_GRACZE[3pa])</f>
        <v>7</v>
      </c>
      <c r="H12" s="10">
        <f>SUMIF(tbl_główna_GRACZE[I. Nazwisko],tbl_zawodnicy_sumy[[#This Row],[I. Nazwisko]],tbl_główna_GRACZE[ftm])</f>
        <v>8</v>
      </c>
      <c r="I12" s="10">
        <f>SUMIF(tbl_główna_GRACZE[I. Nazwisko],tbl_zawodnicy_sumy[[#This Row],[I. Nazwisko]],tbl_główna_GRACZE[fta])</f>
        <v>10</v>
      </c>
      <c r="J12" s="10">
        <f>SUMIF(tbl_główna_GRACZE[I. Nazwisko],tbl_zawodnicy_sumy[[#This Row],[I. Nazwisko]],tbl_główna_GRACZE[oreb])</f>
        <v>2</v>
      </c>
      <c r="K12" s="10">
        <f>SUMIF(tbl_główna_GRACZE[I. Nazwisko],tbl_zawodnicy_sumy[[#This Row],[I. Nazwisko]],tbl_główna_GRACZE[dreb])</f>
        <v>12</v>
      </c>
      <c r="L12" s="10">
        <f>SUMIF(tbl_główna_GRACZE[I. Nazwisko],tbl_zawodnicy_sumy[[#This Row],[I. Nazwisko]],tbl_główna_GRACZE[foul])</f>
        <v>1</v>
      </c>
      <c r="M12" s="10">
        <f>SUMIF(tbl_główna_GRACZE[I. Nazwisko],tbl_zawodnicy_sumy[[#This Row],[I. Nazwisko]],tbl_główna_GRACZE[stl])</f>
        <v>3</v>
      </c>
      <c r="N12" s="10">
        <f>SUMIF(tbl_główna_GRACZE[I. Nazwisko],tbl_zawodnicy_sumy[[#This Row],[I. Nazwisko]],tbl_główna_GRACZE[to])</f>
        <v>0</v>
      </c>
      <c r="O12" s="10">
        <f>SUMIF(tbl_główna_GRACZE[I. Nazwisko],tbl_zawodnicy_sumy[[#This Row],[I. Nazwisko]],tbl_główna_GRACZE[blk])</f>
        <v>0</v>
      </c>
      <c r="P12" s="10">
        <f>SUMIF(tbl_główna_GRACZE[I. Nazwisko],tbl_zawodnicy_sumy[[#This Row],[I. Nazwisko]],tbl_główna_GRACZE[asst])</f>
        <v>10</v>
      </c>
      <c r="Q12" s="10">
        <f>SUMIF(tbl_główna_GRACZE[I. Nazwisko],tbl_zawodnicy_sumy[[#This Row],[I. Nazwisko]],tbl_główna_GRACZE[min])</f>
        <v>56</v>
      </c>
      <c r="R12" s="10">
        <f>SUMIF(tbl_główna_GRACZE[I. Nazwisko],tbl_zawodnicy_sumy[[#This Row],[I. Nazwisko]],tbl_główna_GRACZE[pts])</f>
        <v>25</v>
      </c>
      <c r="S12" s="11">
        <f t="shared" si="0"/>
        <v>14</v>
      </c>
      <c r="T12" s="4">
        <f t="shared" si="1"/>
        <v>0.30769230769230771</v>
      </c>
      <c r="U12" s="4">
        <f t="shared" si="2"/>
        <v>0.14285714285714285</v>
      </c>
      <c r="V12" s="4">
        <f t="shared" ref="V12:V42" si="9">IFERROR(H12/I12,0)</f>
        <v>0.8</v>
      </c>
      <c r="W12" s="4">
        <f>IFERROR(tbl_zawodnicy_sumy[[#This Row],[2pm]]/tbl_zawodnicy_sumy[[#This Row],[2pa]],0)</f>
        <v>0.36842105263157893</v>
      </c>
      <c r="X12" s="4">
        <f t="shared" si="3"/>
        <v>0.41118421052631582</v>
      </c>
      <c r="Y12" s="4">
        <f t="shared" si="4"/>
        <v>0.32692307692307693</v>
      </c>
      <c r="Z12" s="11">
        <f t="shared" si="5"/>
        <v>32</v>
      </c>
      <c r="AA12" s="4">
        <f t="shared" si="6"/>
        <v>0.38461538461538464</v>
      </c>
      <c r="AB12" s="4">
        <f t="shared" si="7"/>
        <v>0.26923076923076922</v>
      </c>
      <c r="AC12" s="26">
        <f>IFERROR((SUMIF(tbl_główna_GRACZE[I. Nazwisko],tbl_zawodnicy_sumy[[#This Row],[I. Nazwisko]],tbl_główna_GRACZE[USG%]))/tbl_zawodnicy_sumy[[#This Row],[Played]],0)</f>
        <v>0.14458450255435604</v>
      </c>
      <c r="AD12" s="25">
        <f>IFERROR(tbl_zawodnicy_sumy[[#This Row],[pts]]*(40/tbl_zawodnicy_sumy[[#This Row],[min]]),0)</f>
        <v>17.857142857142858</v>
      </c>
      <c r="AE12" s="30">
        <f>IFERROR(tbl_zawodnicy_sumy[[#This Row],[reb total]]*(40/tbl_zawodnicy_sumy[[#This Row],[min]]),0)</f>
        <v>10</v>
      </c>
      <c r="AF12" s="30">
        <f>IFERROR(tbl_zawodnicy_sumy[[#This Row],[asst]]*(40/tbl_zawodnicy_sumy[[#This Row],[min]]),0)</f>
        <v>7.1428571428571432</v>
      </c>
      <c r="AG12" s="5">
        <f t="shared" si="8"/>
        <v>0.96153846153846156</v>
      </c>
      <c r="AH12" s="5">
        <f>IFERROR((tbl_zawodnicy_sumy[[#This Row],[stl]]+tbl_zawodnicy_sumy[[#This Row],[blk]])*(40/tbl_zawodnicy_sumy[[#This Row],[min]]),0)</f>
        <v>2.1428571428571428</v>
      </c>
      <c r="AI12" s="4">
        <f>IFERROR((SUMIF(tbl_główna_GRACZE[I. Nazwisko],tbl_zawodnicy_sumy[[#This Row],[I. Nazwisko]],tbl_główna_GRACZE[DI]))/tbl_zawodnicy_sumy[[#This Row],[Played]],0)</f>
        <v>7.2222222222222229E-2</v>
      </c>
      <c r="AJ12" s="25">
        <f>tbl_zawodnicy_sumy[[#This Row],[stl]]+tbl_zawodnicy_sumy[[#This Row],[blk]]+(tbl_zawodnicy_sumy[[#This Row],[dreb]]*0.5)</f>
        <v>9</v>
      </c>
      <c r="AK12" s="29">
        <f>IFERROR((tbl_zawodnicy_sumy[[#This Row],[stl]]+tbl_zawodnicy_sumy[[#This Row],[blk]]+0.5*tbl_zawodnicy_sumy[[#This Row],[dreb]])/tbl_zawodnicy_sumy[[#This Row],[min]],0)</f>
        <v>0.16071428571428573</v>
      </c>
      <c r="AL12" s="6">
        <f t="shared" ref="AL12:AL42" si="10">R12+0.4*D12-0.7*E12-0.4*(I12-H12)+0.7*J12+0.3*K12+M12+0.7*P12+0.7*O12</f>
        <v>24.2</v>
      </c>
      <c r="AM12" s="6">
        <f>IFERROR(tbl_zawodnicy_sumy[[#This Row],[GmSc]]*(40/tbl_zawodnicy_sumy[[#This Row],[min]]),0)</f>
        <v>17.285714285714285</v>
      </c>
      <c r="AN12" s="6">
        <f>IFERROR(tbl_zawodnicy_sumy[[#This Row],[EVAL]]*(40/tbl_zawodnicy_sumy[[#This Row],[min]]),0)</f>
        <v>22.857142857142858</v>
      </c>
      <c r="AO12" s="11">
        <f>tbl_zawodnicy_sumy[[#This Row],[fgm]]-tbl_zawodnicy_sumy[[#This Row],[3pm]]</f>
        <v>7</v>
      </c>
      <c r="AP12" s="11">
        <f>tbl_zawodnicy_sumy[[#This Row],[fga]]-tbl_zawodnicy_sumy[[#This Row],[3pa]]</f>
        <v>19</v>
      </c>
      <c r="AQ12">
        <f>SUMIF(tbl_zawodnicy_średnie[I. Nazwisko],tbl_zawodnicy_sumy[[#This Row],[I. Nazwisko]],tbl_zawodnicy_średnie[ID])</f>
        <v>2</v>
      </c>
    </row>
    <row r="13" spans="1:43" ht="14.5" customHeight="1" x14ac:dyDescent="0.35">
      <c r="A13" s="58" t="s">
        <v>19</v>
      </c>
      <c r="B13" s="58" t="s">
        <v>162</v>
      </c>
      <c r="C13" s="9">
        <f>SUMIF(tbl_główna_GRACZE[I. Nazwisko],tbl_zawodnicy_sumy[[#This Row],[I. Nazwisko]],tbl_główna_GRACZE[Played?])</f>
        <v>4</v>
      </c>
      <c r="D13" s="10">
        <f>SUMIF(tbl_główna_GRACZE[I. Nazwisko],tbl_zawodnicy_sumy[[#This Row],[I. Nazwisko]],tbl_główna_GRACZE[fgm])</f>
        <v>11</v>
      </c>
      <c r="E13" s="10">
        <f>SUMIF(tbl_główna_GRACZE[I. Nazwisko],tbl_zawodnicy_sumy[[#This Row],[I. Nazwisko]],tbl_główna_GRACZE[fga])</f>
        <v>47</v>
      </c>
      <c r="F13" s="10">
        <f>SUMIF(tbl_główna_GRACZE[I. Nazwisko],tbl_zawodnicy_sumy[[#This Row],[I. Nazwisko]],tbl_główna_GRACZE[3pm])</f>
        <v>5</v>
      </c>
      <c r="G13" s="10">
        <f>SUMIF(tbl_główna_GRACZE[I. Nazwisko],tbl_zawodnicy_sumy[[#This Row],[I. Nazwisko]],tbl_główna_GRACZE[3pa])</f>
        <v>26</v>
      </c>
      <c r="H13" s="10">
        <f>SUMIF(tbl_główna_GRACZE[I. Nazwisko],tbl_zawodnicy_sumy[[#This Row],[I. Nazwisko]],tbl_główna_GRACZE[ftm])</f>
        <v>0</v>
      </c>
      <c r="I13" s="10">
        <f>SUMIF(tbl_główna_GRACZE[I. Nazwisko],tbl_zawodnicy_sumy[[#This Row],[I. Nazwisko]],tbl_główna_GRACZE[fta])</f>
        <v>3</v>
      </c>
      <c r="J13" s="10">
        <f>SUMIF(tbl_główna_GRACZE[I. Nazwisko],tbl_zawodnicy_sumy[[#This Row],[I. Nazwisko]],tbl_główna_GRACZE[oreb])</f>
        <v>9</v>
      </c>
      <c r="K13" s="10">
        <f>SUMIF(tbl_główna_GRACZE[I. Nazwisko],tbl_zawodnicy_sumy[[#This Row],[I. Nazwisko]],tbl_główna_GRACZE[dreb])</f>
        <v>18</v>
      </c>
      <c r="L13" s="10">
        <f>SUMIF(tbl_główna_GRACZE[I. Nazwisko],tbl_zawodnicy_sumy[[#This Row],[I. Nazwisko]],tbl_główna_GRACZE[foul])</f>
        <v>6</v>
      </c>
      <c r="M13" s="10">
        <f>SUMIF(tbl_główna_GRACZE[I. Nazwisko],tbl_zawodnicy_sumy[[#This Row],[I. Nazwisko]],tbl_główna_GRACZE[stl])</f>
        <v>6</v>
      </c>
      <c r="N13" s="10">
        <f>SUMIF(tbl_główna_GRACZE[I. Nazwisko],tbl_zawodnicy_sumy[[#This Row],[I. Nazwisko]],tbl_główna_GRACZE[to])</f>
        <v>0</v>
      </c>
      <c r="O13" s="10">
        <f>SUMIF(tbl_główna_GRACZE[I. Nazwisko],tbl_zawodnicy_sumy[[#This Row],[I. Nazwisko]],tbl_główna_GRACZE[blk])</f>
        <v>2</v>
      </c>
      <c r="P13" s="10">
        <f>SUMIF(tbl_główna_GRACZE[I. Nazwisko],tbl_zawodnicy_sumy[[#This Row],[I. Nazwisko]],tbl_główna_GRACZE[asst])</f>
        <v>7</v>
      </c>
      <c r="Q13" s="10">
        <f>SUMIF(tbl_główna_GRACZE[I. Nazwisko],tbl_zawodnicy_sumy[[#This Row],[I. Nazwisko]],tbl_główna_GRACZE[min])</f>
        <v>103</v>
      </c>
      <c r="R13" s="10">
        <f>SUMIF(tbl_główna_GRACZE[I. Nazwisko],tbl_zawodnicy_sumy[[#This Row],[I. Nazwisko]],tbl_główna_GRACZE[pts])</f>
        <v>27</v>
      </c>
      <c r="S13" s="11">
        <f t="shared" si="0"/>
        <v>27</v>
      </c>
      <c r="T13" s="4">
        <f t="shared" si="1"/>
        <v>0.23404255319148937</v>
      </c>
      <c r="U13" s="4">
        <f t="shared" si="2"/>
        <v>0.19230769230769232</v>
      </c>
      <c r="V13" s="4">
        <f t="shared" si="9"/>
        <v>0</v>
      </c>
      <c r="W13" s="4">
        <f>IFERROR(tbl_zawodnicy_sumy[[#This Row],[2pm]]/tbl_zawodnicy_sumy[[#This Row],[2pa]],0)</f>
        <v>0.2857142857142857</v>
      </c>
      <c r="X13" s="4">
        <f t="shared" si="3"/>
        <v>0.27938741721854304</v>
      </c>
      <c r="Y13" s="4">
        <f t="shared" si="4"/>
        <v>0.28723404255319152</v>
      </c>
      <c r="Z13" s="11">
        <f t="shared" si="5"/>
        <v>30</v>
      </c>
      <c r="AA13" s="4">
        <f t="shared" si="6"/>
        <v>6.3829787234042548E-2</v>
      </c>
      <c r="AB13" s="4">
        <f t="shared" si="7"/>
        <v>0.55319148936170215</v>
      </c>
      <c r="AC13" s="26">
        <f>IFERROR((SUMIF(tbl_główna_GRACZE[I. Nazwisko],tbl_zawodnicy_sumy[[#This Row],[I. Nazwisko]],tbl_główna_GRACZE[USG%]))/tbl_zawodnicy_sumy[[#This Row],[Played]],0)</f>
        <v>0.17323318394314144</v>
      </c>
      <c r="AD13" s="25">
        <f>IFERROR(tbl_zawodnicy_sumy[[#This Row],[pts]]*(40/tbl_zawodnicy_sumy[[#This Row],[min]]),0)</f>
        <v>10.485436893203884</v>
      </c>
      <c r="AE13" s="30">
        <f>IFERROR(tbl_zawodnicy_sumy[[#This Row],[reb total]]*(40/tbl_zawodnicy_sumy[[#This Row],[min]]),0)</f>
        <v>10.485436893203884</v>
      </c>
      <c r="AF13" s="30">
        <f>IFERROR(tbl_zawodnicy_sumy[[#This Row],[asst]]*(40/tbl_zawodnicy_sumy[[#This Row],[min]]),0)</f>
        <v>2.7184466019417477</v>
      </c>
      <c r="AG13" s="5">
        <f t="shared" si="8"/>
        <v>0.57446808510638303</v>
      </c>
      <c r="AH13" s="5">
        <f>IFERROR((tbl_zawodnicy_sumy[[#This Row],[stl]]+tbl_zawodnicy_sumy[[#This Row],[blk]])*(40/tbl_zawodnicy_sumy[[#This Row],[min]]),0)</f>
        <v>3.1067961165048543</v>
      </c>
      <c r="AI13" s="4">
        <f>IFERROR((SUMIF(tbl_główna_GRACZE[I. Nazwisko],tbl_zawodnicy_sumy[[#This Row],[I. Nazwisko]],tbl_główna_GRACZE[DI]))/tbl_zawodnicy_sumy[[#This Row],[Played]],0)</f>
        <v>0.16666666666666666</v>
      </c>
      <c r="AJ13" s="25">
        <f>tbl_zawodnicy_sumy[[#This Row],[stl]]+tbl_zawodnicy_sumy[[#This Row],[blk]]+(tbl_zawodnicy_sumy[[#This Row],[dreb]]*0.5)</f>
        <v>17</v>
      </c>
      <c r="AK13" s="29">
        <f>IFERROR((tbl_zawodnicy_sumy[[#This Row],[stl]]+tbl_zawodnicy_sumy[[#This Row],[blk]]+0.5*tbl_zawodnicy_sumy[[#This Row],[dreb]])/tbl_zawodnicy_sumy[[#This Row],[min]],0)</f>
        <v>0.1650485436893204</v>
      </c>
      <c r="AL13" s="6">
        <f t="shared" si="10"/>
        <v>21.299999999999997</v>
      </c>
      <c r="AM13" s="6">
        <f>IFERROR(tbl_zawodnicy_sumy[[#This Row],[GmSc]]*(40/tbl_zawodnicy_sumy[[#This Row],[min]]),0)</f>
        <v>8.2718446601941729</v>
      </c>
      <c r="AN13" s="6">
        <f>IFERROR(tbl_zawodnicy_sumy[[#This Row],[EVAL]]*(40/tbl_zawodnicy_sumy[[#This Row],[min]]),0)</f>
        <v>11.650485436893204</v>
      </c>
      <c r="AO13" s="11">
        <f>tbl_zawodnicy_sumy[[#This Row],[fgm]]-tbl_zawodnicy_sumy[[#This Row],[3pm]]</f>
        <v>6</v>
      </c>
      <c r="AP13" s="11">
        <f>tbl_zawodnicy_sumy[[#This Row],[fga]]-tbl_zawodnicy_sumy[[#This Row],[3pa]]</f>
        <v>21</v>
      </c>
      <c r="AQ13">
        <f>SUMIF(tbl_zawodnicy_średnie[I. Nazwisko],tbl_zawodnicy_sumy[[#This Row],[I. Nazwisko]],tbl_zawodnicy_średnie[ID])</f>
        <v>3</v>
      </c>
    </row>
    <row r="14" spans="1:43" ht="14.5" customHeight="1" x14ac:dyDescent="0.35">
      <c r="A14" s="58" t="s">
        <v>19</v>
      </c>
      <c r="B14" s="58" t="s">
        <v>163</v>
      </c>
      <c r="C14" s="9">
        <f>SUMIF(tbl_główna_GRACZE[I. Nazwisko],tbl_zawodnicy_sumy[[#This Row],[I. Nazwisko]],tbl_główna_GRACZE[Played?])</f>
        <v>4</v>
      </c>
      <c r="D14" s="10">
        <f>SUMIF(tbl_główna_GRACZE[I. Nazwisko],tbl_zawodnicy_sumy[[#This Row],[I. Nazwisko]],tbl_główna_GRACZE[fgm])</f>
        <v>4</v>
      </c>
      <c r="E14" s="10">
        <f>SUMIF(tbl_główna_GRACZE[I. Nazwisko],tbl_zawodnicy_sumy[[#This Row],[I. Nazwisko]],tbl_główna_GRACZE[fga])</f>
        <v>23</v>
      </c>
      <c r="F14" s="10">
        <f>SUMIF(tbl_główna_GRACZE[I. Nazwisko],tbl_zawodnicy_sumy[[#This Row],[I. Nazwisko]],tbl_główna_GRACZE[3pm])</f>
        <v>1</v>
      </c>
      <c r="G14" s="10">
        <f>SUMIF(tbl_główna_GRACZE[I. Nazwisko],tbl_zawodnicy_sumy[[#This Row],[I. Nazwisko]],tbl_główna_GRACZE[3pa])</f>
        <v>6</v>
      </c>
      <c r="H14" s="10">
        <f>SUMIF(tbl_główna_GRACZE[I. Nazwisko],tbl_zawodnicy_sumy[[#This Row],[I. Nazwisko]],tbl_główna_GRACZE[ftm])</f>
        <v>0</v>
      </c>
      <c r="I14" s="10">
        <f>SUMIF(tbl_główna_GRACZE[I. Nazwisko],tbl_zawodnicy_sumy[[#This Row],[I. Nazwisko]],tbl_główna_GRACZE[fta])</f>
        <v>1</v>
      </c>
      <c r="J14" s="10">
        <f>SUMIF(tbl_główna_GRACZE[I. Nazwisko],tbl_zawodnicy_sumy[[#This Row],[I. Nazwisko]],tbl_główna_GRACZE[oreb])</f>
        <v>0</v>
      </c>
      <c r="K14" s="10">
        <f>SUMIF(tbl_główna_GRACZE[I. Nazwisko],tbl_zawodnicy_sumy[[#This Row],[I. Nazwisko]],tbl_główna_GRACZE[dreb])</f>
        <v>7</v>
      </c>
      <c r="L14" s="10">
        <f>SUMIF(tbl_główna_GRACZE[I. Nazwisko],tbl_zawodnicy_sumy[[#This Row],[I. Nazwisko]],tbl_główna_GRACZE[foul])</f>
        <v>8</v>
      </c>
      <c r="M14" s="10">
        <f>SUMIF(tbl_główna_GRACZE[I. Nazwisko],tbl_zawodnicy_sumy[[#This Row],[I. Nazwisko]],tbl_główna_GRACZE[stl])</f>
        <v>6</v>
      </c>
      <c r="N14" s="10">
        <f>SUMIF(tbl_główna_GRACZE[I. Nazwisko],tbl_zawodnicy_sumy[[#This Row],[I. Nazwisko]],tbl_główna_GRACZE[to])</f>
        <v>0</v>
      </c>
      <c r="O14" s="10">
        <f>SUMIF(tbl_główna_GRACZE[I. Nazwisko],tbl_zawodnicy_sumy[[#This Row],[I. Nazwisko]],tbl_główna_GRACZE[blk])</f>
        <v>0</v>
      </c>
      <c r="P14" s="10">
        <f>SUMIF(tbl_główna_GRACZE[I. Nazwisko],tbl_zawodnicy_sumy[[#This Row],[I. Nazwisko]],tbl_główna_GRACZE[asst])</f>
        <v>9</v>
      </c>
      <c r="Q14" s="10">
        <f>SUMIF(tbl_główna_GRACZE[I. Nazwisko],tbl_zawodnicy_sumy[[#This Row],[I. Nazwisko]],tbl_główna_GRACZE[min])</f>
        <v>92</v>
      </c>
      <c r="R14" s="10">
        <f>SUMIF(tbl_główna_GRACZE[I. Nazwisko],tbl_zawodnicy_sumy[[#This Row],[I. Nazwisko]],tbl_główna_GRACZE[pts])</f>
        <v>9</v>
      </c>
      <c r="S14" s="11">
        <f t="shared" si="0"/>
        <v>7</v>
      </c>
      <c r="T14" s="4">
        <f t="shared" si="1"/>
        <v>0.17391304347826086</v>
      </c>
      <c r="U14" s="4">
        <f t="shared" si="2"/>
        <v>0.16666666666666666</v>
      </c>
      <c r="V14" s="4">
        <f t="shared" si="9"/>
        <v>0</v>
      </c>
      <c r="W14" s="4">
        <f>IFERROR(tbl_zawodnicy_sumy[[#This Row],[2pm]]/tbl_zawodnicy_sumy[[#This Row],[2pa]],0)</f>
        <v>0.17647058823529413</v>
      </c>
      <c r="X14" s="4">
        <f t="shared" si="3"/>
        <v>0.19197952218430034</v>
      </c>
      <c r="Y14" s="4">
        <f t="shared" si="4"/>
        <v>0.19565217391304349</v>
      </c>
      <c r="Z14" s="11">
        <f t="shared" si="5"/>
        <v>11</v>
      </c>
      <c r="AA14" s="4">
        <f t="shared" si="6"/>
        <v>4.3478260869565216E-2</v>
      </c>
      <c r="AB14" s="4">
        <f t="shared" si="7"/>
        <v>0.2608695652173913</v>
      </c>
      <c r="AC14" s="26">
        <f>IFERROR((SUMIF(tbl_główna_GRACZE[I. Nazwisko],tbl_zawodnicy_sumy[[#This Row],[I. Nazwisko]],tbl_główna_GRACZE[USG%]))/tbl_zawodnicy_sumy[[#This Row],[Played]],0)</f>
        <v>8.4651969735720339E-2</v>
      </c>
      <c r="AD14" s="25">
        <f>IFERROR(tbl_zawodnicy_sumy[[#This Row],[pts]]*(40/tbl_zawodnicy_sumy[[#This Row],[min]]),0)</f>
        <v>3.9130434782608696</v>
      </c>
      <c r="AE14" s="30">
        <f>IFERROR(tbl_zawodnicy_sumy[[#This Row],[reb total]]*(40/tbl_zawodnicy_sumy[[#This Row],[min]]),0)</f>
        <v>3.043478260869565</v>
      </c>
      <c r="AF14" s="30">
        <f>IFERROR(tbl_zawodnicy_sumy[[#This Row],[asst]]*(40/tbl_zawodnicy_sumy[[#This Row],[min]]),0)</f>
        <v>3.9130434782608696</v>
      </c>
      <c r="AG14" s="5">
        <f t="shared" si="8"/>
        <v>0.39130434782608697</v>
      </c>
      <c r="AH14" s="5">
        <f>IFERROR((tbl_zawodnicy_sumy[[#This Row],[stl]]+tbl_zawodnicy_sumy[[#This Row],[blk]])*(40/tbl_zawodnicy_sumy[[#This Row],[min]]),0)</f>
        <v>2.6086956521739131</v>
      </c>
      <c r="AI14" s="4">
        <f>IFERROR((SUMIF(tbl_główna_GRACZE[I. Nazwisko],tbl_zawodnicy_sumy[[#This Row],[I. Nazwisko]],tbl_główna_GRACZE[DI]))/tbl_zawodnicy_sumy[[#This Row],[Played]],0)</f>
        <v>0.14166666666666666</v>
      </c>
      <c r="AJ14" s="25">
        <f>tbl_zawodnicy_sumy[[#This Row],[stl]]+tbl_zawodnicy_sumy[[#This Row],[blk]]+(tbl_zawodnicy_sumy[[#This Row],[dreb]]*0.5)</f>
        <v>9.5</v>
      </c>
      <c r="AK14" s="29">
        <f>IFERROR((tbl_zawodnicy_sumy[[#This Row],[stl]]+tbl_zawodnicy_sumy[[#This Row],[blk]]+0.5*tbl_zawodnicy_sumy[[#This Row],[dreb]])/tbl_zawodnicy_sumy[[#This Row],[min]],0)</f>
        <v>0.10326086956521739</v>
      </c>
      <c r="AL14" s="6">
        <f t="shared" si="10"/>
        <v>8.5000000000000018</v>
      </c>
      <c r="AM14" s="6">
        <f>IFERROR(tbl_zawodnicy_sumy[[#This Row],[GmSc]]*(40/tbl_zawodnicy_sumy[[#This Row],[min]]),0)</f>
        <v>3.6956521739130443</v>
      </c>
      <c r="AN14" s="6">
        <f>IFERROR(tbl_zawodnicy_sumy[[#This Row],[EVAL]]*(40/tbl_zawodnicy_sumy[[#This Row],[min]]),0)</f>
        <v>4.7826086956521738</v>
      </c>
      <c r="AO14" s="11">
        <f>tbl_zawodnicy_sumy[[#This Row],[fgm]]-tbl_zawodnicy_sumy[[#This Row],[3pm]]</f>
        <v>3</v>
      </c>
      <c r="AP14" s="11">
        <f>tbl_zawodnicy_sumy[[#This Row],[fga]]-tbl_zawodnicy_sumy[[#This Row],[3pa]]</f>
        <v>17</v>
      </c>
      <c r="AQ14">
        <f>SUMIF(tbl_zawodnicy_średnie[I. Nazwisko],tbl_zawodnicy_sumy[[#This Row],[I. Nazwisko]],tbl_zawodnicy_średnie[ID])</f>
        <v>4</v>
      </c>
    </row>
    <row r="15" spans="1:43" ht="14.5" customHeight="1" x14ac:dyDescent="0.35">
      <c r="A15" s="58" t="s">
        <v>19</v>
      </c>
      <c r="B15" s="58" t="s">
        <v>164</v>
      </c>
      <c r="C15" s="9">
        <f>SUMIF(tbl_główna_GRACZE[I. Nazwisko],tbl_zawodnicy_sumy[[#This Row],[I. Nazwisko]],tbl_główna_GRACZE[Played?])</f>
        <v>4</v>
      </c>
      <c r="D15" s="10">
        <f>SUMIF(tbl_główna_GRACZE[I. Nazwisko],tbl_zawodnicy_sumy[[#This Row],[I. Nazwisko]],tbl_główna_GRACZE[fgm])</f>
        <v>3</v>
      </c>
      <c r="E15" s="10">
        <f>SUMIF(tbl_główna_GRACZE[I. Nazwisko],tbl_zawodnicy_sumy[[#This Row],[I. Nazwisko]],tbl_główna_GRACZE[fga])</f>
        <v>17</v>
      </c>
      <c r="F15" s="10">
        <f>SUMIF(tbl_główna_GRACZE[I. Nazwisko],tbl_zawodnicy_sumy[[#This Row],[I. Nazwisko]],tbl_główna_GRACZE[3pm])</f>
        <v>1</v>
      </c>
      <c r="G15" s="10">
        <f>SUMIF(tbl_główna_GRACZE[I. Nazwisko],tbl_zawodnicy_sumy[[#This Row],[I. Nazwisko]],tbl_główna_GRACZE[3pa])</f>
        <v>9</v>
      </c>
      <c r="H15" s="10">
        <f>SUMIF(tbl_główna_GRACZE[I. Nazwisko],tbl_zawodnicy_sumy[[#This Row],[I. Nazwisko]],tbl_główna_GRACZE[ftm])</f>
        <v>0</v>
      </c>
      <c r="I15" s="10">
        <f>SUMIF(tbl_główna_GRACZE[I. Nazwisko],tbl_zawodnicy_sumy[[#This Row],[I. Nazwisko]],tbl_główna_GRACZE[fta])</f>
        <v>0</v>
      </c>
      <c r="J15" s="10">
        <f>SUMIF(tbl_główna_GRACZE[I. Nazwisko],tbl_zawodnicy_sumy[[#This Row],[I. Nazwisko]],tbl_główna_GRACZE[oreb])</f>
        <v>4</v>
      </c>
      <c r="K15" s="10">
        <f>SUMIF(tbl_główna_GRACZE[I. Nazwisko],tbl_zawodnicy_sumy[[#This Row],[I. Nazwisko]],tbl_główna_GRACZE[dreb])</f>
        <v>1</v>
      </c>
      <c r="L15" s="10">
        <f>SUMIF(tbl_główna_GRACZE[I. Nazwisko],tbl_zawodnicy_sumy[[#This Row],[I. Nazwisko]],tbl_główna_GRACZE[foul])</f>
        <v>1</v>
      </c>
      <c r="M15" s="10">
        <f>SUMIF(tbl_główna_GRACZE[I. Nazwisko],tbl_zawodnicy_sumy[[#This Row],[I. Nazwisko]],tbl_główna_GRACZE[stl])</f>
        <v>2</v>
      </c>
      <c r="N15" s="10">
        <f>SUMIF(tbl_główna_GRACZE[I. Nazwisko],tbl_zawodnicy_sumy[[#This Row],[I. Nazwisko]],tbl_główna_GRACZE[to])</f>
        <v>0</v>
      </c>
      <c r="O15" s="10">
        <f>SUMIF(tbl_główna_GRACZE[I. Nazwisko],tbl_zawodnicy_sumy[[#This Row],[I. Nazwisko]],tbl_główna_GRACZE[blk])</f>
        <v>1</v>
      </c>
      <c r="P15" s="10">
        <f>SUMIF(tbl_główna_GRACZE[I. Nazwisko],tbl_zawodnicy_sumy[[#This Row],[I. Nazwisko]],tbl_główna_GRACZE[asst])</f>
        <v>1</v>
      </c>
      <c r="Q15" s="10">
        <f>SUMIF(tbl_główna_GRACZE[I. Nazwisko],tbl_zawodnicy_sumy[[#This Row],[I. Nazwisko]],tbl_główna_GRACZE[min])</f>
        <v>64</v>
      </c>
      <c r="R15" s="10">
        <f>SUMIF(tbl_główna_GRACZE[I. Nazwisko],tbl_zawodnicy_sumy[[#This Row],[I. Nazwisko]],tbl_główna_GRACZE[pts])</f>
        <v>7</v>
      </c>
      <c r="S15" s="11">
        <f t="shared" si="0"/>
        <v>5</v>
      </c>
      <c r="T15" s="4">
        <f t="shared" si="1"/>
        <v>0.17647058823529413</v>
      </c>
      <c r="U15" s="4">
        <f t="shared" si="2"/>
        <v>0.1111111111111111</v>
      </c>
      <c r="V15" s="4">
        <f t="shared" si="9"/>
        <v>0</v>
      </c>
      <c r="W15" s="4">
        <f>IFERROR(tbl_zawodnicy_sumy[[#This Row],[2pm]]/tbl_zawodnicy_sumy[[#This Row],[2pa]],0)</f>
        <v>0.25</v>
      </c>
      <c r="X15" s="4">
        <f t="shared" si="3"/>
        <v>0.20588235294117646</v>
      </c>
      <c r="Y15" s="4">
        <f t="shared" si="4"/>
        <v>0.20588235294117646</v>
      </c>
      <c r="Z15" s="11">
        <f t="shared" si="5"/>
        <v>2</v>
      </c>
      <c r="AA15" s="4">
        <f t="shared" si="6"/>
        <v>0</v>
      </c>
      <c r="AB15" s="4">
        <f t="shared" si="7"/>
        <v>0.52941176470588236</v>
      </c>
      <c r="AC15" s="26">
        <f>IFERROR((SUMIF(tbl_główna_GRACZE[I. Nazwisko],tbl_zawodnicy_sumy[[#This Row],[I. Nazwisko]],tbl_główna_GRACZE[USG%]))/tbl_zawodnicy_sumy[[#This Row],[Played]],0)</f>
        <v>6.0243722227782591E-2</v>
      </c>
      <c r="AD15" s="25">
        <f>IFERROR(tbl_zawodnicy_sumy[[#This Row],[pts]]*(40/tbl_zawodnicy_sumy[[#This Row],[min]]),0)</f>
        <v>4.375</v>
      </c>
      <c r="AE15" s="30">
        <f>IFERROR(tbl_zawodnicy_sumy[[#This Row],[reb total]]*(40/tbl_zawodnicy_sumy[[#This Row],[min]]),0)</f>
        <v>3.125</v>
      </c>
      <c r="AF15" s="30">
        <f>IFERROR(tbl_zawodnicy_sumy[[#This Row],[asst]]*(40/tbl_zawodnicy_sumy[[#This Row],[min]]),0)</f>
        <v>0.625</v>
      </c>
      <c r="AG15" s="5">
        <f t="shared" si="8"/>
        <v>0.41176470588235292</v>
      </c>
      <c r="AH15" s="5">
        <f>IFERROR((tbl_zawodnicy_sumy[[#This Row],[stl]]+tbl_zawodnicy_sumy[[#This Row],[blk]])*(40/tbl_zawodnicy_sumy[[#This Row],[min]]),0)</f>
        <v>1.875</v>
      </c>
      <c r="AI15" s="4">
        <f>IFERROR((SUMIF(tbl_główna_GRACZE[I. Nazwisko],tbl_zawodnicy_sumy[[#This Row],[I. Nazwisko]],tbl_główna_GRACZE[DI]))/tbl_zawodnicy_sumy[[#This Row],[Played]],0)</f>
        <v>7.4999999999999997E-2</v>
      </c>
      <c r="AJ15" s="25">
        <f>tbl_zawodnicy_sumy[[#This Row],[stl]]+tbl_zawodnicy_sumy[[#This Row],[blk]]+(tbl_zawodnicy_sumy[[#This Row],[dreb]]*0.5)</f>
        <v>3.5</v>
      </c>
      <c r="AK15" s="29">
        <f>IFERROR((tbl_zawodnicy_sumy[[#This Row],[stl]]+tbl_zawodnicy_sumy[[#This Row],[blk]]+0.5*tbl_zawodnicy_sumy[[#This Row],[dreb]])/tbl_zawodnicy_sumy[[#This Row],[min]],0)</f>
        <v>5.46875E-2</v>
      </c>
      <c r="AL15" s="6">
        <f t="shared" si="10"/>
        <v>2.8000000000000007</v>
      </c>
      <c r="AM15" s="6">
        <f>IFERROR(tbl_zawodnicy_sumy[[#This Row],[GmSc]]*(40/tbl_zawodnicy_sumy[[#This Row],[min]]),0)</f>
        <v>1.7500000000000004</v>
      </c>
      <c r="AN15" s="6">
        <f>IFERROR(tbl_zawodnicy_sumy[[#This Row],[EVAL]]*(40/tbl_zawodnicy_sumy[[#This Row],[min]]),0)</f>
        <v>1.25</v>
      </c>
      <c r="AO15" s="11">
        <f>tbl_zawodnicy_sumy[[#This Row],[fgm]]-tbl_zawodnicy_sumy[[#This Row],[3pm]]</f>
        <v>2</v>
      </c>
      <c r="AP15" s="11">
        <f>tbl_zawodnicy_sumy[[#This Row],[fga]]-tbl_zawodnicy_sumy[[#This Row],[3pa]]</f>
        <v>8</v>
      </c>
      <c r="AQ15">
        <f>SUMIF(tbl_zawodnicy_średnie[I. Nazwisko],tbl_zawodnicy_sumy[[#This Row],[I. Nazwisko]],tbl_zawodnicy_średnie[ID])</f>
        <v>5</v>
      </c>
    </row>
    <row r="16" spans="1:43" ht="14.5" customHeight="1" x14ac:dyDescent="0.35">
      <c r="A16" s="58" t="s">
        <v>19</v>
      </c>
      <c r="B16" s="58" t="s">
        <v>165</v>
      </c>
      <c r="C16" s="9">
        <f>SUMIF(tbl_główna_GRACZE[I. Nazwisko],tbl_zawodnicy_sumy[[#This Row],[I. Nazwisko]],tbl_główna_GRACZE[Played?])</f>
        <v>4</v>
      </c>
      <c r="D16" s="10">
        <f>SUMIF(tbl_główna_GRACZE[I. Nazwisko],tbl_zawodnicy_sumy[[#This Row],[I. Nazwisko]],tbl_główna_GRACZE[fgm])</f>
        <v>5</v>
      </c>
      <c r="E16" s="10">
        <f>SUMIF(tbl_główna_GRACZE[I. Nazwisko],tbl_zawodnicy_sumy[[#This Row],[I. Nazwisko]],tbl_główna_GRACZE[fga])</f>
        <v>22</v>
      </c>
      <c r="F16" s="10">
        <f>SUMIF(tbl_główna_GRACZE[I. Nazwisko],tbl_zawodnicy_sumy[[#This Row],[I. Nazwisko]],tbl_główna_GRACZE[3pm])</f>
        <v>0</v>
      </c>
      <c r="G16" s="10">
        <f>SUMIF(tbl_główna_GRACZE[I. Nazwisko],tbl_zawodnicy_sumy[[#This Row],[I. Nazwisko]],tbl_główna_GRACZE[3pa])</f>
        <v>5</v>
      </c>
      <c r="H16" s="10">
        <f>SUMIF(tbl_główna_GRACZE[I. Nazwisko],tbl_zawodnicy_sumy[[#This Row],[I. Nazwisko]],tbl_główna_GRACZE[ftm])</f>
        <v>0</v>
      </c>
      <c r="I16" s="10">
        <f>SUMIF(tbl_główna_GRACZE[I. Nazwisko],tbl_zawodnicy_sumy[[#This Row],[I. Nazwisko]],tbl_główna_GRACZE[fta])</f>
        <v>0</v>
      </c>
      <c r="J16" s="10">
        <f>SUMIF(tbl_główna_GRACZE[I. Nazwisko],tbl_zawodnicy_sumy[[#This Row],[I. Nazwisko]],tbl_główna_GRACZE[oreb])</f>
        <v>6</v>
      </c>
      <c r="K16" s="10">
        <f>SUMIF(tbl_główna_GRACZE[I. Nazwisko],tbl_zawodnicy_sumy[[#This Row],[I. Nazwisko]],tbl_główna_GRACZE[dreb])</f>
        <v>12</v>
      </c>
      <c r="L16" s="10">
        <f>SUMIF(tbl_główna_GRACZE[I. Nazwisko],tbl_zawodnicy_sumy[[#This Row],[I. Nazwisko]],tbl_główna_GRACZE[foul])</f>
        <v>3</v>
      </c>
      <c r="M16" s="10">
        <f>SUMIF(tbl_główna_GRACZE[I. Nazwisko],tbl_zawodnicy_sumy[[#This Row],[I. Nazwisko]],tbl_główna_GRACZE[stl])</f>
        <v>4</v>
      </c>
      <c r="N16" s="10">
        <f>SUMIF(tbl_główna_GRACZE[I. Nazwisko],tbl_zawodnicy_sumy[[#This Row],[I. Nazwisko]],tbl_główna_GRACZE[to])</f>
        <v>0</v>
      </c>
      <c r="O16" s="10">
        <f>SUMIF(tbl_główna_GRACZE[I. Nazwisko],tbl_zawodnicy_sumy[[#This Row],[I. Nazwisko]],tbl_główna_GRACZE[blk])</f>
        <v>1</v>
      </c>
      <c r="P16" s="10">
        <f>SUMIF(tbl_główna_GRACZE[I. Nazwisko],tbl_zawodnicy_sumy[[#This Row],[I. Nazwisko]],tbl_główna_GRACZE[asst])</f>
        <v>4</v>
      </c>
      <c r="Q16" s="10">
        <f>SUMIF(tbl_główna_GRACZE[I. Nazwisko],tbl_zawodnicy_sumy[[#This Row],[I. Nazwisko]],tbl_główna_GRACZE[min])</f>
        <v>74</v>
      </c>
      <c r="R16" s="10">
        <f>SUMIF(tbl_główna_GRACZE[I. Nazwisko],tbl_zawodnicy_sumy[[#This Row],[I. Nazwisko]],tbl_główna_GRACZE[pts])</f>
        <v>10</v>
      </c>
      <c r="S16" s="11">
        <f t="shared" si="0"/>
        <v>18</v>
      </c>
      <c r="T16" s="4">
        <f t="shared" si="1"/>
        <v>0.22727272727272727</v>
      </c>
      <c r="U16" s="4">
        <f t="shared" si="2"/>
        <v>0</v>
      </c>
      <c r="V16" s="4">
        <f t="shared" si="9"/>
        <v>0</v>
      </c>
      <c r="W16" s="4">
        <f>IFERROR(tbl_zawodnicy_sumy[[#This Row],[2pm]]/tbl_zawodnicy_sumy[[#This Row],[2pa]],0)</f>
        <v>0.29411764705882354</v>
      </c>
      <c r="X16" s="4">
        <f t="shared" si="3"/>
        <v>0.22727272727272727</v>
      </c>
      <c r="Y16" s="4">
        <f t="shared" si="4"/>
        <v>0.22727272727272727</v>
      </c>
      <c r="Z16" s="11">
        <f t="shared" si="5"/>
        <v>20</v>
      </c>
      <c r="AA16" s="4">
        <f t="shared" si="6"/>
        <v>0</v>
      </c>
      <c r="AB16" s="4">
        <f t="shared" si="7"/>
        <v>0.22727272727272727</v>
      </c>
      <c r="AC16" s="26">
        <f>IFERROR((SUMIF(tbl_główna_GRACZE[I. Nazwisko],tbl_zawodnicy_sumy[[#This Row],[I. Nazwisko]],tbl_główna_GRACZE[USG%]))/tbl_zawodnicy_sumy[[#This Row],[Played]],0)</f>
        <v>7.9041122273769748E-2</v>
      </c>
      <c r="AD16" s="25">
        <f>IFERROR(tbl_zawodnicy_sumy[[#This Row],[pts]]*(40/tbl_zawodnicy_sumy[[#This Row],[min]]),0)</f>
        <v>5.4054054054054053</v>
      </c>
      <c r="AE16" s="30">
        <f>IFERROR(tbl_zawodnicy_sumy[[#This Row],[reb total]]*(40/tbl_zawodnicy_sumy[[#This Row],[min]]),0)</f>
        <v>9.7297297297297298</v>
      </c>
      <c r="AF16" s="30">
        <f>IFERROR(tbl_zawodnicy_sumy[[#This Row],[asst]]*(40/tbl_zawodnicy_sumy[[#This Row],[min]]),0)</f>
        <v>2.1621621621621623</v>
      </c>
      <c r="AG16" s="5">
        <f t="shared" si="8"/>
        <v>0.45454545454545453</v>
      </c>
      <c r="AH16" s="5">
        <f>IFERROR((tbl_zawodnicy_sumy[[#This Row],[stl]]+tbl_zawodnicy_sumy[[#This Row],[blk]])*(40/tbl_zawodnicy_sumy[[#This Row],[min]]),0)</f>
        <v>2.7027027027027026</v>
      </c>
      <c r="AI16" s="4">
        <f>IFERROR((SUMIF(tbl_główna_GRACZE[I. Nazwisko],tbl_zawodnicy_sumy[[#This Row],[I. Nazwisko]],tbl_główna_GRACZE[DI]))/tbl_zawodnicy_sumy[[#This Row],[Played]],0)</f>
        <v>0.11249999999999999</v>
      </c>
      <c r="AJ16" s="25">
        <f>tbl_zawodnicy_sumy[[#This Row],[stl]]+tbl_zawodnicy_sumy[[#This Row],[blk]]+(tbl_zawodnicy_sumy[[#This Row],[dreb]]*0.5)</f>
        <v>11</v>
      </c>
      <c r="AK16" s="29">
        <f>IFERROR((tbl_zawodnicy_sumy[[#This Row],[stl]]+tbl_zawodnicy_sumy[[#This Row],[blk]]+0.5*tbl_zawodnicy_sumy[[#This Row],[dreb]])/tbl_zawodnicy_sumy[[#This Row],[min]],0)</f>
        <v>0.14864864864864866</v>
      </c>
      <c r="AL16" s="6">
        <f t="shared" si="10"/>
        <v>11.899999999999999</v>
      </c>
      <c r="AM16" s="6">
        <f>IFERROR(tbl_zawodnicy_sumy[[#This Row],[GmSc]]*(40/tbl_zawodnicy_sumy[[#This Row],[min]]),0)</f>
        <v>6.4324324324324325</v>
      </c>
      <c r="AN16" s="6">
        <f>IFERROR(tbl_zawodnicy_sumy[[#This Row],[EVAL]]*(40/tbl_zawodnicy_sumy[[#This Row],[min]]),0)</f>
        <v>10.810810810810811</v>
      </c>
      <c r="AO16" s="11">
        <f>tbl_zawodnicy_sumy[[#This Row],[fgm]]-tbl_zawodnicy_sumy[[#This Row],[3pm]]</f>
        <v>5</v>
      </c>
      <c r="AP16" s="11">
        <f>tbl_zawodnicy_sumy[[#This Row],[fga]]-tbl_zawodnicy_sumy[[#This Row],[3pa]]</f>
        <v>17</v>
      </c>
      <c r="AQ16">
        <f>SUMIF(tbl_zawodnicy_średnie[I. Nazwisko],tbl_zawodnicy_sumy[[#This Row],[I. Nazwisko]],tbl_zawodnicy_średnie[ID])</f>
        <v>6</v>
      </c>
    </row>
    <row r="17" spans="1:43" ht="14.5" customHeight="1" x14ac:dyDescent="0.35">
      <c r="A17" s="58" t="s">
        <v>19</v>
      </c>
      <c r="B17" s="58" t="s">
        <v>414</v>
      </c>
      <c r="C17" s="9">
        <f>SUMIF(tbl_główna_GRACZE[I. Nazwisko],tbl_zawodnicy_sumy[[#This Row],[I. Nazwisko]],tbl_główna_GRACZE[Played?])</f>
        <v>4</v>
      </c>
      <c r="D17" s="10">
        <f>SUMIF(tbl_główna_GRACZE[I. Nazwisko],tbl_zawodnicy_sumy[[#This Row],[I. Nazwisko]],tbl_główna_GRACZE[fgm])</f>
        <v>1</v>
      </c>
      <c r="E17" s="10">
        <f>SUMIF(tbl_główna_GRACZE[I. Nazwisko],tbl_zawodnicy_sumy[[#This Row],[I. Nazwisko]],tbl_główna_GRACZE[fga])</f>
        <v>7</v>
      </c>
      <c r="F17" s="10">
        <f>SUMIF(tbl_główna_GRACZE[I. Nazwisko],tbl_zawodnicy_sumy[[#This Row],[I. Nazwisko]],tbl_główna_GRACZE[3pm])</f>
        <v>0</v>
      </c>
      <c r="G17" s="10">
        <f>SUMIF(tbl_główna_GRACZE[I. Nazwisko],tbl_zawodnicy_sumy[[#This Row],[I. Nazwisko]],tbl_główna_GRACZE[3pa])</f>
        <v>2</v>
      </c>
      <c r="H17" s="10">
        <f>SUMIF(tbl_główna_GRACZE[I. Nazwisko],tbl_zawodnicy_sumy[[#This Row],[I. Nazwisko]],tbl_główna_GRACZE[ftm])</f>
        <v>1</v>
      </c>
      <c r="I17" s="10">
        <f>SUMIF(tbl_główna_GRACZE[I. Nazwisko],tbl_zawodnicy_sumy[[#This Row],[I. Nazwisko]],tbl_główna_GRACZE[fta])</f>
        <v>2</v>
      </c>
      <c r="J17" s="10">
        <f>SUMIF(tbl_główna_GRACZE[I. Nazwisko],tbl_zawodnicy_sumy[[#This Row],[I. Nazwisko]],tbl_główna_GRACZE[oreb])</f>
        <v>13</v>
      </c>
      <c r="K17" s="10">
        <f>SUMIF(tbl_główna_GRACZE[I. Nazwisko],tbl_zawodnicy_sumy[[#This Row],[I. Nazwisko]],tbl_główna_GRACZE[dreb])</f>
        <v>12</v>
      </c>
      <c r="L17" s="10">
        <f>SUMIF(tbl_główna_GRACZE[I. Nazwisko],tbl_zawodnicy_sumy[[#This Row],[I. Nazwisko]],tbl_główna_GRACZE[foul])</f>
        <v>4</v>
      </c>
      <c r="M17" s="10">
        <f>SUMIF(tbl_główna_GRACZE[I. Nazwisko],tbl_zawodnicy_sumy[[#This Row],[I. Nazwisko]],tbl_główna_GRACZE[stl])</f>
        <v>1</v>
      </c>
      <c r="N17" s="10">
        <f>SUMIF(tbl_główna_GRACZE[I. Nazwisko],tbl_zawodnicy_sumy[[#This Row],[I. Nazwisko]],tbl_główna_GRACZE[to])</f>
        <v>0</v>
      </c>
      <c r="O17" s="10">
        <f>SUMIF(tbl_główna_GRACZE[I. Nazwisko],tbl_zawodnicy_sumy[[#This Row],[I. Nazwisko]],tbl_główna_GRACZE[blk])</f>
        <v>1</v>
      </c>
      <c r="P17" s="10">
        <f>SUMIF(tbl_główna_GRACZE[I. Nazwisko],tbl_zawodnicy_sumy[[#This Row],[I. Nazwisko]],tbl_główna_GRACZE[asst])</f>
        <v>6</v>
      </c>
      <c r="Q17" s="10">
        <f>SUMIF(tbl_główna_GRACZE[I. Nazwisko],tbl_zawodnicy_sumy[[#This Row],[I. Nazwisko]],tbl_główna_GRACZE[min])</f>
        <v>65</v>
      </c>
      <c r="R17" s="10">
        <f>SUMIF(tbl_główna_GRACZE[I. Nazwisko],tbl_zawodnicy_sumy[[#This Row],[I. Nazwisko]],tbl_główna_GRACZE[pts])</f>
        <v>3</v>
      </c>
      <c r="S17" s="11">
        <f t="shared" si="0"/>
        <v>25</v>
      </c>
      <c r="T17" s="4">
        <f t="shared" si="1"/>
        <v>0.14285714285714285</v>
      </c>
      <c r="U17" s="4">
        <f t="shared" si="2"/>
        <v>0</v>
      </c>
      <c r="V17" s="4">
        <f t="shared" si="9"/>
        <v>0.5</v>
      </c>
      <c r="W17" s="4">
        <f>IFERROR(tbl_zawodnicy_sumy[[#This Row],[2pm]]/tbl_zawodnicy_sumy[[#This Row],[2pa]],0)</f>
        <v>0.2</v>
      </c>
      <c r="X17" s="4">
        <f t="shared" si="3"/>
        <v>0.19035532994923859</v>
      </c>
      <c r="Y17" s="4">
        <f t="shared" si="4"/>
        <v>0.14285714285714285</v>
      </c>
      <c r="Z17" s="11">
        <f t="shared" si="5"/>
        <v>29</v>
      </c>
      <c r="AA17" s="4">
        <f t="shared" si="6"/>
        <v>0.2857142857142857</v>
      </c>
      <c r="AB17" s="4">
        <f t="shared" si="7"/>
        <v>0.2857142857142857</v>
      </c>
      <c r="AC17" s="26">
        <f>IFERROR((SUMIF(tbl_główna_GRACZE[I. Nazwisko],tbl_zawodnicy_sumy[[#This Row],[I. Nazwisko]],tbl_główna_GRACZE[USG%]))/tbl_zawodnicy_sumy[[#This Row],[Played]],0)</f>
        <v>2.7929501450462937E-2</v>
      </c>
      <c r="AD17" s="25">
        <f>IFERROR(tbl_zawodnicy_sumy[[#This Row],[pts]]*(40/tbl_zawodnicy_sumy[[#This Row],[min]]),0)</f>
        <v>1.8461538461538463</v>
      </c>
      <c r="AE17" s="30">
        <f>IFERROR(tbl_zawodnicy_sumy[[#This Row],[reb total]]*(40/tbl_zawodnicy_sumy[[#This Row],[min]]),0)</f>
        <v>15.384615384615385</v>
      </c>
      <c r="AF17" s="30">
        <f>IFERROR(tbl_zawodnicy_sumy[[#This Row],[asst]]*(40/tbl_zawodnicy_sumy[[#This Row],[min]]),0)</f>
        <v>3.6923076923076925</v>
      </c>
      <c r="AG17" s="5">
        <f t="shared" si="8"/>
        <v>0.42857142857142855</v>
      </c>
      <c r="AH17" s="5">
        <f>IFERROR((tbl_zawodnicy_sumy[[#This Row],[stl]]+tbl_zawodnicy_sumy[[#This Row],[blk]])*(40/tbl_zawodnicy_sumy[[#This Row],[min]]),0)</f>
        <v>1.2307692307692308</v>
      </c>
      <c r="AI17" s="4">
        <f>IFERROR((SUMIF(tbl_główna_GRACZE[I. Nazwisko],tbl_zawodnicy_sumy[[#This Row],[I. Nazwisko]],tbl_główna_GRACZE[DI]))/tbl_zawodnicy_sumy[[#This Row],[Played]],0)</f>
        <v>5.8333333333333334E-2</v>
      </c>
      <c r="AJ17" s="25">
        <f>tbl_zawodnicy_sumy[[#This Row],[stl]]+tbl_zawodnicy_sumy[[#This Row],[blk]]+(tbl_zawodnicy_sumy[[#This Row],[dreb]]*0.5)</f>
        <v>8</v>
      </c>
      <c r="AK17" s="29">
        <f>IFERROR((tbl_zawodnicy_sumy[[#This Row],[stl]]+tbl_zawodnicy_sumy[[#This Row],[blk]]+0.5*tbl_zawodnicy_sumy[[#This Row],[dreb]])/tbl_zawodnicy_sumy[[#This Row],[min]],0)</f>
        <v>0.12307692307692308</v>
      </c>
      <c r="AL17" s="6">
        <f t="shared" si="10"/>
        <v>16.7</v>
      </c>
      <c r="AM17" s="6">
        <f>IFERROR(tbl_zawodnicy_sumy[[#This Row],[GmSc]]*(40/tbl_zawodnicy_sumy[[#This Row],[min]]),0)</f>
        <v>10.276923076923078</v>
      </c>
      <c r="AN17" s="6">
        <f>IFERROR(tbl_zawodnicy_sumy[[#This Row],[EVAL]]*(40/tbl_zawodnicy_sumy[[#This Row],[min]]),0)</f>
        <v>17.846153846153847</v>
      </c>
      <c r="AO17" s="11">
        <f>tbl_zawodnicy_sumy[[#This Row],[fgm]]-tbl_zawodnicy_sumy[[#This Row],[3pm]]</f>
        <v>1</v>
      </c>
      <c r="AP17" s="11">
        <f>tbl_zawodnicy_sumy[[#This Row],[fga]]-tbl_zawodnicy_sumy[[#This Row],[3pa]]</f>
        <v>5</v>
      </c>
      <c r="AQ17">
        <f>SUMIF(tbl_zawodnicy_średnie[I. Nazwisko],tbl_zawodnicy_sumy[[#This Row],[I. Nazwisko]],tbl_zawodnicy_średnie[ID])</f>
        <v>7</v>
      </c>
    </row>
    <row r="18" spans="1:43" ht="14.5" customHeight="1" x14ac:dyDescent="0.35">
      <c r="A18" s="58" t="s">
        <v>19</v>
      </c>
      <c r="B18" s="58" t="s">
        <v>166</v>
      </c>
      <c r="C18" s="9">
        <f>SUMIF(tbl_główna_GRACZE[I. Nazwisko],tbl_zawodnicy_sumy[[#This Row],[I. Nazwisko]],tbl_główna_GRACZE[Played?])</f>
        <v>4</v>
      </c>
      <c r="D18" s="10">
        <f>SUMIF(tbl_główna_GRACZE[I. Nazwisko],tbl_zawodnicy_sumy[[#This Row],[I. Nazwisko]],tbl_główna_GRACZE[fgm])</f>
        <v>7</v>
      </c>
      <c r="E18" s="10">
        <f>SUMIF(tbl_główna_GRACZE[I. Nazwisko],tbl_zawodnicy_sumy[[#This Row],[I. Nazwisko]],tbl_główna_GRACZE[fga])</f>
        <v>30</v>
      </c>
      <c r="F18" s="10">
        <f>SUMIF(tbl_główna_GRACZE[I. Nazwisko],tbl_zawodnicy_sumy[[#This Row],[I. Nazwisko]],tbl_główna_GRACZE[3pm])</f>
        <v>1</v>
      </c>
      <c r="G18" s="10">
        <f>SUMIF(tbl_główna_GRACZE[I. Nazwisko],tbl_zawodnicy_sumy[[#This Row],[I. Nazwisko]],tbl_główna_GRACZE[3pa])</f>
        <v>8</v>
      </c>
      <c r="H18" s="10">
        <f>SUMIF(tbl_główna_GRACZE[I. Nazwisko],tbl_zawodnicy_sumy[[#This Row],[I. Nazwisko]],tbl_główna_GRACZE[ftm])</f>
        <v>0</v>
      </c>
      <c r="I18" s="10">
        <f>SUMIF(tbl_główna_GRACZE[I. Nazwisko],tbl_zawodnicy_sumy[[#This Row],[I. Nazwisko]],tbl_główna_GRACZE[fta])</f>
        <v>0</v>
      </c>
      <c r="J18" s="10">
        <f>SUMIF(tbl_główna_GRACZE[I. Nazwisko],tbl_zawodnicy_sumy[[#This Row],[I. Nazwisko]],tbl_główna_GRACZE[oreb])</f>
        <v>5</v>
      </c>
      <c r="K18" s="10">
        <f>SUMIF(tbl_główna_GRACZE[I. Nazwisko],tbl_zawodnicy_sumy[[#This Row],[I. Nazwisko]],tbl_główna_GRACZE[dreb])</f>
        <v>4</v>
      </c>
      <c r="L18" s="10">
        <f>SUMIF(tbl_główna_GRACZE[I. Nazwisko],tbl_zawodnicy_sumy[[#This Row],[I. Nazwisko]],tbl_główna_GRACZE[foul])</f>
        <v>2</v>
      </c>
      <c r="M18" s="10">
        <f>SUMIF(tbl_główna_GRACZE[I. Nazwisko],tbl_zawodnicy_sumy[[#This Row],[I. Nazwisko]],tbl_główna_GRACZE[stl])</f>
        <v>6</v>
      </c>
      <c r="N18" s="10">
        <f>SUMIF(tbl_główna_GRACZE[I. Nazwisko],tbl_zawodnicy_sumy[[#This Row],[I. Nazwisko]],tbl_główna_GRACZE[to])</f>
        <v>0</v>
      </c>
      <c r="O18" s="10">
        <f>SUMIF(tbl_główna_GRACZE[I. Nazwisko],tbl_zawodnicy_sumy[[#This Row],[I. Nazwisko]],tbl_główna_GRACZE[blk])</f>
        <v>0</v>
      </c>
      <c r="P18" s="10">
        <f>SUMIF(tbl_główna_GRACZE[I. Nazwisko],tbl_zawodnicy_sumy[[#This Row],[I. Nazwisko]],tbl_główna_GRACZE[asst])</f>
        <v>1</v>
      </c>
      <c r="Q18" s="10">
        <f>SUMIF(tbl_główna_GRACZE[I. Nazwisko],tbl_zawodnicy_sumy[[#This Row],[I. Nazwisko]],tbl_główna_GRACZE[min])</f>
        <v>82</v>
      </c>
      <c r="R18" s="10">
        <f>SUMIF(tbl_główna_GRACZE[I. Nazwisko],tbl_zawodnicy_sumy[[#This Row],[I. Nazwisko]],tbl_główna_GRACZE[pts])</f>
        <v>15</v>
      </c>
      <c r="S18" s="11">
        <f t="shared" si="0"/>
        <v>9</v>
      </c>
      <c r="T18" s="4">
        <f t="shared" si="1"/>
        <v>0.23333333333333334</v>
      </c>
      <c r="U18" s="4">
        <f t="shared" si="2"/>
        <v>0.125</v>
      </c>
      <c r="V18" s="4">
        <f t="shared" si="9"/>
        <v>0</v>
      </c>
      <c r="W18" s="4">
        <f>IFERROR(tbl_zawodnicy_sumy[[#This Row],[2pm]]/tbl_zawodnicy_sumy[[#This Row],[2pa]],0)</f>
        <v>0.27272727272727271</v>
      </c>
      <c r="X18" s="4">
        <f t="shared" si="3"/>
        <v>0.25</v>
      </c>
      <c r="Y18" s="4">
        <f t="shared" si="4"/>
        <v>0.25</v>
      </c>
      <c r="Z18" s="11">
        <f t="shared" si="5"/>
        <v>8</v>
      </c>
      <c r="AA18" s="4">
        <f t="shared" si="6"/>
        <v>0</v>
      </c>
      <c r="AB18" s="4">
        <f t="shared" si="7"/>
        <v>0.26666666666666666</v>
      </c>
      <c r="AC18" s="26">
        <f>IFERROR((SUMIF(tbl_główna_GRACZE[I. Nazwisko],tbl_zawodnicy_sumy[[#This Row],[I. Nazwisko]],tbl_główna_GRACZE[USG%]))/tbl_zawodnicy_sumy[[#This Row],[Played]],0)</f>
        <v>0.10732899676072581</v>
      </c>
      <c r="AD18" s="25">
        <f>IFERROR(tbl_zawodnicy_sumy[[#This Row],[pts]]*(40/tbl_zawodnicy_sumy[[#This Row],[min]]),0)</f>
        <v>7.3170731707317067</v>
      </c>
      <c r="AE18" s="30">
        <f>IFERROR(tbl_zawodnicy_sumy[[#This Row],[reb total]]*(40/tbl_zawodnicy_sumy[[#This Row],[min]]),0)</f>
        <v>4.3902439024390247</v>
      </c>
      <c r="AF18" s="30">
        <f>IFERROR(tbl_zawodnicy_sumy[[#This Row],[asst]]*(40/tbl_zawodnicy_sumy[[#This Row],[min]]),0)</f>
        <v>0.48780487804878048</v>
      </c>
      <c r="AG18" s="5">
        <f t="shared" si="8"/>
        <v>0.5</v>
      </c>
      <c r="AH18" s="5">
        <f>IFERROR((tbl_zawodnicy_sumy[[#This Row],[stl]]+tbl_zawodnicy_sumy[[#This Row],[blk]])*(40/tbl_zawodnicy_sumy[[#This Row],[min]]),0)</f>
        <v>2.9268292682926829</v>
      </c>
      <c r="AI18" s="4">
        <f>IFERROR((SUMIF(tbl_główna_GRACZE[I. Nazwisko],tbl_zawodnicy_sumy[[#This Row],[I. Nazwisko]],tbl_główna_GRACZE[DI]))/tbl_zawodnicy_sumy[[#This Row],[Played]],0)</f>
        <v>0.12916666666666668</v>
      </c>
      <c r="AJ18" s="25">
        <f>tbl_zawodnicy_sumy[[#This Row],[stl]]+tbl_zawodnicy_sumy[[#This Row],[blk]]+(tbl_zawodnicy_sumy[[#This Row],[dreb]]*0.5)</f>
        <v>8</v>
      </c>
      <c r="AK18" s="29">
        <f>IFERROR((tbl_zawodnicy_sumy[[#This Row],[stl]]+tbl_zawodnicy_sumy[[#This Row],[blk]]+0.5*tbl_zawodnicy_sumy[[#This Row],[dreb]])/tbl_zawodnicy_sumy[[#This Row],[min]],0)</f>
        <v>9.7560975609756101E-2</v>
      </c>
      <c r="AL18" s="6">
        <f t="shared" si="10"/>
        <v>8.2000000000000011</v>
      </c>
      <c r="AM18" s="6">
        <f>IFERROR(tbl_zawodnicy_sumy[[#This Row],[GmSc]]*(40/tbl_zawodnicy_sumy[[#This Row],[min]]),0)</f>
        <v>4</v>
      </c>
      <c r="AN18" s="6">
        <f>IFERROR(tbl_zawodnicy_sumy[[#This Row],[EVAL]]*(40/tbl_zawodnicy_sumy[[#This Row],[min]]),0)</f>
        <v>3.9024390243902438</v>
      </c>
      <c r="AO18" s="11">
        <f>tbl_zawodnicy_sumy[[#This Row],[fgm]]-tbl_zawodnicy_sumy[[#This Row],[3pm]]</f>
        <v>6</v>
      </c>
      <c r="AP18" s="11">
        <f>tbl_zawodnicy_sumy[[#This Row],[fga]]-tbl_zawodnicy_sumy[[#This Row],[3pa]]</f>
        <v>22</v>
      </c>
      <c r="AQ18">
        <f>SUMIF(tbl_zawodnicy_średnie[I. Nazwisko],tbl_zawodnicy_sumy[[#This Row],[I. Nazwisko]],tbl_zawodnicy_średnie[ID])</f>
        <v>8</v>
      </c>
    </row>
    <row r="19" spans="1:43" ht="14.5" customHeight="1" x14ac:dyDescent="0.35">
      <c r="A19" s="58" t="s">
        <v>19</v>
      </c>
      <c r="B19" s="58" t="s">
        <v>167</v>
      </c>
      <c r="C19" s="9">
        <f>SUMIF(tbl_główna_GRACZE[I. Nazwisko],tbl_zawodnicy_sumy[[#This Row],[I. Nazwisko]],tbl_główna_GRACZE[Played?])</f>
        <v>4</v>
      </c>
      <c r="D19" s="10">
        <f>SUMIF(tbl_główna_GRACZE[I. Nazwisko],tbl_zawodnicy_sumy[[#This Row],[I. Nazwisko]],tbl_główna_GRACZE[fgm])</f>
        <v>2</v>
      </c>
      <c r="E19" s="10">
        <f>SUMIF(tbl_główna_GRACZE[I. Nazwisko],tbl_zawodnicy_sumy[[#This Row],[I. Nazwisko]],tbl_główna_GRACZE[fga])</f>
        <v>9</v>
      </c>
      <c r="F19" s="10">
        <f>SUMIF(tbl_główna_GRACZE[I. Nazwisko],tbl_zawodnicy_sumy[[#This Row],[I. Nazwisko]],tbl_główna_GRACZE[3pm])</f>
        <v>0</v>
      </c>
      <c r="G19" s="10">
        <f>SUMIF(tbl_główna_GRACZE[I. Nazwisko],tbl_zawodnicy_sumy[[#This Row],[I. Nazwisko]],tbl_główna_GRACZE[3pa])</f>
        <v>1</v>
      </c>
      <c r="H19" s="10">
        <f>SUMIF(tbl_główna_GRACZE[I. Nazwisko],tbl_zawodnicy_sumy[[#This Row],[I. Nazwisko]],tbl_główna_GRACZE[ftm])</f>
        <v>0</v>
      </c>
      <c r="I19" s="10">
        <f>SUMIF(tbl_główna_GRACZE[I. Nazwisko],tbl_zawodnicy_sumy[[#This Row],[I. Nazwisko]],tbl_główna_GRACZE[fta])</f>
        <v>0</v>
      </c>
      <c r="J19" s="10">
        <f>SUMIF(tbl_główna_GRACZE[I. Nazwisko],tbl_zawodnicy_sumy[[#This Row],[I. Nazwisko]],tbl_główna_GRACZE[oreb])</f>
        <v>2</v>
      </c>
      <c r="K19" s="10">
        <f>SUMIF(tbl_główna_GRACZE[I. Nazwisko],tbl_zawodnicy_sumy[[#This Row],[I. Nazwisko]],tbl_główna_GRACZE[dreb])</f>
        <v>9</v>
      </c>
      <c r="L19" s="10">
        <f>SUMIF(tbl_główna_GRACZE[I. Nazwisko],tbl_zawodnicy_sumy[[#This Row],[I. Nazwisko]],tbl_główna_GRACZE[foul])</f>
        <v>8</v>
      </c>
      <c r="M19" s="10">
        <f>SUMIF(tbl_główna_GRACZE[I. Nazwisko],tbl_zawodnicy_sumy[[#This Row],[I. Nazwisko]],tbl_główna_GRACZE[stl])</f>
        <v>1</v>
      </c>
      <c r="N19" s="10">
        <f>SUMIF(tbl_główna_GRACZE[I. Nazwisko],tbl_zawodnicy_sumy[[#This Row],[I. Nazwisko]],tbl_główna_GRACZE[to])</f>
        <v>0</v>
      </c>
      <c r="O19" s="10">
        <f>SUMIF(tbl_główna_GRACZE[I. Nazwisko],tbl_zawodnicy_sumy[[#This Row],[I. Nazwisko]],tbl_główna_GRACZE[blk])</f>
        <v>0</v>
      </c>
      <c r="P19" s="10">
        <f>SUMIF(tbl_główna_GRACZE[I. Nazwisko],tbl_zawodnicy_sumy[[#This Row],[I. Nazwisko]],tbl_główna_GRACZE[asst])</f>
        <v>2</v>
      </c>
      <c r="Q19" s="10">
        <f>SUMIF(tbl_główna_GRACZE[I. Nazwisko],tbl_zawodnicy_sumy[[#This Row],[I. Nazwisko]],tbl_główna_GRACZE[min])</f>
        <v>50</v>
      </c>
      <c r="R19" s="10">
        <f>SUMIF(tbl_główna_GRACZE[I. Nazwisko],tbl_zawodnicy_sumy[[#This Row],[I. Nazwisko]],tbl_główna_GRACZE[pts])</f>
        <v>4</v>
      </c>
      <c r="S19" s="11">
        <f t="shared" si="0"/>
        <v>11</v>
      </c>
      <c r="T19" s="4">
        <f t="shared" si="1"/>
        <v>0.22222222222222221</v>
      </c>
      <c r="U19" s="4">
        <f t="shared" si="2"/>
        <v>0</v>
      </c>
      <c r="V19" s="4">
        <f t="shared" si="9"/>
        <v>0</v>
      </c>
      <c r="W19" s="4">
        <f>IFERROR(tbl_zawodnicy_sumy[[#This Row],[2pm]]/tbl_zawodnicy_sumy[[#This Row],[2pa]],0)</f>
        <v>0.25</v>
      </c>
      <c r="X19" s="4">
        <f t="shared" si="3"/>
        <v>0.22222222222222221</v>
      </c>
      <c r="Y19" s="4">
        <f t="shared" si="4"/>
        <v>0.22222222222222221</v>
      </c>
      <c r="Z19" s="11">
        <f t="shared" si="5"/>
        <v>11</v>
      </c>
      <c r="AA19" s="4">
        <f t="shared" si="6"/>
        <v>0</v>
      </c>
      <c r="AB19" s="4">
        <f t="shared" si="7"/>
        <v>0.1111111111111111</v>
      </c>
      <c r="AC19" s="26">
        <f>IFERROR((SUMIF(tbl_główna_GRACZE[I. Nazwisko],tbl_zawodnicy_sumy[[#This Row],[I. Nazwisko]],tbl_główna_GRACZE[USG%]))/tbl_zawodnicy_sumy[[#This Row],[Played]],0)</f>
        <v>3.2139270321902551E-2</v>
      </c>
      <c r="AD19" s="25">
        <f>IFERROR(tbl_zawodnicy_sumy[[#This Row],[pts]]*(40/tbl_zawodnicy_sumy[[#This Row],[min]]),0)</f>
        <v>3.2</v>
      </c>
      <c r="AE19" s="30">
        <f>IFERROR(tbl_zawodnicy_sumy[[#This Row],[reb total]]*(40/tbl_zawodnicy_sumy[[#This Row],[min]]),0)</f>
        <v>8.8000000000000007</v>
      </c>
      <c r="AF19" s="30">
        <f>IFERROR(tbl_zawodnicy_sumy[[#This Row],[asst]]*(40/tbl_zawodnicy_sumy[[#This Row],[min]]),0)</f>
        <v>1.6</v>
      </c>
      <c r="AG19" s="5">
        <f t="shared" si="8"/>
        <v>0.44444444444444442</v>
      </c>
      <c r="AH19" s="5">
        <f>IFERROR((tbl_zawodnicy_sumy[[#This Row],[stl]]+tbl_zawodnicy_sumy[[#This Row],[blk]])*(40/tbl_zawodnicy_sumy[[#This Row],[min]]),0)</f>
        <v>0.8</v>
      </c>
      <c r="AI19" s="4">
        <f>IFERROR((SUMIF(tbl_główna_GRACZE[I. Nazwisko],tbl_zawodnicy_sumy[[#This Row],[I. Nazwisko]],tbl_główna_GRACZE[DI]))/tbl_zawodnicy_sumy[[#This Row],[Played]],0)</f>
        <v>2.0833333333333332E-2</v>
      </c>
      <c r="AJ19" s="25">
        <f>tbl_zawodnicy_sumy[[#This Row],[stl]]+tbl_zawodnicy_sumy[[#This Row],[blk]]+(tbl_zawodnicy_sumy[[#This Row],[dreb]]*0.5)</f>
        <v>5.5</v>
      </c>
      <c r="AK19" s="29">
        <f>IFERROR((tbl_zawodnicy_sumy[[#This Row],[stl]]+tbl_zawodnicy_sumy[[#This Row],[blk]]+0.5*tbl_zawodnicy_sumy[[#This Row],[dreb]])/tbl_zawodnicy_sumy[[#This Row],[min]],0)</f>
        <v>0.11</v>
      </c>
      <c r="AL19" s="6">
        <f t="shared" si="10"/>
        <v>5</v>
      </c>
      <c r="AM19" s="6">
        <f>IFERROR(tbl_zawodnicy_sumy[[#This Row],[GmSc]]*(40/tbl_zawodnicy_sumy[[#This Row],[min]]),0)</f>
        <v>4</v>
      </c>
      <c r="AN19" s="6">
        <f>IFERROR(tbl_zawodnicy_sumy[[#This Row],[EVAL]]*(40/tbl_zawodnicy_sumy[[#This Row],[min]]),0)</f>
        <v>8.8000000000000007</v>
      </c>
      <c r="AO19" s="11">
        <f>tbl_zawodnicy_sumy[[#This Row],[fgm]]-tbl_zawodnicy_sumy[[#This Row],[3pm]]</f>
        <v>2</v>
      </c>
      <c r="AP19" s="11">
        <f>tbl_zawodnicy_sumy[[#This Row],[fga]]-tbl_zawodnicy_sumy[[#This Row],[3pa]]</f>
        <v>8</v>
      </c>
      <c r="AQ19">
        <f>SUMIF(tbl_zawodnicy_średnie[I. Nazwisko],tbl_zawodnicy_sumy[[#This Row],[I. Nazwisko]],tbl_zawodnicy_średnie[ID])</f>
        <v>9</v>
      </c>
    </row>
    <row r="20" spans="1:43" ht="14.5" customHeight="1" x14ac:dyDescent="0.35">
      <c r="A20" s="58" t="s">
        <v>25</v>
      </c>
      <c r="B20" s="58" t="s">
        <v>168</v>
      </c>
      <c r="C20" s="9">
        <f>SUMIF(tbl_główna_GRACZE[I. Nazwisko],tbl_zawodnicy_sumy[[#This Row],[I. Nazwisko]],tbl_główna_GRACZE[Played?])</f>
        <v>2</v>
      </c>
      <c r="D20" s="10">
        <f>SUMIF(tbl_główna_GRACZE[I. Nazwisko],tbl_zawodnicy_sumy[[#This Row],[I. Nazwisko]],tbl_główna_GRACZE[fgm])</f>
        <v>20</v>
      </c>
      <c r="E20" s="10">
        <f>SUMIF(tbl_główna_GRACZE[I. Nazwisko],tbl_zawodnicy_sumy[[#This Row],[I. Nazwisko]],tbl_główna_GRACZE[fga])</f>
        <v>37</v>
      </c>
      <c r="F20" s="10">
        <f>SUMIF(tbl_główna_GRACZE[I. Nazwisko],tbl_zawodnicy_sumy[[#This Row],[I. Nazwisko]],tbl_główna_GRACZE[3pm])</f>
        <v>1</v>
      </c>
      <c r="G20" s="10">
        <f>SUMIF(tbl_główna_GRACZE[I. Nazwisko],tbl_zawodnicy_sumy[[#This Row],[I. Nazwisko]],tbl_główna_GRACZE[3pa])</f>
        <v>6</v>
      </c>
      <c r="H20" s="10">
        <f>SUMIF(tbl_główna_GRACZE[I. Nazwisko],tbl_zawodnicy_sumy[[#This Row],[I. Nazwisko]],tbl_główna_GRACZE[ftm])</f>
        <v>0</v>
      </c>
      <c r="I20" s="10">
        <f>SUMIF(tbl_główna_GRACZE[I. Nazwisko],tbl_zawodnicy_sumy[[#This Row],[I. Nazwisko]],tbl_główna_GRACZE[fta])</f>
        <v>3</v>
      </c>
      <c r="J20" s="10">
        <f>SUMIF(tbl_główna_GRACZE[I. Nazwisko],tbl_zawodnicy_sumy[[#This Row],[I. Nazwisko]],tbl_główna_GRACZE[oreb])</f>
        <v>4</v>
      </c>
      <c r="K20" s="10">
        <f>SUMIF(tbl_główna_GRACZE[I. Nazwisko],tbl_zawodnicy_sumy[[#This Row],[I. Nazwisko]],tbl_główna_GRACZE[dreb])</f>
        <v>8</v>
      </c>
      <c r="L20" s="10">
        <f>SUMIF(tbl_główna_GRACZE[I. Nazwisko],tbl_zawodnicy_sumy[[#This Row],[I. Nazwisko]],tbl_główna_GRACZE[foul])</f>
        <v>2</v>
      </c>
      <c r="M20" s="10">
        <f>SUMIF(tbl_główna_GRACZE[I. Nazwisko],tbl_zawodnicy_sumy[[#This Row],[I. Nazwisko]],tbl_główna_GRACZE[stl])</f>
        <v>12</v>
      </c>
      <c r="N20" s="10">
        <f>SUMIF(tbl_główna_GRACZE[I. Nazwisko],tbl_zawodnicy_sumy[[#This Row],[I. Nazwisko]],tbl_główna_GRACZE[to])</f>
        <v>0</v>
      </c>
      <c r="O20" s="10">
        <f>SUMIF(tbl_główna_GRACZE[I. Nazwisko],tbl_zawodnicy_sumy[[#This Row],[I. Nazwisko]],tbl_główna_GRACZE[blk])</f>
        <v>1</v>
      </c>
      <c r="P20" s="10">
        <f>SUMIF(tbl_główna_GRACZE[I. Nazwisko],tbl_zawodnicy_sumy[[#This Row],[I. Nazwisko]],tbl_główna_GRACZE[asst])</f>
        <v>10</v>
      </c>
      <c r="Q20" s="10">
        <f>SUMIF(tbl_główna_GRACZE[I. Nazwisko],tbl_zawodnicy_sumy[[#This Row],[I. Nazwisko]],tbl_główna_GRACZE[min])</f>
        <v>78</v>
      </c>
      <c r="R20" s="10">
        <f>SUMIF(tbl_główna_GRACZE[I. Nazwisko],tbl_zawodnicy_sumy[[#This Row],[I. Nazwisko]],tbl_główna_GRACZE[pts])</f>
        <v>41</v>
      </c>
      <c r="S20" s="11">
        <f t="shared" si="0"/>
        <v>12</v>
      </c>
      <c r="T20" s="4">
        <f t="shared" si="1"/>
        <v>0.54054054054054057</v>
      </c>
      <c r="U20" s="4">
        <f t="shared" si="2"/>
        <v>0.16666666666666666</v>
      </c>
      <c r="V20" s="4">
        <f t="shared" si="9"/>
        <v>0</v>
      </c>
      <c r="W20" s="4">
        <f>IFERROR(tbl_zawodnicy_sumy[[#This Row],[2pm]]/tbl_zawodnicy_sumy[[#This Row],[2pa]],0)</f>
        <v>0.61290322580645162</v>
      </c>
      <c r="X20" s="4">
        <f t="shared" si="3"/>
        <v>0.53496868475991644</v>
      </c>
      <c r="Y20" s="4">
        <f t="shared" si="4"/>
        <v>0.55405405405405406</v>
      </c>
      <c r="Z20" s="11">
        <f t="shared" si="5"/>
        <v>56</v>
      </c>
      <c r="AA20" s="4">
        <f t="shared" si="6"/>
        <v>8.1081081081081086E-2</v>
      </c>
      <c r="AB20" s="4">
        <f t="shared" si="7"/>
        <v>0.16216216216216217</v>
      </c>
      <c r="AC20" s="26">
        <f>IFERROR((SUMIF(tbl_główna_GRACZE[I. Nazwisko],tbl_zawodnicy_sumy[[#This Row],[I. Nazwisko]],tbl_główna_GRACZE[USG%]))/tbl_zawodnicy_sumy[[#This Row],[Played]],0)</f>
        <v>0.24992741434356858</v>
      </c>
      <c r="AD20" s="25">
        <f>IFERROR(tbl_zawodnicy_sumy[[#This Row],[pts]]*(40/tbl_zawodnicy_sumy[[#This Row],[min]]),0)</f>
        <v>21.025641025641022</v>
      </c>
      <c r="AE20" s="30">
        <f>IFERROR(tbl_zawodnicy_sumy[[#This Row],[reb total]]*(40/tbl_zawodnicy_sumy[[#This Row],[min]]),0)</f>
        <v>6.1538461538461533</v>
      </c>
      <c r="AF20" s="30">
        <f>IFERROR(tbl_zawodnicy_sumy[[#This Row],[asst]]*(40/tbl_zawodnicy_sumy[[#This Row],[min]]),0)</f>
        <v>5.1282051282051277</v>
      </c>
      <c r="AG20" s="5">
        <f t="shared" si="8"/>
        <v>1.1081081081081081</v>
      </c>
      <c r="AH20" s="5">
        <f>IFERROR((tbl_zawodnicy_sumy[[#This Row],[stl]]+tbl_zawodnicy_sumy[[#This Row],[blk]])*(40/tbl_zawodnicy_sumy[[#This Row],[min]]),0)</f>
        <v>6.6666666666666661</v>
      </c>
      <c r="AI20" s="4">
        <f>IFERROR((SUMIF(tbl_główna_GRACZE[I. Nazwisko],tbl_zawodnicy_sumy[[#This Row],[I. Nazwisko]],tbl_główna_GRACZE[DI]))/tbl_zawodnicy_sumy[[#This Row],[Played]],0)</f>
        <v>0.33556149732620322</v>
      </c>
      <c r="AJ20" s="25">
        <f>tbl_zawodnicy_sumy[[#This Row],[stl]]+tbl_zawodnicy_sumy[[#This Row],[blk]]+(tbl_zawodnicy_sumy[[#This Row],[dreb]]*0.5)</f>
        <v>17</v>
      </c>
      <c r="AK20" s="29">
        <f>IFERROR((tbl_zawodnicy_sumy[[#This Row],[stl]]+tbl_zawodnicy_sumy[[#This Row],[blk]]+0.5*tbl_zawodnicy_sumy[[#This Row],[dreb]])/tbl_zawodnicy_sumy[[#This Row],[min]],0)</f>
        <v>0.21794871794871795</v>
      </c>
      <c r="AL20" s="6">
        <f t="shared" si="10"/>
        <v>46.800000000000004</v>
      </c>
      <c r="AM20" s="6">
        <f>IFERROR(tbl_zawodnicy_sumy[[#This Row],[GmSc]]*(40/tbl_zawodnicy_sumy[[#This Row],[min]]),0)</f>
        <v>24</v>
      </c>
      <c r="AN20" s="6">
        <f>IFERROR(tbl_zawodnicy_sumy[[#This Row],[EVAL]]*(40/tbl_zawodnicy_sumy[[#This Row],[min]]),0)</f>
        <v>28.717948717948715</v>
      </c>
      <c r="AO20" s="11">
        <f>tbl_zawodnicy_sumy[[#This Row],[fgm]]-tbl_zawodnicy_sumy[[#This Row],[3pm]]</f>
        <v>19</v>
      </c>
      <c r="AP20" s="11">
        <f>tbl_zawodnicy_sumy[[#This Row],[fga]]-tbl_zawodnicy_sumy[[#This Row],[3pa]]</f>
        <v>31</v>
      </c>
      <c r="AQ20">
        <f>SUMIF(tbl_zawodnicy_średnie[I. Nazwisko],tbl_zawodnicy_sumy[[#This Row],[I. Nazwisko]],tbl_zawodnicy_średnie[ID])</f>
        <v>10</v>
      </c>
    </row>
    <row r="21" spans="1:43" ht="14.5" customHeight="1" x14ac:dyDescent="0.35">
      <c r="A21" s="58" t="s">
        <v>25</v>
      </c>
      <c r="B21" s="58" t="s">
        <v>169</v>
      </c>
      <c r="C21" s="9">
        <f>SUMIF(tbl_główna_GRACZE[I. Nazwisko],tbl_zawodnicy_sumy[[#This Row],[I. Nazwisko]],tbl_główna_GRACZE[Played?])</f>
        <v>3</v>
      </c>
      <c r="D21" s="10">
        <f>SUMIF(tbl_główna_GRACZE[I. Nazwisko],tbl_zawodnicy_sumy[[#This Row],[I. Nazwisko]],tbl_główna_GRACZE[fgm])</f>
        <v>17</v>
      </c>
      <c r="E21" s="10">
        <f>SUMIF(tbl_główna_GRACZE[I. Nazwisko],tbl_zawodnicy_sumy[[#This Row],[I. Nazwisko]],tbl_główna_GRACZE[fga])</f>
        <v>43</v>
      </c>
      <c r="F21" s="10">
        <f>SUMIF(tbl_główna_GRACZE[I. Nazwisko],tbl_zawodnicy_sumy[[#This Row],[I. Nazwisko]],tbl_główna_GRACZE[3pm])</f>
        <v>5</v>
      </c>
      <c r="G21" s="10">
        <f>SUMIF(tbl_główna_GRACZE[I. Nazwisko],tbl_zawodnicy_sumy[[#This Row],[I. Nazwisko]],tbl_główna_GRACZE[3pa])</f>
        <v>19</v>
      </c>
      <c r="H21" s="10">
        <f>SUMIF(tbl_główna_GRACZE[I. Nazwisko],tbl_zawodnicy_sumy[[#This Row],[I. Nazwisko]],tbl_główna_GRACZE[ftm])</f>
        <v>2</v>
      </c>
      <c r="I21" s="10">
        <f>SUMIF(tbl_główna_GRACZE[I. Nazwisko],tbl_zawodnicy_sumy[[#This Row],[I. Nazwisko]],tbl_główna_GRACZE[fta])</f>
        <v>5</v>
      </c>
      <c r="J21" s="10">
        <f>SUMIF(tbl_główna_GRACZE[I. Nazwisko],tbl_zawodnicy_sumy[[#This Row],[I. Nazwisko]],tbl_główna_GRACZE[oreb])</f>
        <v>7</v>
      </c>
      <c r="K21" s="10">
        <f>SUMIF(tbl_główna_GRACZE[I. Nazwisko],tbl_zawodnicy_sumy[[#This Row],[I. Nazwisko]],tbl_główna_GRACZE[dreb])</f>
        <v>23</v>
      </c>
      <c r="L21" s="10">
        <f>SUMIF(tbl_główna_GRACZE[I. Nazwisko],tbl_zawodnicy_sumy[[#This Row],[I. Nazwisko]],tbl_główna_GRACZE[foul])</f>
        <v>6</v>
      </c>
      <c r="M21" s="10">
        <f>SUMIF(tbl_główna_GRACZE[I. Nazwisko],tbl_zawodnicy_sumy[[#This Row],[I. Nazwisko]],tbl_główna_GRACZE[stl])</f>
        <v>10</v>
      </c>
      <c r="N21" s="10">
        <f>SUMIF(tbl_główna_GRACZE[I. Nazwisko],tbl_zawodnicy_sumy[[#This Row],[I. Nazwisko]],tbl_główna_GRACZE[to])</f>
        <v>0</v>
      </c>
      <c r="O21" s="10">
        <f>SUMIF(tbl_główna_GRACZE[I. Nazwisko],tbl_zawodnicy_sumy[[#This Row],[I. Nazwisko]],tbl_główna_GRACZE[blk])</f>
        <v>0</v>
      </c>
      <c r="P21" s="10">
        <f>SUMIF(tbl_główna_GRACZE[I. Nazwisko],tbl_zawodnicy_sumy[[#This Row],[I. Nazwisko]],tbl_główna_GRACZE[asst])</f>
        <v>9</v>
      </c>
      <c r="Q21" s="10">
        <f>SUMIF(tbl_główna_GRACZE[I. Nazwisko],tbl_zawodnicy_sumy[[#This Row],[I. Nazwisko]],tbl_główna_GRACZE[min])</f>
        <v>118</v>
      </c>
      <c r="R21" s="10">
        <f>SUMIF(tbl_główna_GRACZE[I. Nazwisko],tbl_zawodnicy_sumy[[#This Row],[I. Nazwisko]],tbl_główna_GRACZE[pts])</f>
        <v>41</v>
      </c>
      <c r="S21" s="11">
        <f t="shared" si="0"/>
        <v>30</v>
      </c>
      <c r="T21" s="4">
        <f t="shared" si="1"/>
        <v>0.39534883720930231</v>
      </c>
      <c r="U21" s="4">
        <f t="shared" si="2"/>
        <v>0.26315789473684209</v>
      </c>
      <c r="V21" s="4">
        <f t="shared" si="9"/>
        <v>0.4</v>
      </c>
      <c r="W21" s="4">
        <f>IFERROR(tbl_zawodnicy_sumy[[#This Row],[2pm]]/tbl_zawodnicy_sumy[[#This Row],[2pa]],0)</f>
        <v>0.5</v>
      </c>
      <c r="X21" s="4">
        <f t="shared" si="3"/>
        <v>0.45353982300884954</v>
      </c>
      <c r="Y21" s="4">
        <f t="shared" si="4"/>
        <v>0.45348837209302323</v>
      </c>
      <c r="Z21" s="11">
        <f t="shared" si="5"/>
        <v>61</v>
      </c>
      <c r="AA21" s="4">
        <f t="shared" si="6"/>
        <v>0.11627906976744186</v>
      </c>
      <c r="AB21" s="4">
        <f t="shared" si="7"/>
        <v>0.44186046511627908</v>
      </c>
      <c r="AC21" s="26">
        <f>IFERROR((SUMIF(tbl_główna_GRACZE[I. Nazwisko],tbl_zawodnicy_sumy[[#This Row],[I. Nazwisko]],tbl_główna_GRACZE[USG%]))/tbl_zawodnicy_sumy[[#This Row],[Played]],0)</f>
        <v>0.20207351163955387</v>
      </c>
      <c r="AD21" s="25">
        <f>IFERROR(tbl_zawodnicy_sumy[[#This Row],[pts]]*(40/tbl_zawodnicy_sumy[[#This Row],[min]]),0)</f>
        <v>13.898305084745761</v>
      </c>
      <c r="AE21" s="30">
        <f>IFERROR(tbl_zawodnicy_sumy[[#This Row],[reb total]]*(40/tbl_zawodnicy_sumy[[#This Row],[min]]),0)</f>
        <v>10.169491525423728</v>
      </c>
      <c r="AF21" s="30">
        <f>IFERROR(tbl_zawodnicy_sumy[[#This Row],[asst]]*(40/tbl_zawodnicy_sumy[[#This Row],[min]]),0)</f>
        <v>3.0508474576271185</v>
      </c>
      <c r="AG21" s="5">
        <f t="shared" si="8"/>
        <v>0.95348837209302328</v>
      </c>
      <c r="AH21" s="5">
        <f>IFERROR((tbl_zawodnicy_sumy[[#This Row],[stl]]+tbl_zawodnicy_sumy[[#This Row],[blk]])*(40/tbl_zawodnicy_sumy[[#This Row],[min]]),0)</f>
        <v>3.3898305084745761</v>
      </c>
      <c r="AI21" s="4">
        <f>IFERROR((SUMIF(tbl_główna_GRACZE[I. Nazwisko],tbl_zawodnicy_sumy[[#This Row],[I. Nazwisko]],tbl_główna_GRACZE[DI]))/tbl_zawodnicy_sumy[[#This Row],[Played]],0)</f>
        <v>0.28795518207282916</v>
      </c>
      <c r="AJ21" s="25">
        <f>tbl_zawodnicy_sumy[[#This Row],[stl]]+tbl_zawodnicy_sumy[[#This Row],[blk]]+(tbl_zawodnicy_sumy[[#This Row],[dreb]]*0.5)</f>
        <v>21.5</v>
      </c>
      <c r="AK21" s="29">
        <f>IFERROR((tbl_zawodnicy_sumy[[#This Row],[stl]]+tbl_zawodnicy_sumy[[#This Row],[blk]]+0.5*tbl_zawodnicy_sumy[[#This Row],[dreb]])/tbl_zawodnicy_sumy[[#This Row],[min]],0)</f>
        <v>0.18220338983050846</v>
      </c>
      <c r="AL21" s="6">
        <f t="shared" si="10"/>
        <v>44.599999999999994</v>
      </c>
      <c r="AM21" s="6">
        <f>IFERROR(tbl_zawodnicy_sumy[[#This Row],[GmSc]]*(40/tbl_zawodnicy_sumy[[#This Row],[min]]),0)</f>
        <v>15.118644067796607</v>
      </c>
      <c r="AN21" s="6">
        <f>IFERROR(tbl_zawodnicy_sumy[[#This Row],[EVAL]]*(40/tbl_zawodnicy_sumy[[#This Row],[min]]),0)</f>
        <v>20.677966101694913</v>
      </c>
      <c r="AO21" s="11">
        <f>tbl_zawodnicy_sumy[[#This Row],[fgm]]-tbl_zawodnicy_sumy[[#This Row],[3pm]]</f>
        <v>12</v>
      </c>
      <c r="AP21" s="11">
        <f>tbl_zawodnicy_sumy[[#This Row],[fga]]-tbl_zawodnicy_sumy[[#This Row],[3pa]]</f>
        <v>24</v>
      </c>
      <c r="AQ21">
        <f>SUMIF(tbl_zawodnicy_średnie[I. Nazwisko],tbl_zawodnicy_sumy[[#This Row],[I. Nazwisko]],tbl_zawodnicy_średnie[ID])</f>
        <v>11</v>
      </c>
    </row>
    <row r="22" spans="1:43" ht="14.5" customHeight="1" x14ac:dyDescent="0.35">
      <c r="A22" s="58" t="s">
        <v>25</v>
      </c>
      <c r="B22" s="58" t="s">
        <v>170</v>
      </c>
      <c r="C22" s="9">
        <f>SUMIF(tbl_główna_GRACZE[I. Nazwisko],tbl_zawodnicy_sumy[[#This Row],[I. Nazwisko]],tbl_główna_GRACZE[Played?])</f>
        <v>1</v>
      </c>
      <c r="D22" s="10">
        <f>SUMIF(tbl_główna_GRACZE[I. Nazwisko],tbl_zawodnicy_sumy[[#This Row],[I. Nazwisko]],tbl_główna_GRACZE[fgm])</f>
        <v>3</v>
      </c>
      <c r="E22" s="10">
        <f>SUMIF(tbl_główna_GRACZE[I. Nazwisko],tbl_zawodnicy_sumy[[#This Row],[I. Nazwisko]],tbl_główna_GRACZE[fga])</f>
        <v>13</v>
      </c>
      <c r="F22" s="10">
        <f>SUMIF(tbl_główna_GRACZE[I. Nazwisko],tbl_zawodnicy_sumy[[#This Row],[I. Nazwisko]],tbl_główna_GRACZE[3pm])</f>
        <v>0</v>
      </c>
      <c r="G22" s="10">
        <f>SUMIF(tbl_główna_GRACZE[I. Nazwisko],tbl_zawodnicy_sumy[[#This Row],[I. Nazwisko]],tbl_główna_GRACZE[3pa])</f>
        <v>3</v>
      </c>
      <c r="H22" s="10">
        <f>SUMIF(tbl_główna_GRACZE[I. Nazwisko],tbl_zawodnicy_sumy[[#This Row],[I. Nazwisko]],tbl_główna_GRACZE[ftm])</f>
        <v>6</v>
      </c>
      <c r="I22" s="10">
        <f>SUMIF(tbl_główna_GRACZE[I. Nazwisko],tbl_zawodnicy_sumy[[#This Row],[I. Nazwisko]],tbl_główna_GRACZE[fta])</f>
        <v>10</v>
      </c>
      <c r="J22" s="10">
        <f>SUMIF(tbl_główna_GRACZE[I. Nazwisko],tbl_zawodnicy_sumy[[#This Row],[I. Nazwisko]],tbl_główna_GRACZE[oreb])</f>
        <v>9</v>
      </c>
      <c r="K22" s="10">
        <f>SUMIF(tbl_główna_GRACZE[I. Nazwisko],tbl_zawodnicy_sumy[[#This Row],[I. Nazwisko]],tbl_główna_GRACZE[dreb])</f>
        <v>8</v>
      </c>
      <c r="L22" s="10">
        <f>SUMIF(tbl_główna_GRACZE[I. Nazwisko],tbl_zawodnicy_sumy[[#This Row],[I. Nazwisko]],tbl_główna_GRACZE[foul])</f>
        <v>1</v>
      </c>
      <c r="M22" s="10">
        <f>SUMIF(tbl_główna_GRACZE[I. Nazwisko],tbl_zawodnicy_sumy[[#This Row],[I. Nazwisko]],tbl_główna_GRACZE[stl])</f>
        <v>5</v>
      </c>
      <c r="N22" s="10">
        <f>SUMIF(tbl_główna_GRACZE[I. Nazwisko],tbl_zawodnicy_sumy[[#This Row],[I. Nazwisko]],tbl_główna_GRACZE[to])</f>
        <v>0</v>
      </c>
      <c r="O22" s="10">
        <f>SUMIF(tbl_główna_GRACZE[I. Nazwisko],tbl_zawodnicy_sumy[[#This Row],[I. Nazwisko]],tbl_główna_GRACZE[blk])</f>
        <v>0</v>
      </c>
      <c r="P22" s="10">
        <f>SUMIF(tbl_główna_GRACZE[I. Nazwisko],tbl_zawodnicy_sumy[[#This Row],[I. Nazwisko]],tbl_główna_GRACZE[asst])</f>
        <v>6</v>
      </c>
      <c r="Q22" s="10">
        <f>SUMIF(tbl_główna_GRACZE[I. Nazwisko],tbl_zawodnicy_sumy[[#This Row],[I. Nazwisko]],tbl_główna_GRACZE[min])</f>
        <v>40</v>
      </c>
      <c r="R22" s="10">
        <f>SUMIF(tbl_główna_GRACZE[I. Nazwisko],tbl_zawodnicy_sumy[[#This Row],[I. Nazwisko]],tbl_główna_GRACZE[pts])</f>
        <v>12</v>
      </c>
      <c r="S22" s="11">
        <f t="shared" si="0"/>
        <v>17</v>
      </c>
      <c r="T22" s="4">
        <f t="shared" si="1"/>
        <v>0.23076923076923078</v>
      </c>
      <c r="U22" s="4">
        <f t="shared" si="2"/>
        <v>0</v>
      </c>
      <c r="V22" s="4">
        <f t="shared" si="9"/>
        <v>0.6</v>
      </c>
      <c r="W22" s="4">
        <f>IFERROR(tbl_zawodnicy_sumy[[#This Row],[2pm]]/tbl_zawodnicy_sumy[[#This Row],[2pa]],0)</f>
        <v>0.3</v>
      </c>
      <c r="X22" s="4">
        <f t="shared" si="3"/>
        <v>0.34482758620689657</v>
      </c>
      <c r="Y22" s="4">
        <f t="shared" si="4"/>
        <v>0.23076923076923078</v>
      </c>
      <c r="Z22" s="11">
        <f t="shared" si="5"/>
        <v>26</v>
      </c>
      <c r="AA22" s="4">
        <f t="shared" si="6"/>
        <v>0.76923076923076927</v>
      </c>
      <c r="AB22" s="4">
        <f t="shared" si="7"/>
        <v>0.23076923076923078</v>
      </c>
      <c r="AC22" s="26">
        <f>IFERROR((SUMIF(tbl_główna_GRACZE[I. Nazwisko],tbl_zawodnicy_sumy[[#This Row],[I. Nazwisko]],tbl_główna_GRACZE[USG%]))/tbl_zawodnicy_sumy[[#This Row],[Played]],0)</f>
        <v>0.21065375302663439</v>
      </c>
      <c r="AD22" s="25">
        <f>IFERROR(tbl_zawodnicy_sumy[[#This Row],[pts]]*(40/tbl_zawodnicy_sumy[[#This Row],[min]]),0)</f>
        <v>12</v>
      </c>
      <c r="AE22" s="30">
        <f>IFERROR(tbl_zawodnicy_sumy[[#This Row],[reb total]]*(40/tbl_zawodnicy_sumy[[#This Row],[min]]),0)</f>
        <v>17</v>
      </c>
      <c r="AF22" s="30">
        <f>IFERROR(tbl_zawodnicy_sumy[[#This Row],[asst]]*(40/tbl_zawodnicy_sumy[[#This Row],[min]]),0)</f>
        <v>6</v>
      </c>
      <c r="AG22" s="5">
        <f t="shared" si="8"/>
        <v>0.92307692307692313</v>
      </c>
      <c r="AH22" s="5">
        <f>IFERROR((tbl_zawodnicy_sumy[[#This Row],[stl]]+tbl_zawodnicy_sumy[[#This Row],[blk]])*(40/tbl_zawodnicy_sumy[[#This Row],[min]]),0)</f>
        <v>5</v>
      </c>
      <c r="AI22" s="4">
        <f>IFERROR((SUMIF(tbl_główna_GRACZE[I. Nazwisko],tbl_zawodnicy_sumy[[#This Row],[I. Nazwisko]],tbl_główna_GRACZE[DI]))/tbl_zawodnicy_sumy[[#This Row],[Played]],0)</f>
        <v>0.29411764705882354</v>
      </c>
      <c r="AJ22" s="25">
        <f>tbl_zawodnicy_sumy[[#This Row],[stl]]+tbl_zawodnicy_sumy[[#This Row],[blk]]+(tbl_zawodnicy_sumy[[#This Row],[dreb]]*0.5)</f>
        <v>9</v>
      </c>
      <c r="AK22" s="29">
        <f>IFERROR((tbl_zawodnicy_sumy[[#This Row],[stl]]+tbl_zawodnicy_sumy[[#This Row],[blk]]+0.5*tbl_zawodnicy_sumy[[#This Row],[dreb]])/tbl_zawodnicy_sumy[[#This Row],[min]],0)</f>
        <v>0.22500000000000001</v>
      </c>
      <c r="AL22" s="6">
        <f t="shared" si="10"/>
        <v>20.399999999999999</v>
      </c>
      <c r="AM22" s="6">
        <f>IFERROR(tbl_zawodnicy_sumy[[#This Row],[GmSc]]*(40/tbl_zawodnicy_sumy[[#This Row],[min]]),0)</f>
        <v>20.399999999999999</v>
      </c>
      <c r="AN22" s="6">
        <f>IFERROR(tbl_zawodnicy_sumy[[#This Row],[EVAL]]*(40/tbl_zawodnicy_sumy[[#This Row],[min]]),0)</f>
        <v>26</v>
      </c>
      <c r="AO22" s="11">
        <f>tbl_zawodnicy_sumy[[#This Row],[fgm]]-tbl_zawodnicy_sumy[[#This Row],[3pm]]</f>
        <v>3</v>
      </c>
      <c r="AP22" s="11">
        <f>tbl_zawodnicy_sumy[[#This Row],[fga]]-tbl_zawodnicy_sumy[[#This Row],[3pa]]</f>
        <v>10</v>
      </c>
      <c r="AQ22">
        <f>SUMIF(tbl_zawodnicy_średnie[I. Nazwisko],tbl_zawodnicy_sumy[[#This Row],[I. Nazwisko]],tbl_zawodnicy_średnie[ID])</f>
        <v>12</v>
      </c>
    </row>
    <row r="23" spans="1:43" ht="14.5" customHeight="1" x14ac:dyDescent="0.35">
      <c r="A23" s="58" t="s">
        <v>25</v>
      </c>
      <c r="B23" s="58" t="s">
        <v>171</v>
      </c>
      <c r="C23" s="9">
        <f>SUMIF(tbl_główna_GRACZE[I. Nazwisko],tbl_zawodnicy_sumy[[#This Row],[I. Nazwisko]],tbl_główna_GRACZE[Played?])</f>
        <v>2</v>
      </c>
      <c r="D23" s="10">
        <f>SUMIF(tbl_główna_GRACZE[I. Nazwisko],tbl_zawodnicy_sumy[[#This Row],[I. Nazwisko]],tbl_główna_GRACZE[fgm])</f>
        <v>15</v>
      </c>
      <c r="E23" s="10">
        <f>SUMIF(tbl_główna_GRACZE[I. Nazwisko],tbl_zawodnicy_sumy[[#This Row],[I. Nazwisko]],tbl_główna_GRACZE[fga])</f>
        <v>63</v>
      </c>
      <c r="F23" s="10">
        <f>SUMIF(tbl_główna_GRACZE[I. Nazwisko],tbl_zawodnicy_sumy[[#This Row],[I. Nazwisko]],tbl_główna_GRACZE[3pm])</f>
        <v>10</v>
      </c>
      <c r="G23" s="10">
        <f>SUMIF(tbl_główna_GRACZE[I. Nazwisko],tbl_zawodnicy_sumy[[#This Row],[I. Nazwisko]],tbl_główna_GRACZE[3pa])</f>
        <v>50</v>
      </c>
      <c r="H23" s="10">
        <f>SUMIF(tbl_główna_GRACZE[I. Nazwisko],tbl_zawodnicy_sumy[[#This Row],[I. Nazwisko]],tbl_główna_GRACZE[ftm])</f>
        <v>1</v>
      </c>
      <c r="I23" s="10">
        <f>SUMIF(tbl_główna_GRACZE[I. Nazwisko],tbl_zawodnicy_sumy[[#This Row],[I. Nazwisko]],tbl_główna_GRACZE[fta])</f>
        <v>4</v>
      </c>
      <c r="J23" s="10">
        <f>SUMIF(tbl_główna_GRACZE[I. Nazwisko],tbl_zawodnicy_sumy[[#This Row],[I. Nazwisko]],tbl_główna_GRACZE[oreb])</f>
        <v>0</v>
      </c>
      <c r="K23" s="10">
        <f>SUMIF(tbl_główna_GRACZE[I. Nazwisko],tbl_zawodnicy_sumy[[#This Row],[I. Nazwisko]],tbl_główna_GRACZE[dreb])</f>
        <v>4</v>
      </c>
      <c r="L23" s="10">
        <f>SUMIF(tbl_główna_GRACZE[I. Nazwisko],tbl_zawodnicy_sumy[[#This Row],[I. Nazwisko]],tbl_główna_GRACZE[foul])</f>
        <v>0</v>
      </c>
      <c r="M23" s="10">
        <f>SUMIF(tbl_główna_GRACZE[I. Nazwisko],tbl_zawodnicy_sumy[[#This Row],[I. Nazwisko]],tbl_główna_GRACZE[stl])</f>
        <v>0</v>
      </c>
      <c r="N23" s="10">
        <f>SUMIF(tbl_główna_GRACZE[I. Nazwisko],tbl_zawodnicy_sumy[[#This Row],[I. Nazwisko]],tbl_główna_GRACZE[to])</f>
        <v>0</v>
      </c>
      <c r="O23" s="10">
        <f>SUMIF(tbl_główna_GRACZE[I. Nazwisko],tbl_zawodnicy_sumy[[#This Row],[I. Nazwisko]],tbl_główna_GRACZE[blk])</f>
        <v>1</v>
      </c>
      <c r="P23" s="10">
        <f>SUMIF(tbl_główna_GRACZE[I. Nazwisko],tbl_zawodnicy_sumy[[#This Row],[I. Nazwisko]],tbl_główna_GRACZE[asst])</f>
        <v>1</v>
      </c>
      <c r="Q23" s="10">
        <f>SUMIF(tbl_główna_GRACZE[I. Nazwisko],tbl_zawodnicy_sumy[[#This Row],[I. Nazwisko]],tbl_główna_GRACZE[min])</f>
        <v>80</v>
      </c>
      <c r="R23" s="10">
        <f>SUMIF(tbl_główna_GRACZE[I. Nazwisko],tbl_zawodnicy_sumy[[#This Row],[I. Nazwisko]],tbl_główna_GRACZE[pts])</f>
        <v>41</v>
      </c>
      <c r="S23" s="11">
        <f t="shared" si="0"/>
        <v>4</v>
      </c>
      <c r="T23" s="4">
        <f t="shared" si="1"/>
        <v>0.23809523809523808</v>
      </c>
      <c r="U23" s="4">
        <f t="shared" si="2"/>
        <v>0.2</v>
      </c>
      <c r="V23" s="4">
        <f t="shared" si="9"/>
        <v>0.25</v>
      </c>
      <c r="W23" s="4">
        <f>IFERROR(tbl_zawodnicy_sumy[[#This Row],[2pm]]/tbl_zawodnicy_sumy[[#This Row],[2pa]],0)</f>
        <v>0.38461538461538464</v>
      </c>
      <c r="X23" s="4">
        <f t="shared" si="3"/>
        <v>0.31655342804200121</v>
      </c>
      <c r="Y23" s="4">
        <f t="shared" si="4"/>
        <v>0.31746031746031744</v>
      </c>
      <c r="Z23" s="11">
        <f t="shared" si="5"/>
        <v>-4</v>
      </c>
      <c r="AA23" s="4">
        <f t="shared" si="6"/>
        <v>6.3492063492063489E-2</v>
      </c>
      <c r="AB23" s="4">
        <f t="shared" si="7"/>
        <v>0.79365079365079361</v>
      </c>
      <c r="AC23" s="26">
        <f>IFERROR((SUMIF(tbl_główna_GRACZE[I. Nazwisko],tbl_zawodnicy_sumy[[#This Row],[I. Nazwisko]],tbl_główna_GRACZE[USG%]))/tbl_zawodnicy_sumy[[#This Row],[Played]],0)</f>
        <v>0.43567332792792546</v>
      </c>
      <c r="AD23" s="25">
        <f>IFERROR(tbl_zawodnicy_sumy[[#This Row],[pts]]*(40/tbl_zawodnicy_sumy[[#This Row],[min]]),0)</f>
        <v>20.5</v>
      </c>
      <c r="AE23" s="30">
        <f>IFERROR(tbl_zawodnicy_sumy[[#This Row],[reb total]]*(40/tbl_zawodnicy_sumy[[#This Row],[min]]),0)</f>
        <v>2</v>
      </c>
      <c r="AF23" s="30">
        <f>IFERROR(tbl_zawodnicy_sumy[[#This Row],[asst]]*(40/tbl_zawodnicy_sumy[[#This Row],[min]]),0)</f>
        <v>0.5</v>
      </c>
      <c r="AG23" s="5">
        <f t="shared" si="8"/>
        <v>0.65079365079365081</v>
      </c>
      <c r="AH23" s="5">
        <f>IFERROR((tbl_zawodnicy_sumy[[#This Row],[stl]]+tbl_zawodnicy_sumy[[#This Row],[blk]])*(40/tbl_zawodnicy_sumy[[#This Row],[min]]),0)</f>
        <v>0.5</v>
      </c>
      <c r="AI23" s="4">
        <f>IFERROR((SUMIF(tbl_główna_GRACZE[I. Nazwisko],tbl_zawodnicy_sumy[[#This Row],[I. Nazwisko]],tbl_główna_GRACZE[DI]))/tbl_zawodnicy_sumy[[#This Row],[Played]],0)</f>
        <v>7.1428571428571425E-2</v>
      </c>
      <c r="AJ23" s="25">
        <f>tbl_zawodnicy_sumy[[#This Row],[stl]]+tbl_zawodnicy_sumy[[#This Row],[blk]]+(tbl_zawodnicy_sumy[[#This Row],[dreb]]*0.5)</f>
        <v>3</v>
      </c>
      <c r="AK23" s="29">
        <f>IFERROR((tbl_zawodnicy_sumy[[#This Row],[stl]]+tbl_zawodnicy_sumy[[#This Row],[blk]]+0.5*tbl_zawodnicy_sumy[[#This Row],[dreb]])/tbl_zawodnicy_sumy[[#This Row],[min]],0)</f>
        <v>3.7499999999999999E-2</v>
      </c>
      <c r="AL23" s="6">
        <f t="shared" si="10"/>
        <v>4.300000000000006</v>
      </c>
      <c r="AM23" s="6">
        <f>IFERROR(tbl_zawodnicy_sumy[[#This Row],[GmSc]]*(40/tbl_zawodnicy_sumy[[#This Row],[min]]),0)</f>
        <v>2.150000000000003</v>
      </c>
      <c r="AN23" s="6">
        <f>IFERROR(tbl_zawodnicy_sumy[[#This Row],[EVAL]]*(40/tbl_zawodnicy_sumy[[#This Row],[min]]),0)</f>
        <v>-2</v>
      </c>
      <c r="AO23" s="11">
        <f>tbl_zawodnicy_sumy[[#This Row],[fgm]]-tbl_zawodnicy_sumy[[#This Row],[3pm]]</f>
        <v>5</v>
      </c>
      <c r="AP23" s="11">
        <f>tbl_zawodnicy_sumy[[#This Row],[fga]]-tbl_zawodnicy_sumy[[#This Row],[3pa]]</f>
        <v>13</v>
      </c>
      <c r="AQ23">
        <f>SUMIF(tbl_zawodnicy_średnie[I. Nazwisko],tbl_zawodnicy_sumy[[#This Row],[I. Nazwisko]],tbl_zawodnicy_średnie[ID])</f>
        <v>13</v>
      </c>
    </row>
    <row r="24" spans="1:43" ht="14.5" customHeight="1" x14ac:dyDescent="0.35">
      <c r="A24" s="58" t="s">
        <v>25</v>
      </c>
      <c r="B24" s="58" t="s">
        <v>172</v>
      </c>
      <c r="C24" s="9">
        <f>SUMIF(tbl_główna_GRACZE[I. Nazwisko],tbl_zawodnicy_sumy[[#This Row],[I. Nazwisko]],tbl_główna_GRACZE[Played?])</f>
        <v>2</v>
      </c>
      <c r="D24" s="10">
        <f>SUMIF(tbl_główna_GRACZE[I. Nazwisko],tbl_zawodnicy_sumy[[#This Row],[I. Nazwisko]],tbl_główna_GRACZE[fgm])</f>
        <v>6</v>
      </c>
      <c r="E24" s="10">
        <f>SUMIF(tbl_główna_GRACZE[I. Nazwisko],tbl_zawodnicy_sumy[[#This Row],[I. Nazwisko]],tbl_główna_GRACZE[fga])</f>
        <v>17</v>
      </c>
      <c r="F24" s="10">
        <f>SUMIF(tbl_główna_GRACZE[I. Nazwisko],tbl_zawodnicy_sumy[[#This Row],[I. Nazwisko]],tbl_główna_GRACZE[3pm])</f>
        <v>1</v>
      </c>
      <c r="G24" s="10">
        <f>SUMIF(tbl_główna_GRACZE[I. Nazwisko],tbl_zawodnicy_sumy[[#This Row],[I. Nazwisko]],tbl_główna_GRACZE[3pa])</f>
        <v>5</v>
      </c>
      <c r="H24" s="10">
        <f>SUMIF(tbl_główna_GRACZE[I. Nazwisko],tbl_zawodnicy_sumy[[#This Row],[I. Nazwisko]],tbl_główna_GRACZE[ftm])</f>
        <v>1</v>
      </c>
      <c r="I24" s="10">
        <f>SUMIF(tbl_główna_GRACZE[I. Nazwisko],tbl_zawodnicy_sumy[[#This Row],[I. Nazwisko]],tbl_główna_GRACZE[fta])</f>
        <v>4</v>
      </c>
      <c r="J24" s="10">
        <f>SUMIF(tbl_główna_GRACZE[I. Nazwisko],tbl_zawodnicy_sumy[[#This Row],[I. Nazwisko]],tbl_główna_GRACZE[oreb])</f>
        <v>12</v>
      </c>
      <c r="K24" s="10">
        <f>SUMIF(tbl_główna_GRACZE[I. Nazwisko],tbl_zawodnicy_sumy[[#This Row],[I. Nazwisko]],tbl_główna_GRACZE[dreb])</f>
        <v>23</v>
      </c>
      <c r="L24" s="10">
        <f>SUMIF(tbl_główna_GRACZE[I. Nazwisko],tbl_zawodnicy_sumy[[#This Row],[I. Nazwisko]],tbl_główna_GRACZE[foul])</f>
        <v>3</v>
      </c>
      <c r="M24" s="10">
        <f>SUMIF(tbl_główna_GRACZE[I. Nazwisko],tbl_zawodnicy_sumy[[#This Row],[I. Nazwisko]],tbl_główna_GRACZE[stl])</f>
        <v>2</v>
      </c>
      <c r="N24" s="10">
        <f>SUMIF(tbl_główna_GRACZE[I. Nazwisko],tbl_zawodnicy_sumy[[#This Row],[I. Nazwisko]],tbl_główna_GRACZE[to])</f>
        <v>0</v>
      </c>
      <c r="O24" s="10">
        <f>SUMIF(tbl_główna_GRACZE[I. Nazwisko],tbl_zawodnicy_sumy[[#This Row],[I. Nazwisko]],tbl_główna_GRACZE[blk])</f>
        <v>0</v>
      </c>
      <c r="P24" s="10">
        <f>SUMIF(tbl_główna_GRACZE[I. Nazwisko],tbl_zawodnicy_sumy[[#This Row],[I. Nazwisko]],tbl_główna_GRACZE[asst])</f>
        <v>9</v>
      </c>
      <c r="Q24" s="10">
        <f>SUMIF(tbl_główna_GRACZE[I. Nazwisko],tbl_zawodnicy_sumy[[#This Row],[I. Nazwisko]],tbl_główna_GRACZE[min])</f>
        <v>80</v>
      </c>
      <c r="R24" s="10">
        <f>SUMIF(tbl_główna_GRACZE[I. Nazwisko],tbl_zawodnicy_sumy[[#This Row],[I. Nazwisko]],tbl_główna_GRACZE[pts])</f>
        <v>16</v>
      </c>
      <c r="S24" s="11">
        <f t="shared" si="0"/>
        <v>35</v>
      </c>
      <c r="T24" s="4">
        <f t="shared" si="1"/>
        <v>0.35294117647058826</v>
      </c>
      <c r="U24" s="4">
        <f t="shared" si="2"/>
        <v>0.2</v>
      </c>
      <c r="V24" s="4">
        <f t="shared" si="9"/>
        <v>0.25</v>
      </c>
      <c r="W24" s="4">
        <f>IFERROR(tbl_zawodnicy_sumy[[#This Row],[2pm]]/tbl_zawodnicy_sumy[[#This Row],[2pa]],0)</f>
        <v>0.41666666666666669</v>
      </c>
      <c r="X24" s="4">
        <f t="shared" si="3"/>
        <v>0.42643923240938164</v>
      </c>
      <c r="Y24" s="4">
        <f t="shared" si="4"/>
        <v>0.38235294117647056</v>
      </c>
      <c r="Z24" s="11">
        <f t="shared" si="5"/>
        <v>48</v>
      </c>
      <c r="AA24" s="4">
        <f t="shared" si="6"/>
        <v>0.23529411764705882</v>
      </c>
      <c r="AB24" s="4">
        <f t="shared" si="7"/>
        <v>0.29411764705882354</v>
      </c>
      <c r="AC24" s="26">
        <f>IFERROR((SUMIF(tbl_główna_GRACZE[I. Nazwisko],tbl_zawodnicy_sumy[[#This Row],[I. Nazwisko]],tbl_główna_GRACZE[USG%]))/tbl_zawodnicy_sumy[[#This Row],[Played]],0)</f>
        <v>0.1269422961115832</v>
      </c>
      <c r="AD24" s="25">
        <f>IFERROR(tbl_zawodnicy_sumy[[#This Row],[pts]]*(40/tbl_zawodnicy_sumy[[#This Row],[min]]),0)</f>
        <v>8</v>
      </c>
      <c r="AE24" s="30">
        <f>IFERROR(tbl_zawodnicy_sumy[[#This Row],[reb total]]*(40/tbl_zawodnicy_sumy[[#This Row],[min]]),0)</f>
        <v>17.5</v>
      </c>
      <c r="AF24" s="30">
        <f>IFERROR(tbl_zawodnicy_sumy[[#This Row],[asst]]*(40/tbl_zawodnicy_sumy[[#This Row],[min]]),0)</f>
        <v>4.5</v>
      </c>
      <c r="AG24" s="5">
        <f t="shared" si="8"/>
        <v>0.94117647058823528</v>
      </c>
      <c r="AH24" s="5">
        <f>IFERROR((tbl_zawodnicy_sumy[[#This Row],[stl]]+tbl_zawodnicy_sumy[[#This Row],[blk]])*(40/tbl_zawodnicy_sumy[[#This Row],[min]]),0)</f>
        <v>1</v>
      </c>
      <c r="AI24" s="4">
        <f>IFERROR((SUMIF(tbl_główna_GRACZE[I. Nazwisko],tbl_zawodnicy_sumy[[#This Row],[I. Nazwisko]],tbl_główna_GRACZE[DI]))/tbl_zawodnicy_sumy[[#This Row],[Played]],0)</f>
        <v>5.8823529411764705E-2</v>
      </c>
      <c r="AJ24" s="25">
        <f>tbl_zawodnicy_sumy[[#This Row],[stl]]+tbl_zawodnicy_sumy[[#This Row],[blk]]+(tbl_zawodnicy_sumy[[#This Row],[dreb]]*0.5)</f>
        <v>13.5</v>
      </c>
      <c r="AK24" s="29">
        <f>IFERROR((tbl_zawodnicy_sumy[[#This Row],[stl]]+tbl_zawodnicy_sumy[[#This Row],[blk]]+0.5*tbl_zawodnicy_sumy[[#This Row],[dreb]])/tbl_zawodnicy_sumy[[#This Row],[min]],0)</f>
        <v>0.16875000000000001</v>
      </c>
      <c r="AL24" s="6">
        <f t="shared" si="10"/>
        <v>28.9</v>
      </c>
      <c r="AM24" s="6">
        <f>IFERROR(tbl_zawodnicy_sumy[[#This Row],[GmSc]]*(40/tbl_zawodnicy_sumy[[#This Row],[min]]),0)</f>
        <v>14.45</v>
      </c>
      <c r="AN24" s="6">
        <f>IFERROR(tbl_zawodnicy_sumy[[#This Row],[EVAL]]*(40/tbl_zawodnicy_sumy[[#This Row],[min]]),0)</f>
        <v>24</v>
      </c>
      <c r="AO24" s="11">
        <f>tbl_zawodnicy_sumy[[#This Row],[fgm]]-tbl_zawodnicy_sumy[[#This Row],[3pm]]</f>
        <v>5</v>
      </c>
      <c r="AP24" s="11">
        <f>tbl_zawodnicy_sumy[[#This Row],[fga]]-tbl_zawodnicy_sumy[[#This Row],[3pa]]</f>
        <v>12</v>
      </c>
      <c r="AQ24">
        <f>SUMIF(tbl_zawodnicy_średnie[I. Nazwisko],tbl_zawodnicy_sumy[[#This Row],[I. Nazwisko]],tbl_zawodnicy_średnie[ID])</f>
        <v>14</v>
      </c>
    </row>
    <row r="25" spans="1:43" ht="14.5" customHeight="1" x14ac:dyDescent="0.35">
      <c r="A25" s="58" t="s">
        <v>46</v>
      </c>
      <c r="B25" s="58" t="s">
        <v>173</v>
      </c>
      <c r="C25" s="10">
        <f>SUMIF(tbl_główna_GRACZE[I. Nazwisko],tbl_zawodnicy_sumy[[#This Row],[I. Nazwisko]],tbl_główna_GRACZE[Played?])</f>
        <v>4</v>
      </c>
      <c r="D25" s="10">
        <f>SUMIF(tbl_główna_GRACZE[I. Nazwisko],tbl_zawodnicy_sumy[[#This Row],[I. Nazwisko]],tbl_główna_GRACZE[fgm])</f>
        <v>19</v>
      </c>
      <c r="E25" s="10">
        <f>SUMIF(tbl_główna_GRACZE[I. Nazwisko],tbl_zawodnicy_sumy[[#This Row],[I. Nazwisko]],tbl_główna_GRACZE[fga])</f>
        <v>71</v>
      </c>
      <c r="F25" s="10">
        <f>SUMIF(tbl_główna_GRACZE[I. Nazwisko],tbl_zawodnicy_sumy[[#This Row],[I. Nazwisko]],tbl_główna_GRACZE[3pm])</f>
        <v>4</v>
      </c>
      <c r="G25" s="10">
        <f>SUMIF(tbl_główna_GRACZE[I. Nazwisko],tbl_zawodnicy_sumy[[#This Row],[I. Nazwisko]],tbl_główna_GRACZE[3pa])</f>
        <v>29</v>
      </c>
      <c r="H25" s="10">
        <f>SUMIF(tbl_główna_GRACZE[I. Nazwisko],tbl_zawodnicy_sumy[[#This Row],[I. Nazwisko]],tbl_główna_GRACZE[ftm])</f>
        <v>6</v>
      </c>
      <c r="I25" s="10">
        <f>SUMIF(tbl_główna_GRACZE[I. Nazwisko],tbl_zawodnicy_sumy[[#This Row],[I. Nazwisko]],tbl_główna_GRACZE[fta])</f>
        <v>9</v>
      </c>
      <c r="J25" s="10">
        <f>SUMIF(tbl_główna_GRACZE[I. Nazwisko],tbl_zawodnicy_sumy[[#This Row],[I. Nazwisko]],tbl_główna_GRACZE[oreb])</f>
        <v>2</v>
      </c>
      <c r="K25" s="10">
        <f>SUMIF(tbl_główna_GRACZE[I. Nazwisko],tbl_zawodnicy_sumy[[#This Row],[I. Nazwisko]],tbl_główna_GRACZE[dreb])</f>
        <v>5</v>
      </c>
      <c r="L25" s="10">
        <f>SUMIF(tbl_główna_GRACZE[I. Nazwisko],tbl_zawodnicy_sumy[[#This Row],[I. Nazwisko]],tbl_główna_GRACZE[foul])</f>
        <v>2</v>
      </c>
      <c r="M25" s="10">
        <f>SUMIF(tbl_główna_GRACZE[I. Nazwisko],tbl_zawodnicy_sumy[[#This Row],[I. Nazwisko]],tbl_główna_GRACZE[stl])</f>
        <v>4</v>
      </c>
      <c r="N25" s="10">
        <f>SUMIF(tbl_główna_GRACZE[I. Nazwisko],tbl_zawodnicy_sumy[[#This Row],[I. Nazwisko]],tbl_główna_GRACZE[to])</f>
        <v>0</v>
      </c>
      <c r="O25" s="10">
        <f>SUMIF(tbl_główna_GRACZE[I. Nazwisko],tbl_zawodnicy_sumy[[#This Row],[I. Nazwisko]],tbl_główna_GRACZE[blk])</f>
        <v>1</v>
      </c>
      <c r="P25" s="10">
        <f>SUMIF(tbl_główna_GRACZE[I. Nazwisko],tbl_zawodnicy_sumy[[#This Row],[I. Nazwisko]],tbl_główna_GRACZE[asst])</f>
        <v>2</v>
      </c>
      <c r="Q25" s="10">
        <f>SUMIF(tbl_główna_GRACZE[I. Nazwisko],tbl_zawodnicy_sumy[[#This Row],[I. Nazwisko]],tbl_główna_GRACZE[min])</f>
        <v>113</v>
      </c>
      <c r="R25" s="10">
        <f>SUMIF(tbl_główna_GRACZE[I. Nazwisko],tbl_zawodnicy_sumy[[#This Row],[I. Nazwisko]],tbl_główna_GRACZE[pts])</f>
        <v>48</v>
      </c>
      <c r="S25" s="11">
        <f t="shared" si="0"/>
        <v>7</v>
      </c>
      <c r="T25" s="4">
        <f t="shared" si="1"/>
        <v>0.26760563380281688</v>
      </c>
      <c r="U25" s="4">
        <f t="shared" si="2"/>
        <v>0.13793103448275862</v>
      </c>
      <c r="V25" s="4">
        <f t="shared" si="9"/>
        <v>0.66666666666666663</v>
      </c>
      <c r="W25" s="4">
        <f>IFERROR(tbl_zawodnicy_sumy[[#This Row],[2pm]]/tbl_zawodnicy_sumy[[#This Row],[2pa]],0)</f>
        <v>0.35714285714285715</v>
      </c>
      <c r="X25" s="4">
        <f t="shared" si="3"/>
        <v>0.32017075773746001</v>
      </c>
      <c r="Y25" s="4">
        <f t="shared" si="4"/>
        <v>0.29577464788732394</v>
      </c>
      <c r="Z25" s="11">
        <f t="shared" si="5"/>
        <v>7</v>
      </c>
      <c r="AA25" s="4">
        <f t="shared" si="6"/>
        <v>0.12676056338028169</v>
      </c>
      <c r="AB25" s="4">
        <f t="shared" si="7"/>
        <v>0.40845070422535212</v>
      </c>
      <c r="AC25" s="26">
        <f>IFERROR((SUMIF(tbl_główna_GRACZE[I. Nazwisko],tbl_zawodnicy_sumy[[#This Row],[I. Nazwisko]],tbl_główna_GRACZE[USG%]))/tbl_zawodnicy_sumy[[#This Row],[Played]],0)</f>
        <v>0.28839296740909642</v>
      </c>
      <c r="AD25" s="25">
        <f>IFERROR(tbl_zawodnicy_sumy[[#This Row],[pts]]*(40/tbl_zawodnicy_sumy[[#This Row],[min]]),0)</f>
        <v>16.991150442477874</v>
      </c>
      <c r="AE25" s="30">
        <f>IFERROR(tbl_zawodnicy_sumy[[#This Row],[reb total]]*(40/tbl_zawodnicy_sumy[[#This Row],[min]]),0)</f>
        <v>2.4778761061946901</v>
      </c>
      <c r="AF25" s="30">
        <f>IFERROR(tbl_zawodnicy_sumy[[#This Row],[asst]]*(40/tbl_zawodnicy_sumy[[#This Row],[min]]),0)</f>
        <v>0.70796460176991149</v>
      </c>
      <c r="AG25" s="5">
        <f t="shared" si="8"/>
        <v>0.676056338028169</v>
      </c>
      <c r="AH25" s="5">
        <f>IFERROR((tbl_zawodnicy_sumy[[#This Row],[stl]]+tbl_zawodnicy_sumy[[#This Row],[blk]])*(40/tbl_zawodnicy_sumy[[#This Row],[min]]),0)</f>
        <v>1.7699115044247788</v>
      </c>
      <c r="AI25" s="4">
        <f>IFERROR((SUMIF(tbl_główna_GRACZE[I. Nazwisko],tbl_zawodnicy_sumy[[#This Row],[I. Nazwisko]],tbl_główna_GRACZE[DI]))/tbl_zawodnicy_sumy[[#This Row],[Played]],0)</f>
        <v>9.7483291562238922E-2</v>
      </c>
      <c r="AJ25" s="25">
        <f>tbl_zawodnicy_sumy[[#This Row],[stl]]+tbl_zawodnicy_sumy[[#This Row],[blk]]+(tbl_zawodnicy_sumy[[#This Row],[dreb]]*0.5)</f>
        <v>7.5</v>
      </c>
      <c r="AK25" s="29">
        <f>IFERROR((tbl_zawodnicy_sumy[[#This Row],[stl]]+tbl_zawodnicy_sumy[[#This Row],[blk]]+0.5*tbl_zawodnicy_sumy[[#This Row],[dreb]])/tbl_zawodnicy_sumy[[#This Row],[min]],0)</f>
        <v>6.637168141592921E-2</v>
      </c>
      <c r="AL25" s="6">
        <f t="shared" si="10"/>
        <v>13.700000000000005</v>
      </c>
      <c r="AM25" s="6">
        <f>IFERROR(tbl_zawodnicy_sumy[[#This Row],[GmSc]]*(40/tbl_zawodnicy_sumy[[#This Row],[min]]),0)</f>
        <v>4.8495575221238951</v>
      </c>
      <c r="AN25" s="6">
        <f>IFERROR(tbl_zawodnicy_sumy[[#This Row],[EVAL]]*(40/tbl_zawodnicy_sumy[[#This Row],[min]]),0)</f>
        <v>2.4778761061946901</v>
      </c>
      <c r="AO25" s="11">
        <f>tbl_zawodnicy_sumy[[#This Row],[fgm]]-tbl_zawodnicy_sumy[[#This Row],[3pm]]</f>
        <v>15</v>
      </c>
      <c r="AP25" s="11">
        <f>tbl_zawodnicy_sumy[[#This Row],[fga]]-tbl_zawodnicy_sumy[[#This Row],[3pa]]</f>
        <v>42</v>
      </c>
      <c r="AQ25">
        <f>SUMIF(tbl_zawodnicy_średnie[I. Nazwisko],tbl_zawodnicy_sumy[[#This Row],[I. Nazwisko]],tbl_zawodnicy_średnie[ID])</f>
        <v>15</v>
      </c>
    </row>
    <row r="26" spans="1:43" ht="14.5" customHeight="1" x14ac:dyDescent="0.35">
      <c r="A26" s="58" t="s">
        <v>46</v>
      </c>
      <c r="B26" s="58" t="s">
        <v>174</v>
      </c>
      <c r="C26" s="10">
        <f>SUMIF(tbl_główna_GRACZE[I. Nazwisko],tbl_zawodnicy_sumy[[#This Row],[I. Nazwisko]],tbl_główna_GRACZE[Played?])</f>
        <v>4</v>
      </c>
      <c r="D26" s="10">
        <f>SUMIF(tbl_główna_GRACZE[I. Nazwisko],tbl_zawodnicy_sumy[[#This Row],[I. Nazwisko]],tbl_główna_GRACZE[fgm])</f>
        <v>10</v>
      </c>
      <c r="E26" s="10">
        <f>SUMIF(tbl_główna_GRACZE[I. Nazwisko],tbl_zawodnicy_sumy[[#This Row],[I. Nazwisko]],tbl_główna_GRACZE[fga])</f>
        <v>26</v>
      </c>
      <c r="F26" s="10">
        <f>SUMIF(tbl_główna_GRACZE[I. Nazwisko],tbl_zawodnicy_sumy[[#This Row],[I. Nazwisko]],tbl_główna_GRACZE[3pm])</f>
        <v>0</v>
      </c>
      <c r="G26" s="10">
        <f>SUMIF(tbl_główna_GRACZE[I. Nazwisko],tbl_zawodnicy_sumy[[#This Row],[I. Nazwisko]],tbl_główna_GRACZE[3pa])</f>
        <v>0</v>
      </c>
      <c r="H26" s="10">
        <f>SUMIF(tbl_główna_GRACZE[I. Nazwisko],tbl_zawodnicy_sumy[[#This Row],[I. Nazwisko]],tbl_główna_GRACZE[ftm])</f>
        <v>3</v>
      </c>
      <c r="I26" s="10">
        <f>SUMIF(tbl_główna_GRACZE[I. Nazwisko],tbl_zawodnicy_sumy[[#This Row],[I. Nazwisko]],tbl_główna_GRACZE[fta])</f>
        <v>4</v>
      </c>
      <c r="J26" s="10">
        <f>SUMIF(tbl_główna_GRACZE[I. Nazwisko],tbl_zawodnicy_sumy[[#This Row],[I. Nazwisko]],tbl_główna_GRACZE[oreb])</f>
        <v>6</v>
      </c>
      <c r="K26" s="10">
        <f>SUMIF(tbl_główna_GRACZE[I. Nazwisko],tbl_zawodnicy_sumy[[#This Row],[I. Nazwisko]],tbl_główna_GRACZE[dreb])</f>
        <v>9</v>
      </c>
      <c r="L26" s="10">
        <f>SUMIF(tbl_główna_GRACZE[I. Nazwisko],tbl_zawodnicy_sumy[[#This Row],[I. Nazwisko]],tbl_główna_GRACZE[foul])</f>
        <v>2</v>
      </c>
      <c r="M26" s="10">
        <f>SUMIF(tbl_główna_GRACZE[I. Nazwisko],tbl_zawodnicy_sumy[[#This Row],[I. Nazwisko]],tbl_główna_GRACZE[stl])</f>
        <v>5</v>
      </c>
      <c r="N26" s="10">
        <f>SUMIF(tbl_główna_GRACZE[I. Nazwisko],tbl_zawodnicy_sumy[[#This Row],[I. Nazwisko]],tbl_główna_GRACZE[to])</f>
        <v>0</v>
      </c>
      <c r="O26" s="10">
        <f>SUMIF(tbl_główna_GRACZE[I. Nazwisko],tbl_zawodnicy_sumy[[#This Row],[I. Nazwisko]],tbl_główna_GRACZE[blk])</f>
        <v>0</v>
      </c>
      <c r="P26" s="10">
        <f>SUMIF(tbl_główna_GRACZE[I. Nazwisko],tbl_zawodnicy_sumy[[#This Row],[I. Nazwisko]],tbl_główna_GRACZE[asst])</f>
        <v>7</v>
      </c>
      <c r="Q26" s="10">
        <f>SUMIF(tbl_główna_GRACZE[I. Nazwisko],tbl_zawodnicy_sumy[[#This Row],[I. Nazwisko]],tbl_główna_GRACZE[min])</f>
        <v>85</v>
      </c>
      <c r="R26" s="10">
        <f>SUMIF(tbl_główna_GRACZE[I. Nazwisko],tbl_zawodnicy_sumy[[#This Row],[I. Nazwisko]],tbl_główna_GRACZE[pts])</f>
        <v>23</v>
      </c>
      <c r="S26" s="11">
        <f t="shared" si="0"/>
        <v>15</v>
      </c>
      <c r="T26" s="4">
        <f t="shared" si="1"/>
        <v>0.38461538461538464</v>
      </c>
      <c r="U26" s="4">
        <f t="shared" si="2"/>
        <v>0</v>
      </c>
      <c r="V26" s="4">
        <f t="shared" si="9"/>
        <v>0.75</v>
      </c>
      <c r="W26" s="4">
        <f>IFERROR(tbl_zawodnicy_sumy[[#This Row],[2pm]]/tbl_zawodnicy_sumy[[#This Row],[2pa]],0)</f>
        <v>0.38461538461538464</v>
      </c>
      <c r="X26" s="4">
        <f t="shared" si="3"/>
        <v>0.41426512968299711</v>
      </c>
      <c r="Y26" s="4">
        <f t="shared" si="4"/>
        <v>0.38461538461538464</v>
      </c>
      <c r="Z26" s="11">
        <f t="shared" si="5"/>
        <v>33</v>
      </c>
      <c r="AA26" s="4">
        <f t="shared" si="6"/>
        <v>0.15384615384615385</v>
      </c>
      <c r="AB26" s="4">
        <f t="shared" si="7"/>
        <v>0</v>
      </c>
      <c r="AC26" s="26">
        <f>IFERROR((SUMIF(tbl_główna_GRACZE[I. Nazwisko],tbl_zawodnicy_sumy[[#This Row],[I. Nazwisko]],tbl_główna_GRACZE[USG%]))/tbl_zawodnicy_sumy[[#This Row],[Played]],0)</f>
        <v>0.10738039431356057</v>
      </c>
      <c r="AD26" s="25">
        <f>IFERROR(tbl_zawodnicy_sumy[[#This Row],[pts]]*(40/tbl_zawodnicy_sumy[[#This Row],[min]]),0)</f>
        <v>10.823529411764707</v>
      </c>
      <c r="AE26" s="30">
        <f>IFERROR(tbl_zawodnicy_sumy[[#This Row],[reb total]]*(40/tbl_zawodnicy_sumy[[#This Row],[min]]),0)</f>
        <v>7.0588235294117645</v>
      </c>
      <c r="AF26" s="30">
        <f>IFERROR(tbl_zawodnicy_sumy[[#This Row],[asst]]*(40/tbl_zawodnicy_sumy[[#This Row],[min]]),0)</f>
        <v>3.2941176470588234</v>
      </c>
      <c r="AG26" s="5">
        <f t="shared" si="8"/>
        <v>0.88461538461538458</v>
      </c>
      <c r="AH26" s="5">
        <f>IFERROR((tbl_zawodnicy_sumy[[#This Row],[stl]]+tbl_zawodnicy_sumy[[#This Row],[blk]])*(40/tbl_zawodnicy_sumy[[#This Row],[min]]),0)</f>
        <v>2.3529411764705883</v>
      </c>
      <c r="AI26" s="4">
        <f>IFERROR((SUMIF(tbl_główna_GRACZE[I. Nazwisko],tbl_zawodnicy_sumy[[#This Row],[I. Nazwisko]],tbl_główna_GRACZE[DI]))/tbl_zawodnicy_sumy[[#This Row],[Played]],0)</f>
        <v>8.8084795321637419E-2</v>
      </c>
      <c r="AJ26" s="25">
        <f>tbl_zawodnicy_sumy[[#This Row],[stl]]+tbl_zawodnicy_sumy[[#This Row],[blk]]+(tbl_zawodnicy_sumy[[#This Row],[dreb]]*0.5)</f>
        <v>9.5</v>
      </c>
      <c r="AK26" s="29">
        <f>IFERROR((tbl_zawodnicy_sumy[[#This Row],[stl]]+tbl_zawodnicy_sumy[[#This Row],[blk]]+0.5*tbl_zawodnicy_sumy[[#This Row],[dreb]])/tbl_zawodnicy_sumy[[#This Row],[min]],0)</f>
        <v>0.11176470588235295</v>
      </c>
      <c r="AL26" s="6">
        <f t="shared" si="10"/>
        <v>25.199999999999996</v>
      </c>
      <c r="AM26" s="6">
        <f>IFERROR(tbl_zawodnicy_sumy[[#This Row],[GmSc]]*(40/tbl_zawodnicy_sumy[[#This Row],[min]]),0)</f>
        <v>11.858823529411762</v>
      </c>
      <c r="AN26" s="6">
        <f>IFERROR(tbl_zawodnicy_sumy[[#This Row],[EVAL]]*(40/tbl_zawodnicy_sumy[[#This Row],[min]]),0)</f>
        <v>15.529411764705882</v>
      </c>
      <c r="AO26" s="11">
        <f>tbl_zawodnicy_sumy[[#This Row],[fgm]]-tbl_zawodnicy_sumy[[#This Row],[3pm]]</f>
        <v>10</v>
      </c>
      <c r="AP26" s="11">
        <f>tbl_zawodnicy_sumy[[#This Row],[fga]]-tbl_zawodnicy_sumy[[#This Row],[3pa]]</f>
        <v>26</v>
      </c>
      <c r="AQ26">
        <f>SUMIF(tbl_zawodnicy_średnie[I. Nazwisko],tbl_zawodnicy_sumy[[#This Row],[I. Nazwisko]],tbl_zawodnicy_średnie[ID])</f>
        <v>16</v>
      </c>
    </row>
    <row r="27" spans="1:43" ht="14.5" customHeight="1" x14ac:dyDescent="0.35">
      <c r="A27" s="58" t="s">
        <v>46</v>
      </c>
      <c r="B27" s="58" t="s">
        <v>175</v>
      </c>
      <c r="C27" s="10">
        <f>SUMIF(tbl_główna_GRACZE[I. Nazwisko],tbl_zawodnicy_sumy[[#This Row],[I. Nazwisko]],tbl_główna_GRACZE[Played?])</f>
        <v>4</v>
      </c>
      <c r="D27" s="10">
        <f>SUMIF(tbl_główna_GRACZE[I. Nazwisko],tbl_zawodnicy_sumy[[#This Row],[I. Nazwisko]],tbl_główna_GRACZE[fgm])</f>
        <v>9</v>
      </c>
      <c r="E27" s="10">
        <f>SUMIF(tbl_główna_GRACZE[I. Nazwisko],tbl_zawodnicy_sumy[[#This Row],[I. Nazwisko]],tbl_główna_GRACZE[fga])</f>
        <v>18</v>
      </c>
      <c r="F27" s="10">
        <f>SUMIF(tbl_główna_GRACZE[I. Nazwisko],tbl_zawodnicy_sumy[[#This Row],[I. Nazwisko]],tbl_główna_GRACZE[3pm])</f>
        <v>3</v>
      </c>
      <c r="G27" s="10">
        <f>SUMIF(tbl_główna_GRACZE[I. Nazwisko],tbl_zawodnicy_sumy[[#This Row],[I. Nazwisko]],tbl_główna_GRACZE[3pa])</f>
        <v>7</v>
      </c>
      <c r="H27" s="10">
        <f>SUMIF(tbl_główna_GRACZE[I. Nazwisko],tbl_zawodnicy_sumy[[#This Row],[I. Nazwisko]],tbl_główna_GRACZE[ftm])</f>
        <v>3</v>
      </c>
      <c r="I27" s="10">
        <f>SUMIF(tbl_główna_GRACZE[I. Nazwisko],tbl_zawodnicy_sumy[[#This Row],[I. Nazwisko]],tbl_główna_GRACZE[fta])</f>
        <v>4</v>
      </c>
      <c r="J27" s="10">
        <f>SUMIF(tbl_główna_GRACZE[I. Nazwisko],tbl_zawodnicy_sumy[[#This Row],[I. Nazwisko]],tbl_główna_GRACZE[oreb])</f>
        <v>2</v>
      </c>
      <c r="K27" s="10">
        <f>SUMIF(tbl_główna_GRACZE[I. Nazwisko],tbl_zawodnicy_sumy[[#This Row],[I. Nazwisko]],tbl_główna_GRACZE[dreb])</f>
        <v>14</v>
      </c>
      <c r="L27" s="10">
        <f>SUMIF(tbl_główna_GRACZE[I. Nazwisko],tbl_zawodnicy_sumy[[#This Row],[I. Nazwisko]],tbl_główna_GRACZE[foul])</f>
        <v>2</v>
      </c>
      <c r="M27" s="10">
        <f>SUMIF(tbl_główna_GRACZE[I. Nazwisko],tbl_zawodnicy_sumy[[#This Row],[I. Nazwisko]],tbl_główna_GRACZE[stl])</f>
        <v>1</v>
      </c>
      <c r="N27" s="10">
        <f>SUMIF(tbl_główna_GRACZE[I. Nazwisko],tbl_zawodnicy_sumy[[#This Row],[I. Nazwisko]],tbl_główna_GRACZE[to])</f>
        <v>0</v>
      </c>
      <c r="O27" s="10">
        <f>SUMIF(tbl_główna_GRACZE[I. Nazwisko],tbl_zawodnicy_sumy[[#This Row],[I. Nazwisko]],tbl_główna_GRACZE[blk])</f>
        <v>4</v>
      </c>
      <c r="P27" s="10">
        <f>SUMIF(tbl_główna_GRACZE[I. Nazwisko],tbl_zawodnicy_sumy[[#This Row],[I. Nazwisko]],tbl_główna_GRACZE[asst])</f>
        <v>8</v>
      </c>
      <c r="Q27" s="10">
        <f>SUMIF(tbl_główna_GRACZE[I. Nazwisko],tbl_zawodnicy_sumy[[#This Row],[I. Nazwisko]],tbl_główna_GRACZE[min])</f>
        <v>98</v>
      </c>
      <c r="R27" s="10">
        <f>SUMIF(tbl_główna_GRACZE[I. Nazwisko],tbl_zawodnicy_sumy[[#This Row],[I. Nazwisko]],tbl_główna_GRACZE[pts])</f>
        <v>24</v>
      </c>
      <c r="S27" s="11">
        <f t="shared" si="0"/>
        <v>16</v>
      </c>
      <c r="T27" s="4">
        <f t="shared" si="1"/>
        <v>0.5</v>
      </c>
      <c r="U27" s="4">
        <f t="shared" si="2"/>
        <v>0.42857142857142855</v>
      </c>
      <c r="V27" s="4">
        <f t="shared" si="9"/>
        <v>0.75</v>
      </c>
      <c r="W27" s="4">
        <f>IFERROR(tbl_zawodnicy_sumy[[#This Row],[2pm]]/tbl_zawodnicy_sumy[[#This Row],[2pa]],0)</f>
        <v>0.54545454545454541</v>
      </c>
      <c r="X27" s="4">
        <f t="shared" si="3"/>
        <v>0.60728744939271251</v>
      </c>
      <c r="Y27" s="4">
        <f t="shared" si="4"/>
        <v>0.58333333333333337</v>
      </c>
      <c r="Z27" s="11">
        <f t="shared" si="5"/>
        <v>43</v>
      </c>
      <c r="AA27" s="4">
        <f t="shared" si="6"/>
        <v>0.22222222222222221</v>
      </c>
      <c r="AB27" s="4">
        <f t="shared" si="7"/>
        <v>0.3888888888888889</v>
      </c>
      <c r="AC27" s="26">
        <f>IFERROR((SUMIF(tbl_główna_GRACZE[I. Nazwisko],tbl_zawodnicy_sumy[[#This Row],[I. Nazwisko]],tbl_główna_GRACZE[USG%]))/tbl_zawodnicy_sumy[[#This Row],[Played]],0)</f>
        <v>7.6394302077159193E-2</v>
      </c>
      <c r="AD27" s="25">
        <f>IFERROR(tbl_zawodnicy_sumy[[#This Row],[pts]]*(40/tbl_zawodnicy_sumy[[#This Row],[min]]),0)</f>
        <v>9.795918367346939</v>
      </c>
      <c r="AE27" s="30">
        <f>IFERROR(tbl_zawodnicy_sumy[[#This Row],[reb total]]*(40/tbl_zawodnicy_sumy[[#This Row],[min]]),0)</f>
        <v>6.5306122448979593</v>
      </c>
      <c r="AF27" s="30">
        <f>IFERROR(tbl_zawodnicy_sumy[[#This Row],[asst]]*(40/tbl_zawodnicy_sumy[[#This Row],[min]]),0)</f>
        <v>3.2653061224489797</v>
      </c>
      <c r="AG27" s="5">
        <f t="shared" si="8"/>
        <v>1.3333333333333333</v>
      </c>
      <c r="AH27" s="5">
        <f>IFERROR((tbl_zawodnicy_sumy[[#This Row],[stl]]+tbl_zawodnicy_sumy[[#This Row],[blk]])*(40/tbl_zawodnicy_sumy[[#This Row],[min]]),0)</f>
        <v>2.0408163265306123</v>
      </c>
      <c r="AI27" s="4">
        <f>IFERROR((SUMIF(tbl_główna_GRACZE[I. Nazwisko],tbl_zawodnicy_sumy[[#This Row],[I. Nazwisko]],tbl_główna_GRACZE[DI]))/tbl_zawodnicy_sumy[[#This Row],[Played]],0)</f>
        <v>9.5760233918128657E-2</v>
      </c>
      <c r="AJ27" s="25">
        <f>tbl_zawodnicy_sumy[[#This Row],[stl]]+tbl_zawodnicy_sumy[[#This Row],[blk]]+(tbl_zawodnicy_sumy[[#This Row],[dreb]]*0.5)</f>
        <v>12</v>
      </c>
      <c r="AK27" s="29">
        <f>IFERROR((tbl_zawodnicy_sumy[[#This Row],[stl]]+tbl_zawodnicy_sumy[[#This Row],[blk]]+0.5*tbl_zawodnicy_sumy[[#This Row],[dreb]])/tbl_zawodnicy_sumy[[#This Row],[min]],0)</f>
        <v>0.12244897959183673</v>
      </c>
      <c r="AL27" s="6">
        <f t="shared" si="10"/>
        <v>29.599999999999998</v>
      </c>
      <c r="AM27" s="6">
        <f>IFERROR(tbl_zawodnicy_sumy[[#This Row],[GmSc]]*(40/tbl_zawodnicy_sumy[[#This Row],[min]]),0)</f>
        <v>12.081632653061224</v>
      </c>
      <c r="AN27" s="6">
        <f>IFERROR(tbl_zawodnicy_sumy[[#This Row],[EVAL]]*(40/tbl_zawodnicy_sumy[[#This Row],[min]]),0)</f>
        <v>17.551020408163264</v>
      </c>
      <c r="AO27" s="11">
        <f>tbl_zawodnicy_sumy[[#This Row],[fgm]]-tbl_zawodnicy_sumy[[#This Row],[3pm]]</f>
        <v>6</v>
      </c>
      <c r="AP27" s="11">
        <f>tbl_zawodnicy_sumy[[#This Row],[fga]]-tbl_zawodnicy_sumy[[#This Row],[3pa]]</f>
        <v>11</v>
      </c>
      <c r="AQ27">
        <f>SUMIF(tbl_zawodnicy_średnie[I. Nazwisko],tbl_zawodnicy_sumy[[#This Row],[I. Nazwisko]],tbl_zawodnicy_średnie[ID])</f>
        <v>17</v>
      </c>
    </row>
    <row r="28" spans="1:43" ht="14.5" customHeight="1" x14ac:dyDescent="0.35">
      <c r="A28" s="58" t="s">
        <v>46</v>
      </c>
      <c r="B28" s="58" t="s">
        <v>176</v>
      </c>
      <c r="C28" s="10">
        <f>SUMIF(tbl_główna_GRACZE[I. Nazwisko],tbl_zawodnicy_sumy[[#This Row],[I. Nazwisko]],tbl_główna_GRACZE[Played?])</f>
        <v>3</v>
      </c>
      <c r="D28" s="10">
        <f>SUMIF(tbl_główna_GRACZE[I. Nazwisko],tbl_zawodnicy_sumy[[#This Row],[I. Nazwisko]],tbl_główna_GRACZE[fgm])</f>
        <v>5</v>
      </c>
      <c r="E28" s="10">
        <f>SUMIF(tbl_główna_GRACZE[I. Nazwisko],tbl_zawodnicy_sumy[[#This Row],[I. Nazwisko]],tbl_główna_GRACZE[fga])</f>
        <v>24</v>
      </c>
      <c r="F28" s="10">
        <f>SUMIF(tbl_główna_GRACZE[I. Nazwisko],tbl_zawodnicy_sumy[[#This Row],[I. Nazwisko]],tbl_główna_GRACZE[3pm])</f>
        <v>1</v>
      </c>
      <c r="G28" s="10">
        <f>SUMIF(tbl_główna_GRACZE[I. Nazwisko],tbl_zawodnicy_sumy[[#This Row],[I. Nazwisko]],tbl_główna_GRACZE[3pa])</f>
        <v>9</v>
      </c>
      <c r="H28" s="10">
        <f>SUMIF(tbl_główna_GRACZE[I. Nazwisko],tbl_zawodnicy_sumy[[#This Row],[I. Nazwisko]],tbl_główna_GRACZE[ftm])</f>
        <v>2</v>
      </c>
      <c r="I28" s="10">
        <f>SUMIF(tbl_główna_GRACZE[I. Nazwisko],tbl_zawodnicy_sumy[[#This Row],[I. Nazwisko]],tbl_główna_GRACZE[fta])</f>
        <v>5</v>
      </c>
      <c r="J28" s="10">
        <f>SUMIF(tbl_główna_GRACZE[I. Nazwisko],tbl_zawodnicy_sumy[[#This Row],[I. Nazwisko]],tbl_główna_GRACZE[oreb])</f>
        <v>2</v>
      </c>
      <c r="K28" s="10">
        <f>SUMIF(tbl_główna_GRACZE[I. Nazwisko],tbl_zawodnicy_sumy[[#This Row],[I. Nazwisko]],tbl_główna_GRACZE[dreb])</f>
        <v>8</v>
      </c>
      <c r="L28" s="10">
        <f>SUMIF(tbl_główna_GRACZE[I. Nazwisko],tbl_zawodnicy_sumy[[#This Row],[I. Nazwisko]],tbl_główna_GRACZE[foul])</f>
        <v>2</v>
      </c>
      <c r="M28" s="10">
        <f>SUMIF(tbl_główna_GRACZE[I. Nazwisko],tbl_zawodnicy_sumy[[#This Row],[I. Nazwisko]],tbl_główna_GRACZE[stl])</f>
        <v>3</v>
      </c>
      <c r="N28" s="10">
        <f>SUMIF(tbl_główna_GRACZE[I. Nazwisko],tbl_zawodnicy_sumy[[#This Row],[I. Nazwisko]],tbl_główna_GRACZE[to])</f>
        <v>0</v>
      </c>
      <c r="O28" s="10">
        <f>SUMIF(tbl_główna_GRACZE[I. Nazwisko],tbl_zawodnicy_sumy[[#This Row],[I. Nazwisko]],tbl_główna_GRACZE[blk])</f>
        <v>1</v>
      </c>
      <c r="P28" s="10">
        <f>SUMIF(tbl_główna_GRACZE[I. Nazwisko],tbl_zawodnicy_sumy[[#This Row],[I. Nazwisko]],tbl_główna_GRACZE[asst])</f>
        <v>5</v>
      </c>
      <c r="Q28" s="10">
        <f>SUMIF(tbl_główna_GRACZE[I. Nazwisko],tbl_zawodnicy_sumy[[#This Row],[I. Nazwisko]],tbl_główna_GRACZE[min])</f>
        <v>75</v>
      </c>
      <c r="R28" s="10">
        <f>SUMIF(tbl_główna_GRACZE[I. Nazwisko],tbl_zawodnicy_sumy[[#This Row],[I. Nazwisko]],tbl_główna_GRACZE[pts])</f>
        <v>13</v>
      </c>
      <c r="S28" s="11">
        <f t="shared" si="0"/>
        <v>10</v>
      </c>
      <c r="T28" s="4">
        <f t="shared" si="1"/>
        <v>0.20833333333333334</v>
      </c>
      <c r="U28" s="4">
        <f t="shared" si="2"/>
        <v>0.1111111111111111</v>
      </c>
      <c r="V28" s="4">
        <f t="shared" si="9"/>
        <v>0.4</v>
      </c>
      <c r="W28" s="4">
        <f>IFERROR(tbl_zawodnicy_sumy[[#This Row],[2pm]]/tbl_zawodnicy_sumy[[#This Row],[2pa]],0)</f>
        <v>0.26666666666666666</v>
      </c>
      <c r="X28" s="4">
        <f t="shared" si="3"/>
        <v>0.24809160305343511</v>
      </c>
      <c r="Y28" s="4">
        <f t="shared" si="4"/>
        <v>0.22916666666666666</v>
      </c>
      <c r="Z28" s="11">
        <f t="shared" si="5"/>
        <v>10</v>
      </c>
      <c r="AA28" s="4">
        <f t="shared" si="6"/>
        <v>0.20833333333333334</v>
      </c>
      <c r="AB28" s="4">
        <f t="shared" si="7"/>
        <v>0.375</v>
      </c>
      <c r="AC28" s="26">
        <f>IFERROR((SUMIF(tbl_główna_GRACZE[I. Nazwisko],tbl_zawodnicy_sumy[[#This Row],[I. Nazwisko]],tbl_główna_GRACZE[USG%]))/tbl_zawodnicy_sumy[[#This Row],[Played]],0)</f>
        <v>0.1312426495310946</v>
      </c>
      <c r="AD28" s="25">
        <f>IFERROR(tbl_zawodnicy_sumy[[#This Row],[pts]]*(40/tbl_zawodnicy_sumy[[#This Row],[min]]),0)</f>
        <v>6.9333333333333336</v>
      </c>
      <c r="AE28" s="30">
        <f>IFERROR(tbl_zawodnicy_sumy[[#This Row],[reb total]]*(40/tbl_zawodnicy_sumy[[#This Row],[min]]),0)</f>
        <v>5.333333333333333</v>
      </c>
      <c r="AF28" s="30">
        <f>IFERROR(tbl_zawodnicy_sumy[[#This Row],[asst]]*(40/tbl_zawodnicy_sumy[[#This Row],[min]]),0)</f>
        <v>2.6666666666666665</v>
      </c>
      <c r="AG28" s="5">
        <f t="shared" si="8"/>
        <v>0.54166666666666663</v>
      </c>
      <c r="AH28" s="5">
        <f>IFERROR((tbl_zawodnicy_sumy[[#This Row],[stl]]+tbl_zawodnicy_sumy[[#This Row],[blk]])*(40/tbl_zawodnicy_sumy[[#This Row],[min]]),0)</f>
        <v>2.1333333333333333</v>
      </c>
      <c r="AI28" s="4">
        <f>IFERROR((SUMIF(tbl_główna_GRACZE[I. Nazwisko],tbl_zawodnicy_sumy[[#This Row],[I. Nazwisko]],tbl_główna_GRACZE[DI]))/tbl_zawodnicy_sumy[[#This Row],[Played]],0)</f>
        <v>0.10317460317460318</v>
      </c>
      <c r="AJ28" s="25">
        <f>tbl_zawodnicy_sumy[[#This Row],[stl]]+tbl_zawodnicy_sumy[[#This Row],[blk]]+(tbl_zawodnicy_sumy[[#This Row],[dreb]]*0.5)</f>
        <v>8</v>
      </c>
      <c r="AK28" s="29">
        <f>IFERROR((tbl_zawodnicy_sumy[[#This Row],[stl]]+tbl_zawodnicy_sumy[[#This Row],[blk]]+0.5*tbl_zawodnicy_sumy[[#This Row],[dreb]])/tbl_zawodnicy_sumy[[#This Row],[min]],0)</f>
        <v>0.10666666666666667</v>
      </c>
      <c r="AL28" s="6">
        <f t="shared" si="10"/>
        <v>8.0000000000000018</v>
      </c>
      <c r="AM28" s="6">
        <f>IFERROR(tbl_zawodnicy_sumy[[#This Row],[GmSc]]*(40/tbl_zawodnicy_sumy[[#This Row],[min]]),0)</f>
        <v>4.2666666666666675</v>
      </c>
      <c r="AN28" s="6">
        <f>IFERROR(tbl_zawodnicy_sumy[[#This Row],[EVAL]]*(40/tbl_zawodnicy_sumy[[#This Row],[min]]),0)</f>
        <v>5.333333333333333</v>
      </c>
      <c r="AO28" s="11">
        <f>tbl_zawodnicy_sumy[[#This Row],[fgm]]-tbl_zawodnicy_sumy[[#This Row],[3pm]]</f>
        <v>4</v>
      </c>
      <c r="AP28" s="11">
        <f>tbl_zawodnicy_sumy[[#This Row],[fga]]-tbl_zawodnicy_sumy[[#This Row],[3pa]]</f>
        <v>15</v>
      </c>
      <c r="AQ28">
        <f>SUMIF(tbl_zawodnicy_średnie[I. Nazwisko],tbl_zawodnicy_sumy[[#This Row],[I. Nazwisko]],tbl_zawodnicy_średnie[ID])</f>
        <v>18</v>
      </c>
    </row>
    <row r="29" spans="1:43" ht="14.5" customHeight="1" x14ac:dyDescent="0.35">
      <c r="A29" s="58" t="s">
        <v>46</v>
      </c>
      <c r="B29" s="58" t="s">
        <v>177</v>
      </c>
      <c r="C29" s="10">
        <f>SUMIF(tbl_główna_GRACZE[I. Nazwisko],tbl_zawodnicy_sumy[[#This Row],[I. Nazwisko]],tbl_główna_GRACZE[Played?])</f>
        <v>3</v>
      </c>
      <c r="D29" s="10">
        <f>SUMIF(tbl_główna_GRACZE[I. Nazwisko],tbl_zawodnicy_sumy[[#This Row],[I. Nazwisko]],tbl_główna_GRACZE[fgm])</f>
        <v>4</v>
      </c>
      <c r="E29" s="10">
        <f>SUMIF(tbl_główna_GRACZE[I. Nazwisko],tbl_zawodnicy_sumy[[#This Row],[I. Nazwisko]],tbl_główna_GRACZE[fga])</f>
        <v>14</v>
      </c>
      <c r="F29" s="10">
        <f>SUMIF(tbl_główna_GRACZE[I. Nazwisko],tbl_zawodnicy_sumy[[#This Row],[I. Nazwisko]],tbl_główna_GRACZE[3pm])</f>
        <v>1</v>
      </c>
      <c r="G29" s="10">
        <f>SUMIF(tbl_główna_GRACZE[I. Nazwisko],tbl_zawodnicy_sumy[[#This Row],[I. Nazwisko]],tbl_główna_GRACZE[3pa])</f>
        <v>3</v>
      </c>
      <c r="H29" s="10">
        <f>SUMIF(tbl_główna_GRACZE[I. Nazwisko],tbl_zawodnicy_sumy[[#This Row],[I. Nazwisko]],tbl_główna_GRACZE[ftm])</f>
        <v>4</v>
      </c>
      <c r="I29" s="10">
        <f>SUMIF(tbl_główna_GRACZE[I. Nazwisko],tbl_zawodnicy_sumy[[#This Row],[I. Nazwisko]],tbl_główna_GRACZE[fta])</f>
        <v>6</v>
      </c>
      <c r="J29" s="10">
        <f>SUMIF(tbl_główna_GRACZE[I. Nazwisko],tbl_zawodnicy_sumy[[#This Row],[I. Nazwisko]],tbl_główna_GRACZE[oreb])</f>
        <v>4</v>
      </c>
      <c r="K29" s="10">
        <f>SUMIF(tbl_główna_GRACZE[I. Nazwisko],tbl_zawodnicy_sumy[[#This Row],[I. Nazwisko]],tbl_główna_GRACZE[dreb])</f>
        <v>12</v>
      </c>
      <c r="L29" s="10">
        <f>SUMIF(tbl_główna_GRACZE[I. Nazwisko],tbl_zawodnicy_sumy[[#This Row],[I. Nazwisko]],tbl_główna_GRACZE[foul])</f>
        <v>1</v>
      </c>
      <c r="M29" s="10">
        <f>SUMIF(tbl_główna_GRACZE[I. Nazwisko],tbl_zawodnicy_sumy[[#This Row],[I. Nazwisko]],tbl_główna_GRACZE[stl])</f>
        <v>3</v>
      </c>
      <c r="N29" s="10">
        <f>SUMIF(tbl_główna_GRACZE[I. Nazwisko],tbl_zawodnicy_sumy[[#This Row],[I. Nazwisko]],tbl_główna_GRACZE[to])</f>
        <v>0</v>
      </c>
      <c r="O29" s="10">
        <f>SUMIF(tbl_główna_GRACZE[I. Nazwisko],tbl_zawodnicy_sumy[[#This Row],[I. Nazwisko]],tbl_główna_GRACZE[blk])</f>
        <v>0</v>
      </c>
      <c r="P29" s="10">
        <f>SUMIF(tbl_główna_GRACZE[I. Nazwisko],tbl_zawodnicy_sumy[[#This Row],[I. Nazwisko]],tbl_główna_GRACZE[asst])</f>
        <v>8</v>
      </c>
      <c r="Q29" s="10">
        <f>SUMIF(tbl_główna_GRACZE[I. Nazwisko],tbl_zawodnicy_sumy[[#This Row],[I. Nazwisko]],tbl_główna_GRACZE[min])</f>
        <v>65</v>
      </c>
      <c r="R29" s="10">
        <f>SUMIF(tbl_główna_GRACZE[I. Nazwisko],tbl_zawodnicy_sumy[[#This Row],[I. Nazwisko]],tbl_główna_GRACZE[pts])</f>
        <v>13</v>
      </c>
      <c r="S29" s="11">
        <f t="shared" si="0"/>
        <v>16</v>
      </c>
      <c r="T29" s="4">
        <f t="shared" si="1"/>
        <v>0.2857142857142857</v>
      </c>
      <c r="U29" s="4">
        <f t="shared" si="2"/>
        <v>0.33333333333333331</v>
      </c>
      <c r="V29" s="4">
        <f t="shared" si="9"/>
        <v>0.66666666666666663</v>
      </c>
      <c r="W29" s="4">
        <f>IFERROR(tbl_zawodnicy_sumy[[#This Row],[2pm]]/tbl_zawodnicy_sumy[[#This Row],[2pa]],0)</f>
        <v>0.27272727272727271</v>
      </c>
      <c r="X29" s="4">
        <f t="shared" si="3"/>
        <v>0.390625</v>
      </c>
      <c r="Y29" s="4">
        <f t="shared" si="4"/>
        <v>0.32142857142857145</v>
      </c>
      <c r="Z29" s="11">
        <f t="shared" si="5"/>
        <v>28</v>
      </c>
      <c r="AA29" s="4">
        <f t="shared" si="6"/>
        <v>0.42857142857142855</v>
      </c>
      <c r="AB29" s="4">
        <f t="shared" si="7"/>
        <v>0.21428571428571427</v>
      </c>
      <c r="AC29" s="26">
        <f>IFERROR((SUMIF(tbl_główna_GRACZE[I. Nazwisko],tbl_zawodnicy_sumy[[#This Row],[I. Nazwisko]],tbl_główna_GRACZE[USG%]))/tbl_zawodnicy_sumy[[#This Row],[Played]],0)</f>
        <v>8.3730542181786993E-2</v>
      </c>
      <c r="AD29" s="25">
        <f>IFERROR(tbl_zawodnicy_sumy[[#This Row],[pts]]*(40/tbl_zawodnicy_sumy[[#This Row],[min]]),0)</f>
        <v>8</v>
      </c>
      <c r="AE29" s="30">
        <f>IFERROR(tbl_zawodnicy_sumy[[#This Row],[reb total]]*(40/tbl_zawodnicy_sumy[[#This Row],[min]]),0)</f>
        <v>9.8461538461538467</v>
      </c>
      <c r="AF29" s="30">
        <f>IFERROR(tbl_zawodnicy_sumy[[#This Row],[asst]]*(40/tbl_zawodnicy_sumy[[#This Row],[min]]),0)</f>
        <v>4.9230769230769234</v>
      </c>
      <c r="AG29" s="5">
        <f t="shared" si="8"/>
        <v>0.9285714285714286</v>
      </c>
      <c r="AH29" s="5">
        <f>IFERROR((tbl_zawodnicy_sumy[[#This Row],[stl]]+tbl_zawodnicy_sumy[[#This Row],[blk]])*(40/tbl_zawodnicy_sumy[[#This Row],[min]]),0)</f>
        <v>1.8461538461538463</v>
      </c>
      <c r="AI29" s="4">
        <f>IFERROR((SUMIF(tbl_główna_GRACZE[I. Nazwisko],tbl_zawodnicy_sumy[[#This Row],[I. Nazwisko]],tbl_główna_GRACZE[DI]))/tbl_zawodnicy_sumy[[#This Row],[Played]],0)</f>
        <v>8.4656084656084651E-2</v>
      </c>
      <c r="AJ29" s="25">
        <f>tbl_zawodnicy_sumy[[#This Row],[stl]]+tbl_zawodnicy_sumy[[#This Row],[blk]]+(tbl_zawodnicy_sumy[[#This Row],[dreb]]*0.5)</f>
        <v>9</v>
      </c>
      <c r="AK29" s="29">
        <f>IFERROR((tbl_zawodnicy_sumy[[#This Row],[stl]]+tbl_zawodnicy_sumy[[#This Row],[blk]]+0.5*tbl_zawodnicy_sumy[[#This Row],[dreb]])/tbl_zawodnicy_sumy[[#This Row],[min]],0)</f>
        <v>0.13846153846153847</v>
      </c>
      <c r="AL29" s="6">
        <f t="shared" si="10"/>
        <v>19</v>
      </c>
      <c r="AM29" s="6">
        <f>IFERROR(tbl_zawodnicy_sumy[[#This Row],[GmSc]]*(40/tbl_zawodnicy_sumy[[#This Row],[min]]),0)</f>
        <v>11.692307692307693</v>
      </c>
      <c r="AN29" s="6">
        <f>IFERROR(tbl_zawodnicy_sumy[[#This Row],[EVAL]]*(40/tbl_zawodnicy_sumy[[#This Row],[min]]),0)</f>
        <v>17.230769230769234</v>
      </c>
      <c r="AO29" s="11">
        <f>tbl_zawodnicy_sumy[[#This Row],[fgm]]-tbl_zawodnicy_sumy[[#This Row],[3pm]]</f>
        <v>3</v>
      </c>
      <c r="AP29" s="11">
        <f>tbl_zawodnicy_sumy[[#This Row],[fga]]-tbl_zawodnicy_sumy[[#This Row],[3pa]]</f>
        <v>11</v>
      </c>
      <c r="AQ29">
        <f>SUMIF(tbl_zawodnicy_średnie[I. Nazwisko],tbl_zawodnicy_sumy[[#This Row],[I. Nazwisko]],tbl_zawodnicy_średnie[ID])</f>
        <v>19</v>
      </c>
    </row>
    <row r="30" spans="1:43" ht="14.5" customHeight="1" x14ac:dyDescent="0.35">
      <c r="A30" s="58" t="s">
        <v>46</v>
      </c>
      <c r="B30" s="58" t="s">
        <v>178</v>
      </c>
      <c r="C30" s="10">
        <f>SUMIF(tbl_główna_GRACZE[I. Nazwisko],tbl_zawodnicy_sumy[[#This Row],[I. Nazwisko]],tbl_główna_GRACZE[Played?])</f>
        <v>4</v>
      </c>
      <c r="D30" s="10">
        <f>SUMIF(tbl_główna_GRACZE[I. Nazwisko],tbl_zawodnicy_sumy[[#This Row],[I. Nazwisko]],tbl_główna_GRACZE[fgm])</f>
        <v>7</v>
      </c>
      <c r="E30" s="10">
        <f>SUMIF(tbl_główna_GRACZE[I. Nazwisko],tbl_zawodnicy_sumy[[#This Row],[I. Nazwisko]],tbl_główna_GRACZE[fga])</f>
        <v>24</v>
      </c>
      <c r="F30" s="10">
        <f>SUMIF(tbl_główna_GRACZE[I. Nazwisko],tbl_zawodnicy_sumy[[#This Row],[I. Nazwisko]],tbl_główna_GRACZE[3pm])</f>
        <v>4</v>
      </c>
      <c r="G30" s="10">
        <f>SUMIF(tbl_główna_GRACZE[I. Nazwisko],tbl_zawodnicy_sumy[[#This Row],[I. Nazwisko]],tbl_główna_GRACZE[3pa])</f>
        <v>17</v>
      </c>
      <c r="H30" s="10">
        <f>SUMIF(tbl_główna_GRACZE[I. Nazwisko],tbl_zawodnicy_sumy[[#This Row],[I. Nazwisko]],tbl_główna_GRACZE[ftm])</f>
        <v>1</v>
      </c>
      <c r="I30" s="10">
        <f>SUMIF(tbl_główna_GRACZE[I. Nazwisko],tbl_zawodnicy_sumy[[#This Row],[I. Nazwisko]],tbl_główna_GRACZE[fta])</f>
        <v>2</v>
      </c>
      <c r="J30" s="10">
        <f>SUMIF(tbl_główna_GRACZE[I. Nazwisko],tbl_zawodnicy_sumy[[#This Row],[I. Nazwisko]],tbl_główna_GRACZE[oreb])</f>
        <v>2</v>
      </c>
      <c r="K30" s="10">
        <f>SUMIF(tbl_główna_GRACZE[I. Nazwisko],tbl_zawodnicy_sumy[[#This Row],[I. Nazwisko]],tbl_główna_GRACZE[dreb])</f>
        <v>2</v>
      </c>
      <c r="L30" s="10">
        <f>SUMIF(tbl_główna_GRACZE[I. Nazwisko],tbl_zawodnicy_sumy[[#This Row],[I. Nazwisko]],tbl_główna_GRACZE[foul])</f>
        <v>6</v>
      </c>
      <c r="M30" s="10">
        <f>SUMIF(tbl_główna_GRACZE[I. Nazwisko],tbl_zawodnicy_sumy[[#This Row],[I. Nazwisko]],tbl_główna_GRACZE[stl])</f>
        <v>3</v>
      </c>
      <c r="N30" s="10">
        <f>SUMIF(tbl_główna_GRACZE[I. Nazwisko],tbl_zawodnicy_sumy[[#This Row],[I. Nazwisko]],tbl_główna_GRACZE[to])</f>
        <v>0</v>
      </c>
      <c r="O30" s="10">
        <f>SUMIF(tbl_główna_GRACZE[I. Nazwisko],tbl_zawodnicy_sumy[[#This Row],[I. Nazwisko]],tbl_główna_GRACZE[blk])</f>
        <v>1</v>
      </c>
      <c r="P30" s="10">
        <f>SUMIF(tbl_główna_GRACZE[I. Nazwisko],tbl_zawodnicy_sumy[[#This Row],[I. Nazwisko]],tbl_główna_GRACZE[asst])</f>
        <v>4</v>
      </c>
      <c r="Q30" s="10">
        <f>SUMIF(tbl_główna_GRACZE[I. Nazwisko],tbl_zawodnicy_sumy[[#This Row],[I. Nazwisko]],tbl_główna_GRACZE[min])</f>
        <v>57</v>
      </c>
      <c r="R30" s="10">
        <f>SUMIF(tbl_główna_GRACZE[I. Nazwisko],tbl_zawodnicy_sumy[[#This Row],[I. Nazwisko]],tbl_główna_GRACZE[pts])</f>
        <v>19</v>
      </c>
      <c r="S30" s="11">
        <f t="shared" si="0"/>
        <v>4</v>
      </c>
      <c r="T30" s="4">
        <f t="shared" si="1"/>
        <v>0.29166666666666669</v>
      </c>
      <c r="U30" s="4">
        <f t="shared" si="2"/>
        <v>0.23529411764705882</v>
      </c>
      <c r="V30" s="4">
        <f t="shared" si="9"/>
        <v>0.5</v>
      </c>
      <c r="W30" s="4">
        <f>IFERROR(tbl_zawodnicy_sumy[[#This Row],[2pm]]/tbl_zawodnicy_sumy[[#This Row],[2pa]],0)</f>
        <v>0.42857142857142855</v>
      </c>
      <c r="X30" s="4">
        <f t="shared" si="3"/>
        <v>0.38183279742765275</v>
      </c>
      <c r="Y30" s="4">
        <f t="shared" si="4"/>
        <v>0.375</v>
      </c>
      <c r="Z30" s="11">
        <f t="shared" si="5"/>
        <v>13</v>
      </c>
      <c r="AA30" s="4">
        <f t="shared" si="6"/>
        <v>8.3333333333333329E-2</v>
      </c>
      <c r="AB30" s="4">
        <f t="shared" si="7"/>
        <v>0.70833333333333337</v>
      </c>
      <c r="AC30" s="26">
        <f>IFERROR((SUMIF(tbl_główna_GRACZE[I. Nazwisko],tbl_zawodnicy_sumy[[#This Row],[I. Nazwisko]],tbl_główna_GRACZE[USG%]))/tbl_zawodnicy_sumy[[#This Row],[Played]],0)</f>
        <v>9.6895158277338161E-2</v>
      </c>
      <c r="AD30" s="25">
        <f>IFERROR(tbl_zawodnicy_sumy[[#This Row],[pts]]*(40/tbl_zawodnicy_sumy[[#This Row],[min]]),0)</f>
        <v>13.333333333333332</v>
      </c>
      <c r="AE30" s="30">
        <f>IFERROR(tbl_zawodnicy_sumy[[#This Row],[reb total]]*(40/tbl_zawodnicy_sumy[[#This Row],[min]]),0)</f>
        <v>2.807017543859649</v>
      </c>
      <c r="AF30" s="30">
        <f>IFERROR(tbl_zawodnicy_sumy[[#This Row],[asst]]*(40/tbl_zawodnicy_sumy[[#This Row],[min]]),0)</f>
        <v>2.807017543859649</v>
      </c>
      <c r="AG30" s="5">
        <f t="shared" si="8"/>
        <v>0.79166666666666663</v>
      </c>
      <c r="AH30" s="5">
        <f>IFERROR((tbl_zawodnicy_sumy[[#This Row],[stl]]+tbl_zawodnicy_sumy[[#This Row],[blk]])*(40/tbl_zawodnicy_sumy[[#This Row],[min]]),0)</f>
        <v>2.807017543859649</v>
      </c>
      <c r="AI30" s="4">
        <f>IFERROR((SUMIF(tbl_główna_GRACZE[I. Nazwisko],tbl_zawodnicy_sumy[[#This Row],[I. Nazwisko]],tbl_główna_GRACZE[DI]))/tbl_zawodnicy_sumy[[#This Row],[Played]],0)</f>
        <v>8.1349206349206338E-2</v>
      </c>
      <c r="AJ30" s="25">
        <f>tbl_zawodnicy_sumy[[#This Row],[stl]]+tbl_zawodnicy_sumy[[#This Row],[blk]]+(tbl_zawodnicy_sumy[[#This Row],[dreb]]*0.5)</f>
        <v>5</v>
      </c>
      <c r="AK30" s="29">
        <f>IFERROR((tbl_zawodnicy_sumy[[#This Row],[stl]]+tbl_zawodnicy_sumy[[#This Row],[blk]]+0.5*tbl_zawodnicy_sumy[[#This Row],[dreb]])/tbl_zawodnicy_sumy[[#This Row],[min]],0)</f>
        <v>8.771929824561403E-2</v>
      </c>
      <c r="AL30" s="6">
        <f t="shared" si="10"/>
        <v>13.100000000000001</v>
      </c>
      <c r="AM30" s="6">
        <f>IFERROR(tbl_zawodnicy_sumy[[#This Row],[GmSc]]*(40/tbl_zawodnicy_sumy[[#This Row],[min]]),0)</f>
        <v>9.192982456140351</v>
      </c>
      <c r="AN30" s="6">
        <f>IFERROR(tbl_zawodnicy_sumy[[#This Row],[EVAL]]*(40/tbl_zawodnicy_sumy[[#This Row],[min]]),0)</f>
        <v>9.1228070175438596</v>
      </c>
      <c r="AO30" s="11">
        <f>tbl_zawodnicy_sumy[[#This Row],[fgm]]-tbl_zawodnicy_sumy[[#This Row],[3pm]]</f>
        <v>3</v>
      </c>
      <c r="AP30" s="11">
        <f>tbl_zawodnicy_sumy[[#This Row],[fga]]-tbl_zawodnicy_sumy[[#This Row],[3pa]]</f>
        <v>7</v>
      </c>
      <c r="AQ30">
        <f>SUMIF(tbl_zawodnicy_średnie[I. Nazwisko],tbl_zawodnicy_sumy[[#This Row],[I. Nazwisko]],tbl_zawodnicy_średnie[ID])</f>
        <v>20</v>
      </c>
    </row>
    <row r="31" spans="1:43" ht="14.5" customHeight="1" x14ac:dyDescent="0.35">
      <c r="A31" s="58" t="s">
        <v>46</v>
      </c>
      <c r="B31" s="58" t="s">
        <v>179</v>
      </c>
      <c r="C31" s="10">
        <f>SUMIF(tbl_główna_GRACZE[I. Nazwisko],tbl_zawodnicy_sumy[[#This Row],[I. Nazwisko]],tbl_główna_GRACZE[Played?])</f>
        <v>4</v>
      </c>
      <c r="D31" s="10">
        <f>SUMIF(tbl_główna_GRACZE[I. Nazwisko],tbl_zawodnicy_sumy[[#This Row],[I. Nazwisko]],tbl_główna_GRACZE[fgm])</f>
        <v>2</v>
      </c>
      <c r="E31" s="10">
        <f>SUMIF(tbl_główna_GRACZE[I. Nazwisko],tbl_zawodnicy_sumy[[#This Row],[I. Nazwisko]],tbl_główna_GRACZE[fga])</f>
        <v>10</v>
      </c>
      <c r="F31" s="10">
        <f>SUMIF(tbl_główna_GRACZE[I. Nazwisko],tbl_zawodnicy_sumy[[#This Row],[I. Nazwisko]],tbl_główna_GRACZE[3pm])</f>
        <v>1</v>
      </c>
      <c r="G31" s="10">
        <f>SUMIF(tbl_główna_GRACZE[I. Nazwisko],tbl_zawodnicy_sumy[[#This Row],[I. Nazwisko]],tbl_główna_GRACZE[3pa])</f>
        <v>2</v>
      </c>
      <c r="H31" s="10">
        <f>SUMIF(tbl_główna_GRACZE[I. Nazwisko],tbl_zawodnicy_sumy[[#This Row],[I. Nazwisko]],tbl_główna_GRACZE[ftm])</f>
        <v>3</v>
      </c>
      <c r="I31" s="10">
        <f>SUMIF(tbl_główna_GRACZE[I. Nazwisko],tbl_zawodnicy_sumy[[#This Row],[I. Nazwisko]],tbl_główna_GRACZE[fta])</f>
        <v>10</v>
      </c>
      <c r="J31" s="10">
        <f>SUMIF(tbl_główna_GRACZE[I. Nazwisko],tbl_zawodnicy_sumy[[#This Row],[I. Nazwisko]],tbl_główna_GRACZE[oreb])</f>
        <v>8</v>
      </c>
      <c r="K31" s="10">
        <f>SUMIF(tbl_główna_GRACZE[I. Nazwisko],tbl_zawodnicy_sumy[[#This Row],[I. Nazwisko]],tbl_główna_GRACZE[dreb])</f>
        <v>21</v>
      </c>
      <c r="L31" s="10">
        <f>SUMIF(tbl_główna_GRACZE[I. Nazwisko],tbl_zawodnicy_sumy[[#This Row],[I. Nazwisko]],tbl_główna_GRACZE[foul])</f>
        <v>6</v>
      </c>
      <c r="M31" s="10">
        <f>SUMIF(tbl_główna_GRACZE[I. Nazwisko],tbl_zawodnicy_sumy[[#This Row],[I. Nazwisko]],tbl_główna_GRACZE[stl])</f>
        <v>3</v>
      </c>
      <c r="N31" s="10">
        <f>SUMIF(tbl_główna_GRACZE[I. Nazwisko],tbl_zawodnicy_sumy[[#This Row],[I. Nazwisko]],tbl_główna_GRACZE[to])</f>
        <v>0</v>
      </c>
      <c r="O31" s="10">
        <f>SUMIF(tbl_główna_GRACZE[I. Nazwisko],tbl_zawodnicy_sumy[[#This Row],[I. Nazwisko]],tbl_główna_GRACZE[blk])</f>
        <v>4</v>
      </c>
      <c r="P31" s="10">
        <f>SUMIF(tbl_główna_GRACZE[I. Nazwisko],tbl_zawodnicy_sumy[[#This Row],[I. Nazwisko]],tbl_główna_GRACZE[asst])</f>
        <v>5</v>
      </c>
      <c r="Q31" s="10">
        <f>SUMIF(tbl_główna_GRACZE[I. Nazwisko],tbl_zawodnicy_sumy[[#This Row],[I. Nazwisko]],tbl_główna_GRACZE[min])</f>
        <v>87</v>
      </c>
      <c r="R31" s="10">
        <f>SUMIF(tbl_główna_GRACZE[I. Nazwisko],tbl_zawodnicy_sumy[[#This Row],[I. Nazwisko]],tbl_główna_GRACZE[pts])</f>
        <v>8</v>
      </c>
      <c r="S31" s="11">
        <f t="shared" si="0"/>
        <v>29</v>
      </c>
      <c r="T31" s="4">
        <f t="shared" si="1"/>
        <v>0.2</v>
      </c>
      <c r="U31" s="4">
        <f t="shared" si="2"/>
        <v>0.5</v>
      </c>
      <c r="V31" s="4">
        <f t="shared" si="9"/>
        <v>0.3</v>
      </c>
      <c r="W31" s="4">
        <f>IFERROR(tbl_zawodnicy_sumy[[#This Row],[2pm]]/tbl_zawodnicy_sumy[[#This Row],[2pa]],0)</f>
        <v>0.125</v>
      </c>
      <c r="X31" s="4">
        <f t="shared" si="3"/>
        <v>0.27777777777777779</v>
      </c>
      <c r="Y31" s="4">
        <f t="shared" si="4"/>
        <v>0.25</v>
      </c>
      <c r="Z31" s="11">
        <f t="shared" si="5"/>
        <v>34</v>
      </c>
      <c r="AA31" s="4">
        <f t="shared" si="6"/>
        <v>1</v>
      </c>
      <c r="AB31" s="4">
        <f t="shared" si="7"/>
        <v>0.2</v>
      </c>
      <c r="AC31" s="26">
        <f>IFERROR((SUMIF(tbl_główna_GRACZE[I. Nazwisko],tbl_zawodnicy_sumy[[#This Row],[I. Nazwisko]],tbl_główna_GRACZE[USG%]))/tbl_zawodnicy_sumy[[#This Row],[Played]],0)</f>
        <v>5.5608141654505609E-2</v>
      </c>
      <c r="AD31" s="25">
        <f>IFERROR(tbl_zawodnicy_sumy[[#This Row],[pts]]*(40/tbl_zawodnicy_sumy[[#This Row],[min]]),0)</f>
        <v>3.6781609195402298</v>
      </c>
      <c r="AE31" s="30">
        <f>IFERROR(tbl_zawodnicy_sumy[[#This Row],[reb total]]*(40/tbl_zawodnicy_sumy[[#This Row],[min]]),0)</f>
        <v>13.333333333333334</v>
      </c>
      <c r="AF31" s="30">
        <f>IFERROR(tbl_zawodnicy_sumy[[#This Row],[asst]]*(40/tbl_zawodnicy_sumy[[#This Row],[min]]),0)</f>
        <v>2.2988505747126435</v>
      </c>
      <c r="AG31" s="5">
        <f t="shared" si="8"/>
        <v>0.8</v>
      </c>
      <c r="AH31" s="5">
        <f>IFERROR((tbl_zawodnicy_sumy[[#This Row],[stl]]+tbl_zawodnicy_sumy[[#This Row],[blk]])*(40/tbl_zawodnicy_sumy[[#This Row],[min]]),0)</f>
        <v>3.2183908045977012</v>
      </c>
      <c r="AI31" s="4">
        <f>IFERROR((SUMIF(tbl_główna_GRACZE[I. Nazwisko],tbl_zawodnicy_sumy[[#This Row],[I. Nazwisko]],tbl_główna_GRACZE[DI]))/tbl_zawodnicy_sumy[[#This Row],[Played]],0)</f>
        <v>0.13371971595655804</v>
      </c>
      <c r="AJ31" s="25">
        <f>tbl_zawodnicy_sumy[[#This Row],[stl]]+tbl_zawodnicy_sumy[[#This Row],[blk]]+(tbl_zawodnicy_sumy[[#This Row],[dreb]]*0.5)</f>
        <v>17.5</v>
      </c>
      <c r="AK31" s="29">
        <f>IFERROR((tbl_zawodnicy_sumy[[#This Row],[stl]]+tbl_zawodnicy_sumy[[#This Row],[blk]]+0.5*tbl_zawodnicy_sumy[[#This Row],[dreb]])/tbl_zawodnicy_sumy[[#This Row],[min]],0)</f>
        <v>0.20114942528735633</v>
      </c>
      <c r="AL31" s="6">
        <f t="shared" si="10"/>
        <v>20.2</v>
      </c>
      <c r="AM31" s="6">
        <f>IFERROR(tbl_zawodnicy_sumy[[#This Row],[GmSc]]*(40/tbl_zawodnicy_sumy[[#This Row],[min]]),0)</f>
        <v>9.2873563218390807</v>
      </c>
      <c r="AN31" s="6">
        <f>IFERROR(tbl_zawodnicy_sumy[[#This Row],[EVAL]]*(40/tbl_zawodnicy_sumy[[#This Row],[min]]),0)</f>
        <v>15.632183908045977</v>
      </c>
      <c r="AO31" s="11">
        <f>tbl_zawodnicy_sumy[[#This Row],[fgm]]-tbl_zawodnicy_sumy[[#This Row],[3pm]]</f>
        <v>1</v>
      </c>
      <c r="AP31" s="11">
        <f>tbl_zawodnicy_sumy[[#This Row],[fga]]-tbl_zawodnicy_sumy[[#This Row],[3pa]]</f>
        <v>8</v>
      </c>
      <c r="AQ31">
        <f>SUMIF(tbl_zawodnicy_średnie[I. Nazwisko],tbl_zawodnicy_sumy[[#This Row],[I. Nazwisko]],tbl_zawodnicy_średnie[ID])</f>
        <v>21</v>
      </c>
    </row>
    <row r="32" spans="1:43" ht="14.5" customHeight="1" x14ac:dyDescent="0.35">
      <c r="A32" s="58" t="s">
        <v>46</v>
      </c>
      <c r="B32" s="58" t="s">
        <v>180</v>
      </c>
      <c r="C32" s="10">
        <f>SUMIF(tbl_główna_GRACZE[I. Nazwisko],tbl_zawodnicy_sumy[[#This Row],[I. Nazwisko]],tbl_główna_GRACZE[Played?])</f>
        <v>2</v>
      </c>
      <c r="D32" s="10">
        <f>SUMIF(tbl_główna_GRACZE[I. Nazwisko],tbl_zawodnicy_sumy[[#This Row],[I. Nazwisko]],tbl_główna_GRACZE[fgm])</f>
        <v>0</v>
      </c>
      <c r="E32" s="10">
        <f>SUMIF(tbl_główna_GRACZE[I. Nazwisko],tbl_zawodnicy_sumy[[#This Row],[I. Nazwisko]],tbl_główna_GRACZE[fga])</f>
        <v>9</v>
      </c>
      <c r="F32" s="10">
        <f>SUMIF(tbl_główna_GRACZE[I. Nazwisko],tbl_zawodnicy_sumy[[#This Row],[I. Nazwisko]],tbl_główna_GRACZE[3pm])</f>
        <v>0</v>
      </c>
      <c r="G32" s="10">
        <f>SUMIF(tbl_główna_GRACZE[I. Nazwisko],tbl_zawodnicy_sumy[[#This Row],[I. Nazwisko]],tbl_główna_GRACZE[3pa])</f>
        <v>4</v>
      </c>
      <c r="H32" s="10">
        <f>SUMIF(tbl_główna_GRACZE[I. Nazwisko],tbl_zawodnicy_sumy[[#This Row],[I. Nazwisko]],tbl_główna_GRACZE[ftm])</f>
        <v>0</v>
      </c>
      <c r="I32" s="10">
        <f>SUMIF(tbl_główna_GRACZE[I. Nazwisko],tbl_zawodnicy_sumy[[#This Row],[I. Nazwisko]],tbl_główna_GRACZE[fta])</f>
        <v>0</v>
      </c>
      <c r="J32" s="10">
        <f>SUMIF(tbl_główna_GRACZE[I. Nazwisko],tbl_zawodnicy_sumy[[#This Row],[I. Nazwisko]],tbl_główna_GRACZE[oreb])</f>
        <v>0</v>
      </c>
      <c r="K32" s="10">
        <f>SUMIF(tbl_główna_GRACZE[I. Nazwisko],tbl_zawodnicy_sumy[[#This Row],[I. Nazwisko]],tbl_główna_GRACZE[dreb])</f>
        <v>6</v>
      </c>
      <c r="L32" s="10">
        <f>SUMIF(tbl_główna_GRACZE[I. Nazwisko],tbl_zawodnicy_sumy[[#This Row],[I. Nazwisko]],tbl_główna_GRACZE[foul])</f>
        <v>0</v>
      </c>
      <c r="M32" s="10">
        <f>SUMIF(tbl_główna_GRACZE[I. Nazwisko],tbl_zawodnicy_sumy[[#This Row],[I. Nazwisko]],tbl_główna_GRACZE[stl])</f>
        <v>1</v>
      </c>
      <c r="N32" s="10">
        <f>SUMIF(tbl_główna_GRACZE[I. Nazwisko],tbl_zawodnicy_sumy[[#This Row],[I. Nazwisko]],tbl_główna_GRACZE[to])</f>
        <v>0</v>
      </c>
      <c r="O32" s="10">
        <f>SUMIF(tbl_główna_GRACZE[I. Nazwisko],tbl_zawodnicy_sumy[[#This Row],[I. Nazwisko]],tbl_główna_GRACZE[blk])</f>
        <v>1</v>
      </c>
      <c r="P32" s="10">
        <f>SUMIF(tbl_główna_GRACZE[I. Nazwisko],tbl_zawodnicy_sumy[[#This Row],[I. Nazwisko]],tbl_główna_GRACZE[asst])</f>
        <v>1</v>
      </c>
      <c r="Q32" s="10">
        <f>SUMIF(tbl_główna_GRACZE[I. Nazwisko],tbl_zawodnicy_sumy[[#This Row],[I. Nazwisko]],tbl_główna_GRACZE[min])</f>
        <v>25</v>
      </c>
      <c r="R32" s="10">
        <f>SUMIF(tbl_główna_GRACZE[I. Nazwisko],tbl_zawodnicy_sumy[[#This Row],[I. Nazwisko]],tbl_główna_GRACZE[pts])</f>
        <v>0</v>
      </c>
      <c r="S32" s="11">
        <f t="shared" si="0"/>
        <v>6</v>
      </c>
      <c r="T32" s="4">
        <f t="shared" si="1"/>
        <v>0</v>
      </c>
      <c r="U32" s="4">
        <f t="shared" si="2"/>
        <v>0</v>
      </c>
      <c r="V32" s="4">
        <f t="shared" si="9"/>
        <v>0</v>
      </c>
      <c r="W32" s="4">
        <f>IFERROR(tbl_zawodnicy_sumy[[#This Row],[2pm]]/tbl_zawodnicy_sumy[[#This Row],[2pa]],0)</f>
        <v>0</v>
      </c>
      <c r="X32" s="4">
        <f t="shared" si="3"/>
        <v>0</v>
      </c>
      <c r="Y32" s="4">
        <f t="shared" si="4"/>
        <v>0</v>
      </c>
      <c r="Z32" s="11">
        <f t="shared" si="5"/>
        <v>0</v>
      </c>
      <c r="AA32" s="4">
        <f t="shared" si="6"/>
        <v>0</v>
      </c>
      <c r="AB32" s="4">
        <f t="shared" si="7"/>
        <v>0.44444444444444442</v>
      </c>
      <c r="AC32" s="26">
        <f>IFERROR((SUMIF(tbl_główna_GRACZE[I. Nazwisko],tbl_zawodnicy_sumy[[#This Row],[I. Nazwisko]],tbl_główna_GRACZE[USG%]))/tbl_zawodnicy_sumy[[#This Row],[Played]],0)</f>
        <v>6.8570484480483154E-2</v>
      </c>
      <c r="AD32" s="25">
        <f>IFERROR(tbl_zawodnicy_sumy[[#This Row],[pts]]*(40/tbl_zawodnicy_sumy[[#This Row],[min]]),0)</f>
        <v>0</v>
      </c>
      <c r="AE32" s="30">
        <f>IFERROR(tbl_zawodnicy_sumy[[#This Row],[reb total]]*(40/tbl_zawodnicy_sumy[[#This Row],[min]]),0)</f>
        <v>9.6000000000000014</v>
      </c>
      <c r="AF32" s="30">
        <f>IFERROR(tbl_zawodnicy_sumy[[#This Row],[asst]]*(40/tbl_zawodnicy_sumy[[#This Row],[min]]),0)</f>
        <v>1.6</v>
      </c>
      <c r="AG32" s="5">
        <f t="shared" si="8"/>
        <v>0</v>
      </c>
      <c r="AH32" s="5">
        <f>IFERROR((tbl_zawodnicy_sumy[[#This Row],[stl]]+tbl_zawodnicy_sumy[[#This Row],[blk]])*(40/tbl_zawodnicy_sumy[[#This Row],[min]]),0)</f>
        <v>3.2</v>
      </c>
      <c r="AI32" s="4">
        <f>IFERROR((SUMIF(tbl_główna_GRACZE[I. Nazwisko],tbl_zawodnicy_sumy[[#This Row],[I. Nazwisko]],tbl_główna_GRACZE[DI]))/tbl_zawodnicy_sumy[[#This Row],[Played]],0)</f>
        <v>0.1111111111111111</v>
      </c>
      <c r="AJ32" s="25">
        <f>tbl_zawodnicy_sumy[[#This Row],[stl]]+tbl_zawodnicy_sumy[[#This Row],[blk]]+(tbl_zawodnicy_sumy[[#This Row],[dreb]]*0.5)</f>
        <v>5</v>
      </c>
      <c r="AK32" s="29">
        <f>IFERROR((tbl_zawodnicy_sumy[[#This Row],[stl]]+tbl_zawodnicy_sumy[[#This Row],[blk]]+0.5*tbl_zawodnicy_sumy[[#This Row],[dreb]])/tbl_zawodnicy_sumy[[#This Row],[min]],0)</f>
        <v>0.2</v>
      </c>
      <c r="AL32" s="6">
        <f t="shared" si="10"/>
        <v>-2.0999999999999996</v>
      </c>
      <c r="AM32" s="6">
        <f>IFERROR(tbl_zawodnicy_sumy[[#This Row],[GmSc]]*(40/tbl_zawodnicy_sumy[[#This Row],[min]]),0)</f>
        <v>-3.3599999999999994</v>
      </c>
      <c r="AN32" s="6">
        <f>IFERROR(tbl_zawodnicy_sumy[[#This Row],[EVAL]]*(40/tbl_zawodnicy_sumy[[#This Row],[min]]),0)</f>
        <v>0</v>
      </c>
      <c r="AO32" s="11">
        <f>tbl_zawodnicy_sumy[[#This Row],[fgm]]-tbl_zawodnicy_sumy[[#This Row],[3pm]]</f>
        <v>0</v>
      </c>
      <c r="AP32" s="11">
        <f>tbl_zawodnicy_sumy[[#This Row],[fga]]-tbl_zawodnicy_sumy[[#This Row],[3pa]]</f>
        <v>5</v>
      </c>
      <c r="AQ32">
        <f>SUMIF(tbl_zawodnicy_średnie[I. Nazwisko],tbl_zawodnicy_sumy[[#This Row],[I. Nazwisko]],tbl_zawodnicy_średnie[ID])</f>
        <v>22</v>
      </c>
    </row>
    <row r="33" spans="1:43" ht="14.5" customHeight="1" x14ac:dyDescent="0.35">
      <c r="A33" s="58" t="s">
        <v>48</v>
      </c>
      <c r="B33" s="58" t="s">
        <v>181</v>
      </c>
      <c r="C33" s="20">
        <f>SUMIF(tbl_główna_GRACZE[I. Nazwisko],tbl_zawodnicy_sumy[[#This Row],[I. Nazwisko]],tbl_główna_GRACZE[Played?])</f>
        <v>3</v>
      </c>
      <c r="D33" s="10">
        <f>SUMIF(tbl_główna_GRACZE[I. Nazwisko],tbl_zawodnicy_sumy[[#This Row],[I. Nazwisko]],tbl_główna_GRACZE[fgm])</f>
        <v>29</v>
      </c>
      <c r="E33" s="10">
        <f>SUMIF(tbl_główna_GRACZE[I. Nazwisko],tbl_zawodnicy_sumy[[#This Row],[I. Nazwisko]],tbl_główna_GRACZE[fga])</f>
        <v>56</v>
      </c>
      <c r="F33" s="10">
        <f>SUMIF(tbl_główna_GRACZE[I. Nazwisko],tbl_zawodnicy_sumy[[#This Row],[I. Nazwisko]],tbl_główna_GRACZE[3pm])</f>
        <v>0</v>
      </c>
      <c r="G33" s="10">
        <f>SUMIF(tbl_główna_GRACZE[I. Nazwisko],tbl_zawodnicy_sumy[[#This Row],[I. Nazwisko]],tbl_główna_GRACZE[3pa])</f>
        <v>6</v>
      </c>
      <c r="H33" s="10">
        <f>SUMIF(tbl_główna_GRACZE[I. Nazwisko],tbl_zawodnicy_sumy[[#This Row],[I. Nazwisko]],tbl_główna_GRACZE[ftm])</f>
        <v>14</v>
      </c>
      <c r="I33" s="10">
        <f>SUMIF(tbl_główna_GRACZE[I. Nazwisko],tbl_zawodnicy_sumy[[#This Row],[I. Nazwisko]],tbl_główna_GRACZE[fta])</f>
        <v>24</v>
      </c>
      <c r="J33" s="10">
        <f>SUMIF(tbl_główna_GRACZE[I. Nazwisko],tbl_zawodnicy_sumy[[#This Row],[I. Nazwisko]],tbl_główna_GRACZE[oreb])</f>
        <v>8</v>
      </c>
      <c r="K33" s="10">
        <f>SUMIF(tbl_główna_GRACZE[I. Nazwisko],tbl_zawodnicy_sumy[[#This Row],[I. Nazwisko]],tbl_główna_GRACZE[dreb])</f>
        <v>15</v>
      </c>
      <c r="L33" s="10">
        <f>SUMIF(tbl_główna_GRACZE[I. Nazwisko],tbl_zawodnicy_sumy[[#This Row],[I. Nazwisko]],tbl_główna_GRACZE[foul])</f>
        <v>4</v>
      </c>
      <c r="M33" s="10">
        <f>SUMIF(tbl_główna_GRACZE[I. Nazwisko],tbl_zawodnicy_sumy[[#This Row],[I. Nazwisko]],tbl_główna_GRACZE[stl])</f>
        <v>7</v>
      </c>
      <c r="N33" s="10">
        <f>SUMIF(tbl_główna_GRACZE[I. Nazwisko],tbl_zawodnicy_sumy[[#This Row],[I. Nazwisko]],tbl_główna_GRACZE[to])</f>
        <v>0</v>
      </c>
      <c r="O33" s="10">
        <f>SUMIF(tbl_główna_GRACZE[I. Nazwisko],tbl_zawodnicy_sumy[[#This Row],[I. Nazwisko]],tbl_główna_GRACZE[blk])</f>
        <v>3</v>
      </c>
      <c r="P33" s="10">
        <f>SUMIF(tbl_główna_GRACZE[I. Nazwisko],tbl_zawodnicy_sumy[[#This Row],[I. Nazwisko]],tbl_główna_GRACZE[asst])</f>
        <v>4</v>
      </c>
      <c r="Q33" s="10">
        <f>SUMIF(tbl_główna_GRACZE[I. Nazwisko],tbl_zawodnicy_sumy[[#This Row],[I. Nazwisko]],tbl_główna_GRACZE[min])</f>
        <v>96</v>
      </c>
      <c r="R33" s="10">
        <f>SUMIF(tbl_główna_GRACZE[I. Nazwisko],tbl_zawodnicy_sumy[[#This Row],[I. Nazwisko]],tbl_główna_GRACZE[pts])</f>
        <v>72</v>
      </c>
      <c r="S33" s="11">
        <f t="shared" si="0"/>
        <v>23</v>
      </c>
      <c r="T33" s="4">
        <f t="shared" si="1"/>
        <v>0.5178571428571429</v>
      </c>
      <c r="U33" s="4">
        <f t="shared" si="2"/>
        <v>0</v>
      </c>
      <c r="V33" s="4">
        <f t="shared" si="9"/>
        <v>0.58333333333333337</v>
      </c>
      <c r="W33" s="4">
        <f>IFERROR(tbl_zawodnicy_sumy[[#This Row],[2pm]]/tbl_zawodnicy_sumy[[#This Row],[2pa]],0)</f>
        <v>0.57999999999999996</v>
      </c>
      <c r="X33" s="4">
        <f t="shared" si="3"/>
        <v>0.54086538461538458</v>
      </c>
      <c r="Y33" s="4">
        <f t="shared" si="4"/>
        <v>0.5178571428571429</v>
      </c>
      <c r="Z33" s="11">
        <f t="shared" si="5"/>
        <v>72</v>
      </c>
      <c r="AA33" s="4">
        <f t="shared" si="6"/>
        <v>0.42857142857142855</v>
      </c>
      <c r="AB33" s="4">
        <f t="shared" si="7"/>
        <v>0.10714285714285714</v>
      </c>
      <c r="AC33" s="26">
        <f>IFERROR((SUMIF(tbl_główna_GRACZE[I. Nazwisko],tbl_zawodnicy_sumy[[#This Row],[I. Nazwisko]],tbl_główna_GRACZE[USG%]))/tbl_zawodnicy_sumy[[#This Row],[Played]],0)</f>
        <v>0.28611900107024085</v>
      </c>
      <c r="AD33" s="25">
        <f>IFERROR(tbl_zawodnicy_sumy[[#This Row],[pts]]*(40/tbl_zawodnicy_sumy[[#This Row],[min]]),0)</f>
        <v>30</v>
      </c>
      <c r="AE33" s="30">
        <f>IFERROR(tbl_zawodnicy_sumy[[#This Row],[reb total]]*(40/tbl_zawodnicy_sumy[[#This Row],[min]]),0)</f>
        <v>9.5833333333333339</v>
      </c>
      <c r="AF33" s="30">
        <f>IFERROR(tbl_zawodnicy_sumy[[#This Row],[asst]]*(40/tbl_zawodnicy_sumy[[#This Row],[min]]),0)</f>
        <v>1.6666666666666667</v>
      </c>
      <c r="AG33" s="5">
        <f t="shared" si="8"/>
        <v>1.2857142857142858</v>
      </c>
      <c r="AH33" s="5">
        <f>IFERROR((tbl_zawodnicy_sumy[[#This Row],[stl]]+tbl_zawodnicy_sumy[[#This Row],[blk]])*(40/tbl_zawodnicy_sumy[[#This Row],[min]]),0)</f>
        <v>4.166666666666667</v>
      </c>
      <c r="AI33" s="4">
        <f>IFERROR((SUMIF(tbl_główna_GRACZE[I. Nazwisko],tbl_zawodnicy_sumy[[#This Row],[I. Nazwisko]],tbl_główna_GRACZE[DI]))/tbl_zawodnicy_sumy[[#This Row],[Played]],0)</f>
        <v>0.16334541062801933</v>
      </c>
      <c r="AJ33" s="25">
        <f>tbl_zawodnicy_sumy[[#This Row],[stl]]+tbl_zawodnicy_sumy[[#This Row],[blk]]+(tbl_zawodnicy_sumy[[#This Row],[dreb]]*0.5)</f>
        <v>17.5</v>
      </c>
      <c r="AK33" s="29">
        <f>IFERROR((tbl_zawodnicy_sumy[[#This Row],[stl]]+tbl_zawodnicy_sumy[[#This Row],[blk]]+0.5*tbl_zawodnicy_sumy[[#This Row],[dreb]])/tbl_zawodnicy_sumy[[#This Row],[min]],0)</f>
        <v>0.18229166666666666</v>
      </c>
      <c r="AL33" s="6">
        <f t="shared" si="10"/>
        <v>62.4</v>
      </c>
      <c r="AM33" s="6">
        <f>IFERROR(tbl_zawodnicy_sumy[[#This Row],[GmSc]]*(40/tbl_zawodnicy_sumy[[#This Row],[min]]),0)</f>
        <v>26</v>
      </c>
      <c r="AN33" s="6">
        <f>IFERROR(tbl_zawodnicy_sumy[[#This Row],[EVAL]]*(40/tbl_zawodnicy_sumy[[#This Row],[min]]),0)</f>
        <v>30</v>
      </c>
      <c r="AO33" s="11">
        <f>tbl_zawodnicy_sumy[[#This Row],[fgm]]-tbl_zawodnicy_sumy[[#This Row],[3pm]]</f>
        <v>29</v>
      </c>
      <c r="AP33" s="11">
        <f>tbl_zawodnicy_sumy[[#This Row],[fga]]-tbl_zawodnicy_sumy[[#This Row],[3pa]]</f>
        <v>50</v>
      </c>
      <c r="AQ33">
        <f>SUMIF(tbl_zawodnicy_średnie[I. Nazwisko],tbl_zawodnicy_sumy[[#This Row],[I. Nazwisko]],tbl_zawodnicy_średnie[ID])</f>
        <v>23</v>
      </c>
    </row>
    <row r="34" spans="1:43" ht="14.5" customHeight="1" x14ac:dyDescent="0.35">
      <c r="A34" s="58" t="s">
        <v>48</v>
      </c>
      <c r="B34" s="58" t="s">
        <v>182</v>
      </c>
      <c r="C34" s="9">
        <f>SUMIF(tbl_główna_GRACZE[I. Nazwisko],tbl_zawodnicy_sumy[[#This Row],[I. Nazwisko]],tbl_główna_GRACZE[Played?])</f>
        <v>4</v>
      </c>
      <c r="D34" s="10">
        <f>SUMIF(tbl_główna_GRACZE[I. Nazwisko],tbl_zawodnicy_sumy[[#This Row],[I. Nazwisko]],tbl_główna_GRACZE[fgm])</f>
        <v>5</v>
      </c>
      <c r="E34" s="10">
        <f>SUMIF(tbl_główna_GRACZE[I. Nazwisko],tbl_zawodnicy_sumy[[#This Row],[I. Nazwisko]],tbl_główna_GRACZE[fga])</f>
        <v>28</v>
      </c>
      <c r="F34" s="10">
        <f>SUMIF(tbl_główna_GRACZE[I. Nazwisko],tbl_zawodnicy_sumy[[#This Row],[I. Nazwisko]],tbl_główna_GRACZE[3pm])</f>
        <v>2</v>
      </c>
      <c r="G34" s="10">
        <f>SUMIF(tbl_główna_GRACZE[I. Nazwisko],tbl_zawodnicy_sumy[[#This Row],[I. Nazwisko]],tbl_główna_GRACZE[3pa])</f>
        <v>14</v>
      </c>
      <c r="H34" s="10">
        <f>SUMIF(tbl_główna_GRACZE[I. Nazwisko],tbl_zawodnicy_sumy[[#This Row],[I. Nazwisko]],tbl_główna_GRACZE[ftm])</f>
        <v>1</v>
      </c>
      <c r="I34" s="10">
        <f>SUMIF(tbl_główna_GRACZE[I. Nazwisko],tbl_zawodnicy_sumy[[#This Row],[I. Nazwisko]],tbl_główna_GRACZE[fta])</f>
        <v>4</v>
      </c>
      <c r="J34" s="10">
        <f>SUMIF(tbl_główna_GRACZE[I. Nazwisko],tbl_zawodnicy_sumy[[#This Row],[I. Nazwisko]],tbl_główna_GRACZE[oreb])</f>
        <v>3</v>
      </c>
      <c r="K34" s="10">
        <f>SUMIF(tbl_główna_GRACZE[I. Nazwisko],tbl_zawodnicy_sumy[[#This Row],[I. Nazwisko]],tbl_główna_GRACZE[dreb])</f>
        <v>8</v>
      </c>
      <c r="L34" s="10">
        <f>SUMIF(tbl_główna_GRACZE[I. Nazwisko],tbl_zawodnicy_sumy[[#This Row],[I. Nazwisko]],tbl_główna_GRACZE[foul])</f>
        <v>2</v>
      </c>
      <c r="M34" s="10">
        <f>SUMIF(tbl_główna_GRACZE[I. Nazwisko],tbl_zawodnicy_sumy[[#This Row],[I. Nazwisko]],tbl_główna_GRACZE[stl])</f>
        <v>5</v>
      </c>
      <c r="N34" s="10">
        <f>SUMIF(tbl_główna_GRACZE[I. Nazwisko],tbl_zawodnicy_sumy[[#This Row],[I. Nazwisko]],tbl_główna_GRACZE[to])</f>
        <v>0</v>
      </c>
      <c r="O34" s="10">
        <f>SUMIF(tbl_główna_GRACZE[I. Nazwisko],tbl_zawodnicy_sumy[[#This Row],[I. Nazwisko]],tbl_główna_GRACZE[blk])</f>
        <v>1</v>
      </c>
      <c r="P34" s="10">
        <f>SUMIF(tbl_główna_GRACZE[I. Nazwisko],tbl_zawodnicy_sumy[[#This Row],[I. Nazwisko]],tbl_główna_GRACZE[asst])</f>
        <v>3</v>
      </c>
      <c r="Q34" s="10">
        <f>SUMIF(tbl_główna_GRACZE[I. Nazwisko],tbl_zawodnicy_sumy[[#This Row],[I. Nazwisko]],tbl_główna_GRACZE[min])</f>
        <v>97</v>
      </c>
      <c r="R34" s="10">
        <f>SUMIF(tbl_główna_GRACZE[I. Nazwisko],tbl_zawodnicy_sumy[[#This Row],[I. Nazwisko]],tbl_główna_GRACZE[pts])</f>
        <v>13</v>
      </c>
      <c r="S34" s="11">
        <f t="shared" si="0"/>
        <v>11</v>
      </c>
      <c r="T34" s="4">
        <f t="shared" si="1"/>
        <v>0.17857142857142858</v>
      </c>
      <c r="U34" s="4">
        <f t="shared" si="2"/>
        <v>0.14285714285714285</v>
      </c>
      <c r="V34" s="4">
        <f t="shared" si="9"/>
        <v>0.25</v>
      </c>
      <c r="W34" s="4">
        <f>IFERROR(tbl_zawodnicy_sumy[[#This Row],[2pm]]/tbl_zawodnicy_sumy[[#This Row],[2pa]],0)</f>
        <v>0.21428571428571427</v>
      </c>
      <c r="X34" s="4">
        <f t="shared" si="3"/>
        <v>0.21841397849462366</v>
      </c>
      <c r="Y34" s="4">
        <f t="shared" si="4"/>
        <v>0.21428571428571427</v>
      </c>
      <c r="Z34" s="11">
        <f t="shared" si="5"/>
        <v>7</v>
      </c>
      <c r="AA34" s="4">
        <f t="shared" si="6"/>
        <v>0.14285714285714285</v>
      </c>
      <c r="AB34" s="4">
        <f t="shared" si="7"/>
        <v>0.5</v>
      </c>
      <c r="AC34" s="26">
        <f>IFERROR((SUMIF(tbl_główna_GRACZE[I. Nazwisko],tbl_zawodnicy_sumy[[#This Row],[I. Nazwisko]],tbl_główna_GRACZE[USG%]))/tbl_zawodnicy_sumy[[#This Row],[Played]],0)</f>
        <v>8.7037378191796216E-2</v>
      </c>
      <c r="AD34" s="25">
        <f>IFERROR(tbl_zawodnicy_sumy[[#This Row],[pts]]*(40/tbl_zawodnicy_sumy[[#This Row],[min]]),0)</f>
        <v>5.3608247422680408</v>
      </c>
      <c r="AE34" s="30">
        <f>IFERROR(tbl_zawodnicy_sumy[[#This Row],[reb total]]*(40/tbl_zawodnicy_sumy[[#This Row],[min]]),0)</f>
        <v>4.536082474226804</v>
      </c>
      <c r="AF34" s="30">
        <f>IFERROR(tbl_zawodnicy_sumy[[#This Row],[asst]]*(40/tbl_zawodnicy_sumy[[#This Row],[min]]),0)</f>
        <v>1.2371134020618557</v>
      </c>
      <c r="AG34" s="5">
        <f t="shared" si="8"/>
        <v>0.4642857142857143</v>
      </c>
      <c r="AH34" s="5">
        <f>IFERROR((tbl_zawodnicy_sumy[[#This Row],[stl]]+tbl_zawodnicy_sumy[[#This Row],[blk]])*(40/tbl_zawodnicy_sumy[[#This Row],[min]]),0)</f>
        <v>2.4742268041237114</v>
      </c>
      <c r="AI34" s="4">
        <f>IFERROR((SUMIF(tbl_główna_GRACZE[I. Nazwisko],tbl_zawodnicy_sumy[[#This Row],[I. Nazwisko]],tbl_główna_GRACZE[DI]))/tbl_zawodnicy_sumy[[#This Row],[Played]],0)</f>
        <v>8.4027777777777785E-2</v>
      </c>
      <c r="AJ34" s="25">
        <f>tbl_zawodnicy_sumy[[#This Row],[stl]]+tbl_zawodnicy_sumy[[#This Row],[blk]]+(tbl_zawodnicy_sumy[[#This Row],[dreb]]*0.5)</f>
        <v>10</v>
      </c>
      <c r="AK34" s="29">
        <f>IFERROR((tbl_zawodnicy_sumy[[#This Row],[stl]]+tbl_zawodnicy_sumy[[#This Row],[blk]]+0.5*tbl_zawodnicy_sumy[[#This Row],[dreb]])/tbl_zawodnicy_sumy[[#This Row],[min]],0)</f>
        <v>0.10309278350515463</v>
      </c>
      <c r="AL34" s="6">
        <f t="shared" si="10"/>
        <v>6.5000000000000009</v>
      </c>
      <c r="AM34" s="6">
        <f>IFERROR(tbl_zawodnicy_sumy[[#This Row],[GmSc]]*(40/tbl_zawodnicy_sumy[[#This Row],[min]]),0)</f>
        <v>2.6804123711340209</v>
      </c>
      <c r="AN34" s="6">
        <f>IFERROR(tbl_zawodnicy_sumy[[#This Row],[EVAL]]*(40/tbl_zawodnicy_sumy[[#This Row],[min]]),0)</f>
        <v>2.8865979381443299</v>
      </c>
      <c r="AO34" s="11">
        <f>tbl_zawodnicy_sumy[[#This Row],[fgm]]-tbl_zawodnicy_sumy[[#This Row],[3pm]]</f>
        <v>3</v>
      </c>
      <c r="AP34" s="11">
        <f>tbl_zawodnicy_sumy[[#This Row],[fga]]-tbl_zawodnicy_sumy[[#This Row],[3pa]]</f>
        <v>14</v>
      </c>
      <c r="AQ34">
        <f>SUMIF(tbl_zawodnicy_średnie[I. Nazwisko],tbl_zawodnicy_sumy[[#This Row],[I. Nazwisko]],tbl_zawodnicy_średnie[ID])</f>
        <v>24</v>
      </c>
    </row>
    <row r="35" spans="1:43" ht="14.5" customHeight="1" x14ac:dyDescent="0.35">
      <c r="A35" s="58" t="s">
        <v>48</v>
      </c>
      <c r="B35" s="58" t="s">
        <v>183</v>
      </c>
      <c r="C35" s="9">
        <f>SUMIF(tbl_główna_GRACZE[I. Nazwisko],tbl_zawodnicy_sumy[[#This Row],[I. Nazwisko]],tbl_główna_GRACZE[Played?])</f>
        <v>4</v>
      </c>
      <c r="D35" s="10">
        <f>SUMIF(tbl_główna_GRACZE[I. Nazwisko],tbl_zawodnicy_sumy[[#This Row],[I. Nazwisko]],tbl_główna_GRACZE[fgm])</f>
        <v>10</v>
      </c>
      <c r="E35" s="10">
        <f>SUMIF(tbl_główna_GRACZE[I. Nazwisko],tbl_zawodnicy_sumy[[#This Row],[I. Nazwisko]],tbl_główna_GRACZE[fga])</f>
        <v>33</v>
      </c>
      <c r="F35" s="10">
        <f>SUMIF(tbl_główna_GRACZE[I. Nazwisko],tbl_zawodnicy_sumy[[#This Row],[I. Nazwisko]],tbl_główna_GRACZE[3pm])</f>
        <v>4</v>
      </c>
      <c r="G35" s="10">
        <f>SUMIF(tbl_główna_GRACZE[I. Nazwisko],tbl_zawodnicy_sumy[[#This Row],[I. Nazwisko]],tbl_główna_GRACZE[3pa])</f>
        <v>10</v>
      </c>
      <c r="H35" s="10">
        <f>SUMIF(tbl_główna_GRACZE[I. Nazwisko],tbl_zawodnicy_sumy[[#This Row],[I. Nazwisko]],tbl_główna_GRACZE[ftm])</f>
        <v>5</v>
      </c>
      <c r="I35" s="10">
        <f>SUMIF(tbl_główna_GRACZE[I. Nazwisko],tbl_zawodnicy_sumy[[#This Row],[I. Nazwisko]],tbl_główna_GRACZE[fta])</f>
        <v>8</v>
      </c>
      <c r="J35" s="10">
        <f>SUMIF(tbl_główna_GRACZE[I. Nazwisko],tbl_zawodnicy_sumy[[#This Row],[I. Nazwisko]],tbl_główna_GRACZE[oreb])</f>
        <v>5</v>
      </c>
      <c r="K35" s="10">
        <f>SUMIF(tbl_główna_GRACZE[I. Nazwisko],tbl_zawodnicy_sumy[[#This Row],[I. Nazwisko]],tbl_główna_GRACZE[dreb])</f>
        <v>12</v>
      </c>
      <c r="L35" s="10">
        <f>SUMIF(tbl_główna_GRACZE[I. Nazwisko],tbl_zawodnicy_sumy[[#This Row],[I. Nazwisko]],tbl_główna_GRACZE[foul])</f>
        <v>0</v>
      </c>
      <c r="M35" s="10">
        <f>SUMIF(tbl_główna_GRACZE[I. Nazwisko],tbl_zawodnicy_sumy[[#This Row],[I. Nazwisko]],tbl_główna_GRACZE[stl])</f>
        <v>9</v>
      </c>
      <c r="N35" s="10">
        <f>SUMIF(tbl_główna_GRACZE[I. Nazwisko],tbl_zawodnicy_sumy[[#This Row],[I. Nazwisko]],tbl_główna_GRACZE[to])</f>
        <v>0</v>
      </c>
      <c r="O35" s="10">
        <f>SUMIF(tbl_główna_GRACZE[I. Nazwisko],tbl_zawodnicy_sumy[[#This Row],[I. Nazwisko]],tbl_główna_GRACZE[blk])</f>
        <v>0</v>
      </c>
      <c r="P35" s="10">
        <f>SUMIF(tbl_główna_GRACZE[I. Nazwisko],tbl_zawodnicy_sumy[[#This Row],[I. Nazwisko]],tbl_główna_GRACZE[asst])</f>
        <v>15</v>
      </c>
      <c r="Q35" s="10">
        <f>SUMIF(tbl_główna_GRACZE[I. Nazwisko],tbl_zawodnicy_sumy[[#This Row],[I. Nazwisko]],tbl_główna_GRACZE[min])</f>
        <v>97</v>
      </c>
      <c r="R35" s="10">
        <f>SUMIF(tbl_główna_GRACZE[I. Nazwisko],tbl_zawodnicy_sumy[[#This Row],[I. Nazwisko]],tbl_główna_GRACZE[pts])</f>
        <v>29</v>
      </c>
      <c r="S35" s="11">
        <f t="shared" si="0"/>
        <v>17</v>
      </c>
      <c r="T35" s="4">
        <f t="shared" si="1"/>
        <v>0.30303030303030304</v>
      </c>
      <c r="U35" s="4">
        <f t="shared" si="2"/>
        <v>0.4</v>
      </c>
      <c r="V35" s="4">
        <f t="shared" si="9"/>
        <v>0.625</v>
      </c>
      <c r="W35" s="4">
        <f>IFERROR(tbl_zawodnicy_sumy[[#This Row],[2pm]]/tbl_zawodnicy_sumy[[#This Row],[2pa]],0)</f>
        <v>0.2608695652173913</v>
      </c>
      <c r="X35" s="4">
        <f t="shared" si="3"/>
        <v>0.39704271631982474</v>
      </c>
      <c r="Y35" s="4">
        <f t="shared" si="4"/>
        <v>0.36363636363636365</v>
      </c>
      <c r="Z35" s="11">
        <f t="shared" si="5"/>
        <v>44</v>
      </c>
      <c r="AA35" s="4">
        <f t="shared" si="6"/>
        <v>0.24242424242424243</v>
      </c>
      <c r="AB35" s="4">
        <f t="shared" si="7"/>
        <v>0.30303030303030304</v>
      </c>
      <c r="AC35" s="26">
        <f>IFERROR((SUMIF(tbl_główna_GRACZE[I. Nazwisko],tbl_zawodnicy_sumy[[#This Row],[I. Nazwisko]],tbl_główna_GRACZE[USG%]))/tbl_zawodnicy_sumy[[#This Row],[Played]],0)</f>
        <v>0.11046493509160776</v>
      </c>
      <c r="AD35" s="25">
        <f>IFERROR(tbl_zawodnicy_sumy[[#This Row],[pts]]*(40/tbl_zawodnicy_sumy[[#This Row],[min]]),0)</f>
        <v>11.958762886597938</v>
      </c>
      <c r="AE35" s="30">
        <f>IFERROR(tbl_zawodnicy_sumy[[#This Row],[reb total]]*(40/tbl_zawodnicy_sumy[[#This Row],[min]]),0)</f>
        <v>7.0103092783505154</v>
      </c>
      <c r="AF35" s="30">
        <f>IFERROR(tbl_zawodnicy_sumy[[#This Row],[asst]]*(40/tbl_zawodnicy_sumy[[#This Row],[min]]),0)</f>
        <v>6.1855670103092777</v>
      </c>
      <c r="AG35" s="5">
        <f t="shared" si="8"/>
        <v>0.87878787878787878</v>
      </c>
      <c r="AH35" s="5">
        <f>IFERROR((tbl_zawodnicy_sumy[[#This Row],[stl]]+tbl_zawodnicy_sumy[[#This Row],[blk]])*(40/tbl_zawodnicy_sumy[[#This Row],[min]]),0)</f>
        <v>3.7113402061855667</v>
      </c>
      <c r="AI35" s="4">
        <f>IFERROR((SUMIF(tbl_główna_GRACZE[I. Nazwisko],tbl_zawodnicy_sumy[[#This Row],[I. Nazwisko]],tbl_główna_GRACZE[DI]))/tbl_zawodnicy_sumy[[#This Row],[Played]],0)</f>
        <v>0.12278079710144926</v>
      </c>
      <c r="AJ35" s="25">
        <f>tbl_zawodnicy_sumy[[#This Row],[stl]]+tbl_zawodnicy_sumy[[#This Row],[blk]]+(tbl_zawodnicy_sumy[[#This Row],[dreb]]*0.5)</f>
        <v>15</v>
      </c>
      <c r="AK35" s="29">
        <f>IFERROR((tbl_zawodnicy_sumy[[#This Row],[stl]]+tbl_zawodnicy_sumy[[#This Row],[blk]]+0.5*tbl_zawodnicy_sumy[[#This Row],[dreb]])/tbl_zawodnicy_sumy[[#This Row],[min]],0)</f>
        <v>0.15463917525773196</v>
      </c>
      <c r="AL35" s="6">
        <f t="shared" si="10"/>
        <v>35.300000000000004</v>
      </c>
      <c r="AM35" s="6">
        <f>IFERROR(tbl_zawodnicy_sumy[[#This Row],[GmSc]]*(40/tbl_zawodnicy_sumy[[#This Row],[min]]),0)</f>
        <v>14.556701030927837</v>
      </c>
      <c r="AN35" s="6">
        <f>IFERROR(tbl_zawodnicy_sumy[[#This Row],[EVAL]]*(40/tbl_zawodnicy_sumy[[#This Row],[min]]),0)</f>
        <v>18.144329896907216</v>
      </c>
      <c r="AO35" s="11">
        <f>tbl_zawodnicy_sumy[[#This Row],[fgm]]-tbl_zawodnicy_sumy[[#This Row],[3pm]]</f>
        <v>6</v>
      </c>
      <c r="AP35" s="11">
        <f>tbl_zawodnicy_sumy[[#This Row],[fga]]-tbl_zawodnicy_sumy[[#This Row],[3pa]]</f>
        <v>23</v>
      </c>
      <c r="AQ35">
        <f>SUMIF(tbl_zawodnicy_średnie[I. Nazwisko],tbl_zawodnicy_sumy[[#This Row],[I. Nazwisko]],tbl_zawodnicy_średnie[ID])</f>
        <v>25</v>
      </c>
    </row>
    <row r="36" spans="1:43" ht="14.5" customHeight="1" x14ac:dyDescent="0.35">
      <c r="A36" s="58" t="s">
        <v>48</v>
      </c>
      <c r="B36" s="58" t="s">
        <v>184</v>
      </c>
      <c r="C36" s="9">
        <f>SUMIF(tbl_główna_GRACZE[I. Nazwisko],tbl_zawodnicy_sumy[[#This Row],[I. Nazwisko]],tbl_główna_GRACZE[Played?])</f>
        <v>4</v>
      </c>
      <c r="D36" s="10">
        <f>SUMIF(tbl_główna_GRACZE[I. Nazwisko],tbl_zawodnicy_sumy[[#This Row],[I. Nazwisko]],tbl_główna_GRACZE[fgm])</f>
        <v>13</v>
      </c>
      <c r="E36" s="10">
        <f>SUMIF(tbl_główna_GRACZE[I. Nazwisko],tbl_zawodnicy_sumy[[#This Row],[I. Nazwisko]],tbl_główna_GRACZE[fga])</f>
        <v>39</v>
      </c>
      <c r="F36" s="10">
        <f>SUMIF(tbl_główna_GRACZE[I. Nazwisko],tbl_zawodnicy_sumy[[#This Row],[I. Nazwisko]],tbl_główna_GRACZE[3pm])</f>
        <v>8</v>
      </c>
      <c r="G36" s="10">
        <f>SUMIF(tbl_główna_GRACZE[I. Nazwisko],tbl_zawodnicy_sumy[[#This Row],[I. Nazwisko]],tbl_główna_GRACZE[3pa])</f>
        <v>31</v>
      </c>
      <c r="H36" s="10">
        <f>SUMIF(tbl_główna_GRACZE[I. Nazwisko],tbl_zawodnicy_sumy[[#This Row],[I. Nazwisko]],tbl_główna_GRACZE[ftm])</f>
        <v>0</v>
      </c>
      <c r="I36" s="10">
        <f>SUMIF(tbl_główna_GRACZE[I. Nazwisko],tbl_zawodnicy_sumy[[#This Row],[I. Nazwisko]],tbl_główna_GRACZE[fta])</f>
        <v>0</v>
      </c>
      <c r="J36" s="10">
        <f>SUMIF(tbl_główna_GRACZE[I. Nazwisko],tbl_zawodnicy_sumy[[#This Row],[I. Nazwisko]],tbl_główna_GRACZE[oreb])</f>
        <v>2</v>
      </c>
      <c r="K36" s="10">
        <f>SUMIF(tbl_główna_GRACZE[I. Nazwisko],tbl_zawodnicy_sumy[[#This Row],[I. Nazwisko]],tbl_główna_GRACZE[dreb])</f>
        <v>23</v>
      </c>
      <c r="L36" s="10">
        <f>SUMIF(tbl_główna_GRACZE[I. Nazwisko],tbl_zawodnicy_sumy[[#This Row],[I. Nazwisko]],tbl_główna_GRACZE[foul])</f>
        <v>6</v>
      </c>
      <c r="M36" s="10">
        <f>SUMIF(tbl_główna_GRACZE[I. Nazwisko],tbl_zawodnicy_sumy[[#This Row],[I. Nazwisko]],tbl_główna_GRACZE[stl])</f>
        <v>11</v>
      </c>
      <c r="N36" s="10">
        <f>SUMIF(tbl_główna_GRACZE[I. Nazwisko],tbl_zawodnicy_sumy[[#This Row],[I. Nazwisko]],tbl_główna_GRACZE[to])</f>
        <v>0</v>
      </c>
      <c r="O36" s="10">
        <f>SUMIF(tbl_główna_GRACZE[I. Nazwisko],tbl_zawodnicy_sumy[[#This Row],[I. Nazwisko]],tbl_główna_GRACZE[blk])</f>
        <v>2</v>
      </c>
      <c r="P36" s="10">
        <f>SUMIF(tbl_główna_GRACZE[I. Nazwisko],tbl_zawodnicy_sumy[[#This Row],[I. Nazwisko]],tbl_główna_GRACZE[asst])</f>
        <v>7</v>
      </c>
      <c r="Q36" s="10">
        <f>SUMIF(tbl_główna_GRACZE[I. Nazwisko],tbl_zawodnicy_sumy[[#This Row],[I. Nazwisko]],tbl_główna_GRACZE[min])</f>
        <v>132</v>
      </c>
      <c r="R36" s="10">
        <f>SUMIF(tbl_główna_GRACZE[I. Nazwisko],tbl_zawodnicy_sumy[[#This Row],[I. Nazwisko]],tbl_główna_GRACZE[pts])</f>
        <v>34</v>
      </c>
      <c r="S36" s="11">
        <f t="shared" si="0"/>
        <v>25</v>
      </c>
      <c r="T36" s="4">
        <f t="shared" si="1"/>
        <v>0.33333333333333331</v>
      </c>
      <c r="U36" s="4">
        <f t="shared" si="2"/>
        <v>0.25806451612903225</v>
      </c>
      <c r="V36" s="4">
        <f t="shared" si="9"/>
        <v>0</v>
      </c>
      <c r="W36" s="4">
        <f>IFERROR(tbl_zawodnicy_sumy[[#This Row],[2pm]]/tbl_zawodnicy_sumy[[#This Row],[2pa]],0)</f>
        <v>0.625</v>
      </c>
      <c r="X36" s="4">
        <f t="shared" si="3"/>
        <v>0.4358974358974359</v>
      </c>
      <c r="Y36" s="4">
        <f t="shared" si="4"/>
        <v>0.4358974358974359</v>
      </c>
      <c r="Z36" s="11">
        <f t="shared" si="5"/>
        <v>53</v>
      </c>
      <c r="AA36" s="4">
        <f t="shared" si="6"/>
        <v>0</v>
      </c>
      <c r="AB36" s="4">
        <f t="shared" si="7"/>
        <v>0.79487179487179482</v>
      </c>
      <c r="AC36" s="26">
        <f>IFERROR((SUMIF(tbl_główna_GRACZE[I. Nazwisko],tbl_zawodnicy_sumy[[#This Row],[I. Nazwisko]],tbl_główna_GRACZE[USG%]))/tbl_zawodnicy_sumy[[#This Row],[Played]],0)</f>
        <v>0.11243650873112854</v>
      </c>
      <c r="AD36" s="25">
        <f>IFERROR(tbl_zawodnicy_sumy[[#This Row],[pts]]*(40/tbl_zawodnicy_sumy[[#This Row],[min]]),0)</f>
        <v>10.303030303030303</v>
      </c>
      <c r="AE36" s="30">
        <f>IFERROR(tbl_zawodnicy_sumy[[#This Row],[reb total]]*(40/tbl_zawodnicy_sumy[[#This Row],[min]]),0)</f>
        <v>7.5757575757575761</v>
      </c>
      <c r="AF36" s="30">
        <f>IFERROR(tbl_zawodnicy_sumy[[#This Row],[asst]]*(40/tbl_zawodnicy_sumy[[#This Row],[min]]),0)</f>
        <v>2.1212121212121211</v>
      </c>
      <c r="AG36" s="5">
        <f t="shared" si="8"/>
        <v>0.87179487179487181</v>
      </c>
      <c r="AH36" s="5">
        <f>IFERROR((tbl_zawodnicy_sumy[[#This Row],[stl]]+tbl_zawodnicy_sumy[[#This Row],[blk]])*(40/tbl_zawodnicy_sumy[[#This Row],[min]]),0)</f>
        <v>3.9393939393939394</v>
      </c>
      <c r="AI36" s="4">
        <f>IFERROR((SUMIF(tbl_główna_GRACZE[I. Nazwisko],tbl_zawodnicy_sumy[[#This Row],[I. Nazwisko]],tbl_główna_GRACZE[DI]))/tbl_zawodnicy_sumy[[#This Row],[Played]],0)</f>
        <v>0.16639492753623186</v>
      </c>
      <c r="AJ36" s="25">
        <f>tbl_zawodnicy_sumy[[#This Row],[stl]]+tbl_zawodnicy_sumy[[#This Row],[blk]]+(tbl_zawodnicy_sumy[[#This Row],[dreb]]*0.5)</f>
        <v>24.5</v>
      </c>
      <c r="AK36" s="29">
        <f>IFERROR((tbl_zawodnicy_sumy[[#This Row],[stl]]+tbl_zawodnicy_sumy[[#This Row],[blk]]+0.5*tbl_zawodnicy_sumy[[#This Row],[dreb]])/tbl_zawodnicy_sumy[[#This Row],[min]],0)</f>
        <v>0.18560606060606061</v>
      </c>
      <c r="AL36" s="6">
        <f t="shared" si="10"/>
        <v>37.500000000000007</v>
      </c>
      <c r="AM36" s="6">
        <f>IFERROR(tbl_zawodnicy_sumy[[#This Row],[GmSc]]*(40/tbl_zawodnicy_sumy[[#This Row],[min]]),0)</f>
        <v>11.363636363636367</v>
      </c>
      <c r="AN36" s="6">
        <f>IFERROR(tbl_zawodnicy_sumy[[#This Row],[EVAL]]*(40/tbl_zawodnicy_sumy[[#This Row],[min]]),0)</f>
        <v>16.060606060606062</v>
      </c>
      <c r="AO36" s="11">
        <f>tbl_zawodnicy_sumy[[#This Row],[fgm]]-tbl_zawodnicy_sumy[[#This Row],[3pm]]</f>
        <v>5</v>
      </c>
      <c r="AP36" s="11">
        <f>tbl_zawodnicy_sumy[[#This Row],[fga]]-tbl_zawodnicy_sumy[[#This Row],[3pa]]</f>
        <v>8</v>
      </c>
      <c r="AQ36">
        <f>SUMIF(tbl_zawodnicy_średnie[I. Nazwisko],tbl_zawodnicy_sumy[[#This Row],[I. Nazwisko]],tbl_zawodnicy_średnie[ID])</f>
        <v>26</v>
      </c>
    </row>
    <row r="37" spans="1:43" ht="14.5" customHeight="1" x14ac:dyDescent="0.35">
      <c r="A37" s="58" t="s">
        <v>48</v>
      </c>
      <c r="B37" s="58" t="s">
        <v>185</v>
      </c>
      <c r="C37" s="9">
        <f>SUMIF(tbl_główna_GRACZE[I. Nazwisko],tbl_zawodnicy_sumy[[#This Row],[I. Nazwisko]],tbl_główna_GRACZE[Played?])</f>
        <v>2</v>
      </c>
      <c r="D37" s="10">
        <f>SUMIF(tbl_główna_GRACZE[I. Nazwisko],tbl_zawodnicy_sumy[[#This Row],[I. Nazwisko]],tbl_główna_GRACZE[fgm])</f>
        <v>4</v>
      </c>
      <c r="E37" s="10">
        <f>SUMIF(tbl_główna_GRACZE[I. Nazwisko],tbl_zawodnicy_sumy[[#This Row],[I. Nazwisko]],tbl_główna_GRACZE[fga])</f>
        <v>13</v>
      </c>
      <c r="F37" s="10">
        <f>SUMIF(tbl_główna_GRACZE[I. Nazwisko],tbl_zawodnicy_sumy[[#This Row],[I. Nazwisko]],tbl_główna_GRACZE[3pm])</f>
        <v>3</v>
      </c>
      <c r="G37" s="10">
        <f>SUMIF(tbl_główna_GRACZE[I. Nazwisko],tbl_zawodnicy_sumy[[#This Row],[I. Nazwisko]],tbl_główna_GRACZE[3pa])</f>
        <v>8</v>
      </c>
      <c r="H37" s="10">
        <f>SUMIF(tbl_główna_GRACZE[I. Nazwisko],tbl_zawodnicy_sumy[[#This Row],[I. Nazwisko]],tbl_główna_GRACZE[ftm])</f>
        <v>2</v>
      </c>
      <c r="I37" s="10">
        <f>SUMIF(tbl_główna_GRACZE[I. Nazwisko],tbl_zawodnicy_sumy[[#This Row],[I. Nazwisko]],tbl_główna_GRACZE[fta])</f>
        <v>4</v>
      </c>
      <c r="J37" s="10">
        <f>SUMIF(tbl_główna_GRACZE[I. Nazwisko],tbl_zawodnicy_sumy[[#This Row],[I. Nazwisko]],tbl_główna_GRACZE[oreb])</f>
        <v>0</v>
      </c>
      <c r="K37" s="10">
        <f>SUMIF(tbl_główna_GRACZE[I. Nazwisko],tbl_zawodnicy_sumy[[#This Row],[I. Nazwisko]],tbl_główna_GRACZE[dreb])</f>
        <v>9</v>
      </c>
      <c r="L37" s="10">
        <f>SUMIF(tbl_główna_GRACZE[I. Nazwisko],tbl_zawodnicy_sumy[[#This Row],[I. Nazwisko]],tbl_główna_GRACZE[foul])</f>
        <v>1</v>
      </c>
      <c r="M37" s="10">
        <f>SUMIF(tbl_główna_GRACZE[I. Nazwisko],tbl_zawodnicy_sumy[[#This Row],[I. Nazwisko]],tbl_główna_GRACZE[stl])</f>
        <v>6</v>
      </c>
      <c r="N37" s="10">
        <f>SUMIF(tbl_główna_GRACZE[I. Nazwisko],tbl_zawodnicy_sumy[[#This Row],[I. Nazwisko]],tbl_główna_GRACZE[to])</f>
        <v>0</v>
      </c>
      <c r="O37" s="10">
        <f>SUMIF(tbl_główna_GRACZE[I. Nazwisko],tbl_zawodnicy_sumy[[#This Row],[I. Nazwisko]],tbl_główna_GRACZE[blk])</f>
        <v>1</v>
      </c>
      <c r="P37" s="10">
        <f>SUMIF(tbl_główna_GRACZE[I. Nazwisko],tbl_zawodnicy_sumy[[#This Row],[I. Nazwisko]],tbl_główna_GRACZE[asst])</f>
        <v>4</v>
      </c>
      <c r="Q37" s="10">
        <f>SUMIF(tbl_główna_GRACZE[I. Nazwisko],tbl_zawodnicy_sumy[[#This Row],[I. Nazwisko]],tbl_główna_GRACZE[min])</f>
        <v>42</v>
      </c>
      <c r="R37" s="10">
        <f>SUMIF(tbl_główna_GRACZE[I. Nazwisko],tbl_zawodnicy_sumy[[#This Row],[I. Nazwisko]],tbl_główna_GRACZE[pts])</f>
        <v>13</v>
      </c>
      <c r="S37" s="11">
        <f t="shared" si="0"/>
        <v>9</v>
      </c>
      <c r="T37" s="4">
        <f t="shared" si="1"/>
        <v>0.30769230769230771</v>
      </c>
      <c r="U37" s="4">
        <f t="shared" si="2"/>
        <v>0.375</v>
      </c>
      <c r="V37" s="4">
        <f t="shared" si="9"/>
        <v>0.5</v>
      </c>
      <c r="W37" s="4">
        <f>IFERROR(tbl_zawodnicy_sumy[[#This Row],[2pm]]/tbl_zawodnicy_sumy[[#This Row],[2pa]],0)</f>
        <v>0.2</v>
      </c>
      <c r="X37" s="4">
        <f t="shared" si="3"/>
        <v>0.44037940379403795</v>
      </c>
      <c r="Y37" s="4">
        <f t="shared" si="4"/>
        <v>0.42307692307692307</v>
      </c>
      <c r="Z37" s="11">
        <f t="shared" si="5"/>
        <v>22</v>
      </c>
      <c r="AA37" s="4">
        <f t="shared" si="6"/>
        <v>0.30769230769230771</v>
      </c>
      <c r="AB37" s="4">
        <f t="shared" si="7"/>
        <v>0.61538461538461542</v>
      </c>
      <c r="AC37" s="26">
        <f>IFERROR((SUMIF(tbl_główna_GRACZE[I. Nazwisko],tbl_zawodnicy_sumy[[#This Row],[I. Nazwisko]],tbl_główna_GRACZE[USG%]))/tbl_zawodnicy_sumy[[#This Row],[Played]],0)</f>
        <v>8.8436692506459955E-2</v>
      </c>
      <c r="AD37" s="25">
        <f>IFERROR(tbl_zawodnicy_sumy[[#This Row],[pts]]*(40/tbl_zawodnicy_sumy[[#This Row],[min]]),0)</f>
        <v>12.38095238095238</v>
      </c>
      <c r="AE37" s="30">
        <f>IFERROR(tbl_zawodnicy_sumy[[#This Row],[reb total]]*(40/tbl_zawodnicy_sumy[[#This Row],[min]]),0)</f>
        <v>8.5714285714285712</v>
      </c>
      <c r="AF37" s="30">
        <f>IFERROR(tbl_zawodnicy_sumy[[#This Row],[asst]]*(40/tbl_zawodnicy_sumy[[#This Row],[min]]),0)</f>
        <v>3.8095238095238093</v>
      </c>
      <c r="AG37" s="5">
        <f t="shared" si="8"/>
        <v>1</v>
      </c>
      <c r="AH37" s="5">
        <f>IFERROR((tbl_zawodnicy_sumy[[#This Row],[stl]]+tbl_zawodnicy_sumy[[#This Row],[blk]])*(40/tbl_zawodnicy_sumy[[#This Row],[min]]),0)</f>
        <v>6.6666666666666661</v>
      </c>
      <c r="AI37" s="4">
        <f>IFERROR((SUMIF(tbl_główna_GRACZE[I. Nazwisko],tbl_zawodnicy_sumy[[#This Row],[I. Nazwisko]],tbl_główna_GRACZE[DI]))/tbl_zawodnicy_sumy[[#This Row],[Played]],0)</f>
        <v>0.21527777777777779</v>
      </c>
      <c r="AJ37" s="25">
        <f>tbl_zawodnicy_sumy[[#This Row],[stl]]+tbl_zawodnicy_sumy[[#This Row],[blk]]+(tbl_zawodnicy_sumy[[#This Row],[dreb]]*0.5)</f>
        <v>11.5</v>
      </c>
      <c r="AK37" s="29">
        <f>IFERROR((tbl_zawodnicy_sumy[[#This Row],[stl]]+tbl_zawodnicy_sumy[[#This Row],[blk]]+0.5*tbl_zawodnicy_sumy[[#This Row],[dreb]])/tbl_zawodnicy_sumy[[#This Row],[min]],0)</f>
        <v>0.27380952380952384</v>
      </c>
      <c r="AL37" s="6">
        <f t="shared" si="10"/>
        <v>16.899999999999999</v>
      </c>
      <c r="AM37" s="6">
        <f>IFERROR(tbl_zawodnicy_sumy[[#This Row],[GmSc]]*(40/tbl_zawodnicy_sumy[[#This Row],[min]]),0)</f>
        <v>16.095238095238091</v>
      </c>
      <c r="AN37" s="6">
        <f>IFERROR(tbl_zawodnicy_sumy[[#This Row],[EVAL]]*(40/tbl_zawodnicy_sumy[[#This Row],[min]]),0)</f>
        <v>20.952380952380953</v>
      </c>
      <c r="AO37" s="11">
        <f>tbl_zawodnicy_sumy[[#This Row],[fgm]]-tbl_zawodnicy_sumy[[#This Row],[3pm]]</f>
        <v>1</v>
      </c>
      <c r="AP37" s="11">
        <f>tbl_zawodnicy_sumy[[#This Row],[fga]]-tbl_zawodnicy_sumy[[#This Row],[3pa]]</f>
        <v>5</v>
      </c>
      <c r="AQ37">
        <f>SUMIF(tbl_zawodnicy_średnie[I. Nazwisko],tbl_zawodnicy_sumy[[#This Row],[I. Nazwisko]],tbl_zawodnicy_średnie[ID])</f>
        <v>27</v>
      </c>
    </row>
    <row r="38" spans="1:43" ht="14.5" customHeight="1" x14ac:dyDescent="0.35">
      <c r="A38" s="58" t="s">
        <v>48</v>
      </c>
      <c r="B38" s="58" t="s">
        <v>186</v>
      </c>
      <c r="C38" s="9">
        <f>SUMIF(tbl_główna_GRACZE[I. Nazwisko],tbl_zawodnicy_sumy[[#This Row],[I. Nazwisko]],tbl_główna_GRACZE[Played?])</f>
        <v>4</v>
      </c>
      <c r="D38" s="10">
        <f>SUMIF(tbl_główna_GRACZE[I. Nazwisko],tbl_zawodnicy_sumy[[#This Row],[I. Nazwisko]],tbl_główna_GRACZE[fgm])</f>
        <v>11</v>
      </c>
      <c r="E38" s="10">
        <f>SUMIF(tbl_główna_GRACZE[I. Nazwisko],tbl_zawodnicy_sumy[[#This Row],[I. Nazwisko]],tbl_główna_GRACZE[fga])</f>
        <v>46</v>
      </c>
      <c r="F38" s="10">
        <f>SUMIF(tbl_główna_GRACZE[I. Nazwisko],tbl_zawodnicy_sumy[[#This Row],[I. Nazwisko]],tbl_główna_GRACZE[3pm])</f>
        <v>4</v>
      </c>
      <c r="G38" s="10">
        <f>SUMIF(tbl_główna_GRACZE[I. Nazwisko],tbl_zawodnicy_sumy[[#This Row],[I. Nazwisko]],tbl_główna_GRACZE[3pa])</f>
        <v>12</v>
      </c>
      <c r="H38" s="10">
        <f>SUMIF(tbl_główna_GRACZE[I. Nazwisko],tbl_zawodnicy_sumy[[#This Row],[I. Nazwisko]],tbl_główna_GRACZE[ftm])</f>
        <v>1</v>
      </c>
      <c r="I38" s="10">
        <f>SUMIF(tbl_główna_GRACZE[I. Nazwisko],tbl_zawodnicy_sumy[[#This Row],[I. Nazwisko]],tbl_główna_GRACZE[fta])</f>
        <v>8</v>
      </c>
      <c r="J38" s="10">
        <f>SUMIF(tbl_główna_GRACZE[I. Nazwisko],tbl_zawodnicy_sumy[[#This Row],[I. Nazwisko]],tbl_główna_GRACZE[oreb])</f>
        <v>8</v>
      </c>
      <c r="K38" s="10">
        <f>SUMIF(tbl_główna_GRACZE[I. Nazwisko],tbl_zawodnicy_sumy[[#This Row],[I. Nazwisko]],tbl_główna_GRACZE[dreb])</f>
        <v>13</v>
      </c>
      <c r="L38" s="10">
        <f>SUMIF(tbl_główna_GRACZE[I. Nazwisko],tbl_zawodnicy_sumy[[#This Row],[I. Nazwisko]],tbl_główna_GRACZE[foul])</f>
        <v>2</v>
      </c>
      <c r="M38" s="10">
        <f>SUMIF(tbl_główna_GRACZE[I. Nazwisko],tbl_zawodnicy_sumy[[#This Row],[I. Nazwisko]],tbl_główna_GRACZE[stl])</f>
        <v>9</v>
      </c>
      <c r="N38" s="10">
        <f>SUMIF(tbl_główna_GRACZE[I. Nazwisko],tbl_zawodnicy_sumy[[#This Row],[I. Nazwisko]],tbl_główna_GRACZE[to])</f>
        <v>0</v>
      </c>
      <c r="O38" s="10">
        <f>SUMIF(tbl_główna_GRACZE[I. Nazwisko],tbl_zawodnicy_sumy[[#This Row],[I. Nazwisko]],tbl_główna_GRACZE[blk])</f>
        <v>0</v>
      </c>
      <c r="P38" s="10">
        <f>SUMIF(tbl_główna_GRACZE[I. Nazwisko],tbl_zawodnicy_sumy[[#This Row],[I. Nazwisko]],tbl_główna_GRACZE[asst])</f>
        <v>13</v>
      </c>
      <c r="Q38" s="10">
        <f>SUMIF(tbl_główna_GRACZE[I. Nazwisko],tbl_zawodnicy_sumy[[#This Row],[I. Nazwisko]],tbl_główna_GRACZE[min])</f>
        <v>104</v>
      </c>
      <c r="R38" s="10">
        <f>SUMIF(tbl_główna_GRACZE[I. Nazwisko],tbl_zawodnicy_sumy[[#This Row],[I. Nazwisko]],tbl_główna_GRACZE[pts])</f>
        <v>27</v>
      </c>
      <c r="S38" s="11">
        <f t="shared" si="0"/>
        <v>21</v>
      </c>
      <c r="T38" s="4">
        <f t="shared" si="1"/>
        <v>0.2391304347826087</v>
      </c>
      <c r="U38" s="4">
        <f t="shared" si="2"/>
        <v>0.33333333333333331</v>
      </c>
      <c r="V38" s="4">
        <f t="shared" si="9"/>
        <v>0.125</v>
      </c>
      <c r="W38" s="4">
        <f>IFERROR(tbl_zawodnicy_sumy[[#This Row],[2pm]]/tbl_zawodnicy_sumy[[#This Row],[2pa]],0)</f>
        <v>0.20588235294117646</v>
      </c>
      <c r="X38" s="4">
        <f t="shared" si="3"/>
        <v>0.27261712439418417</v>
      </c>
      <c r="Y38" s="4">
        <f t="shared" si="4"/>
        <v>0.28260869565217389</v>
      </c>
      <c r="Z38" s="11">
        <f t="shared" si="5"/>
        <v>28</v>
      </c>
      <c r="AA38" s="4">
        <f t="shared" si="6"/>
        <v>0.17391304347826086</v>
      </c>
      <c r="AB38" s="4">
        <f t="shared" si="7"/>
        <v>0.2608695652173913</v>
      </c>
      <c r="AC38" s="26">
        <f>IFERROR((SUMIF(tbl_główna_GRACZE[I. Nazwisko],tbl_zawodnicy_sumy[[#This Row],[I. Nazwisko]],tbl_główna_GRACZE[USG%]))/tbl_zawodnicy_sumy[[#This Row],[Played]],0)</f>
        <v>0.14423797878084924</v>
      </c>
      <c r="AD38" s="25">
        <f>IFERROR(tbl_zawodnicy_sumy[[#This Row],[pts]]*(40/tbl_zawodnicy_sumy[[#This Row],[min]]),0)</f>
        <v>10.384615384615385</v>
      </c>
      <c r="AE38" s="30">
        <f>IFERROR(tbl_zawodnicy_sumy[[#This Row],[reb total]]*(40/tbl_zawodnicy_sumy[[#This Row],[min]]),0)</f>
        <v>8.0769230769230766</v>
      </c>
      <c r="AF38" s="30">
        <f>IFERROR(tbl_zawodnicy_sumy[[#This Row],[asst]]*(40/tbl_zawodnicy_sumy[[#This Row],[min]]),0)</f>
        <v>5</v>
      </c>
      <c r="AG38" s="5">
        <f t="shared" si="8"/>
        <v>0.58695652173913049</v>
      </c>
      <c r="AH38" s="5">
        <f>IFERROR((tbl_zawodnicy_sumy[[#This Row],[stl]]+tbl_zawodnicy_sumy[[#This Row],[blk]])*(40/tbl_zawodnicy_sumy[[#This Row],[min]]),0)</f>
        <v>3.4615384615384617</v>
      </c>
      <c r="AI38" s="4">
        <f>IFERROR((SUMIF(tbl_główna_GRACZE[I. Nazwisko],tbl_zawodnicy_sumy[[#This Row],[I. Nazwisko]],tbl_główna_GRACZE[DI]))/tbl_zawodnicy_sumy[[#This Row],[Played]],0)</f>
        <v>0.10910326086956522</v>
      </c>
      <c r="AJ38" s="25">
        <f>tbl_zawodnicy_sumy[[#This Row],[stl]]+tbl_zawodnicy_sumy[[#This Row],[blk]]+(tbl_zawodnicy_sumy[[#This Row],[dreb]]*0.5)</f>
        <v>15.5</v>
      </c>
      <c r="AK38" s="29">
        <f>IFERROR((tbl_zawodnicy_sumy[[#This Row],[stl]]+tbl_zawodnicy_sumy[[#This Row],[blk]]+0.5*tbl_zawodnicy_sumy[[#This Row],[dreb]])/tbl_zawodnicy_sumy[[#This Row],[min]],0)</f>
        <v>0.14903846153846154</v>
      </c>
      <c r="AL38" s="6">
        <f t="shared" si="10"/>
        <v>24</v>
      </c>
      <c r="AM38" s="6">
        <f>IFERROR(tbl_zawodnicy_sumy[[#This Row],[GmSc]]*(40/tbl_zawodnicy_sumy[[#This Row],[min]]),0)</f>
        <v>9.2307692307692317</v>
      </c>
      <c r="AN38" s="6">
        <f>IFERROR(tbl_zawodnicy_sumy[[#This Row],[EVAL]]*(40/tbl_zawodnicy_sumy[[#This Row],[min]]),0)</f>
        <v>10.76923076923077</v>
      </c>
      <c r="AO38" s="11">
        <f>tbl_zawodnicy_sumy[[#This Row],[fgm]]-tbl_zawodnicy_sumy[[#This Row],[3pm]]</f>
        <v>7</v>
      </c>
      <c r="AP38" s="11">
        <f>tbl_zawodnicy_sumy[[#This Row],[fga]]-tbl_zawodnicy_sumy[[#This Row],[3pa]]</f>
        <v>34</v>
      </c>
      <c r="AQ38">
        <f>SUMIF(tbl_zawodnicy_średnie[I. Nazwisko],tbl_zawodnicy_sumy[[#This Row],[I. Nazwisko]],tbl_zawodnicy_średnie[ID])</f>
        <v>28</v>
      </c>
    </row>
    <row r="39" spans="1:43" ht="14.5" customHeight="1" x14ac:dyDescent="0.35">
      <c r="A39" s="58" t="s">
        <v>48</v>
      </c>
      <c r="B39" s="58" t="s">
        <v>187</v>
      </c>
      <c r="C39" s="9">
        <f>SUMIF(tbl_główna_GRACZE[I. Nazwisko],tbl_zawodnicy_sumy[[#This Row],[I. Nazwisko]],tbl_główna_GRACZE[Played?])</f>
        <v>3</v>
      </c>
      <c r="D39" s="10">
        <f>SUMIF(tbl_główna_GRACZE[I. Nazwisko],tbl_zawodnicy_sumy[[#This Row],[I. Nazwisko]],tbl_główna_GRACZE[fgm])</f>
        <v>10</v>
      </c>
      <c r="E39" s="10">
        <f>SUMIF(tbl_główna_GRACZE[I. Nazwisko],tbl_zawodnicy_sumy[[#This Row],[I. Nazwisko]],tbl_główna_GRACZE[fga])</f>
        <v>28</v>
      </c>
      <c r="F39" s="10">
        <f>SUMIF(tbl_główna_GRACZE[I. Nazwisko],tbl_zawodnicy_sumy[[#This Row],[I. Nazwisko]],tbl_główna_GRACZE[3pm])</f>
        <v>1</v>
      </c>
      <c r="G39" s="10">
        <f>SUMIF(tbl_główna_GRACZE[I. Nazwisko],tbl_zawodnicy_sumy[[#This Row],[I. Nazwisko]],tbl_główna_GRACZE[3pa])</f>
        <v>1</v>
      </c>
      <c r="H39" s="10">
        <f>SUMIF(tbl_główna_GRACZE[I. Nazwisko],tbl_zawodnicy_sumy[[#This Row],[I. Nazwisko]],tbl_główna_GRACZE[ftm])</f>
        <v>4</v>
      </c>
      <c r="I39" s="10">
        <f>SUMIF(tbl_główna_GRACZE[I. Nazwisko],tbl_zawodnicy_sumy[[#This Row],[I. Nazwisko]],tbl_główna_GRACZE[fta])</f>
        <v>11</v>
      </c>
      <c r="J39" s="10">
        <f>SUMIF(tbl_główna_GRACZE[I. Nazwisko],tbl_zawodnicy_sumy[[#This Row],[I. Nazwisko]],tbl_główna_GRACZE[oreb])</f>
        <v>11</v>
      </c>
      <c r="K39" s="10">
        <f>SUMIF(tbl_główna_GRACZE[I. Nazwisko],tbl_zawodnicy_sumy[[#This Row],[I. Nazwisko]],tbl_główna_GRACZE[dreb])</f>
        <v>14</v>
      </c>
      <c r="L39" s="10">
        <f>SUMIF(tbl_główna_GRACZE[I. Nazwisko],tbl_zawodnicy_sumy[[#This Row],[I. Nazwisko]],tbl_główna_GRACZE[foul])</f>
        <v>4</v>
      </c>
      <c r="M39" s="10">
        <f>SUMIF(tbl_główna_GRACZE[I. Nazwisko],tbl_zawodnicy_sumy[[#This Row],[I. Nazwisko]],tbl_główna_GRACZE[stl])</f>
        <v>4</v>
      </c>
      <c r="N39" s="10">
        <f>SUMIF(tbl_główna_GRACZE[I. Nazwisko],tbl_zawodnicy_sumy[[#This Row],[I. Nazwisko]],tbl_główna_GRACZE[to])</f>
        <v>0</v>
      </c>
      <c r="O39" s="10">
        <f>SUMIF(tbl_główna_GRACZE[I. Nazwisko],tbl_zawodnicy_sumy[[#This Row],[I. Nazwisko]],tbl_główna_GRACZE[blk])</f>
        <v>1</v>
      </c>
      <c r="P39" s="10">
        <f>SUMIF(tbl_główna_GRACZE[I. Nazwisko],tbl_zawodnicy_sumy[[#This Row],[I. Nazwisko]],tbl_główna_GRACZE[asst])</f>
        <v>5</v>
      </c>
      <c r="Q39" s="10">
        <f>SUMIF(tbl_główna_GRACZE[I. Nazwisko],tbl_zawodnicy_sumy[[#This Row],[I. Nazwisko]],tbl_główna_GRACZE[min])</f>
        <v>75</v>
      </c>
      <c r="R39" s="10">
        <f>SUMIF(tbl_główna_GRACZE[I. Nazwisko],tbl_zawodnicy_sumy[[#This Row],[I. Nazwisko]],tbl_główna_GRACZE[pts])</f>
        <v>25</v>
      </c>
      <c r="S39" s="11">
        <f t="shared" si="0"/>
        <v>25</v>
      </c>
      <c r="T39" s="4">
        <f t="shared" si="1"/>
        <v>0.35714285714285715</v>
      </c>
      <c r="U39" s="4">
        <f t="shared" si="2"/>
        <v>1</v>
      </c>
      <c r="V39" s="4">
        <f t="shared" si="9"/>
        <v>0.36363636363636365</v>
      </c>
      <c r="W39" s="4">
        <f>IFERROR(tbl_zawodnicy_sumy[[#This Row],[2pm]]/tbl_zawodnicy_sumy[[#This Row],[2pa]],0)</f>
        <v>0.33333333333333331</v>
      </c>
      <c r="X39" s="4">
        <f t="shared" si="3"/>
        <v>0.38063337393422653</v>
      </c>
      <c r="Y39" s="4">
        <f t="shared" si="4"/>
        <v>0.375</v>
      </c>
      <c r="Z39" s="11">
        <f t="shared" si="5"/>
        <v>35</v>
      </c>
      <c r="AA39" s="4">
        <f t="shared" si="6"/>
        <v>0.39285714285714285</v>
      </c>
      <c r="AB39" s="4">
        <f t="shared" si="7"/>
        <v>3.5714285714285712E-2</v>
      </c>
      <c r="AC39" s="26">
        <f>IFERROR((SUMIF(tbl_główna_GRACZE[I. Nazwisko],tbl_zawodnicy_sumy[[#This Row],[I. Nazwisko]],tbl_główna_GRACZE[USG%]))/tbl_zawodnicy_sumy[[#This Row],[Played]],0)</f>
        <v>0.13964470547405061</v>
      </c>
      <c r="AD39" s="25">
        <f>IFERROR(tbl_zawodnicy_sumy[[#This Row],[pts]]*(40/tbl_zawodnicy_sumy[[#This Row],[min]]),0)</f>
        <v>13.333333333333334</v>
      </c>
      <c r="AE39" s="30">
        <f>IFERROR(tbl_zawodnicy_sumy[[#This Row],[reb total]]*(40/tbl_zawodnicy_sumy[[#This Row],[min]]),0)</f>
        <v>13.333333333333334</v>
      </c>
      <c r="AF39" s="30">
        <f>IFERROR(tbl_zawodnicy_sumy[[#This Row],[asst]]*(40/tbl_zawodnicy_sumy[[#This Row],[min]]),0)</f>
        <v>2.6666666666666665</v>
      </c>
      <c r="AG39" s="5">
        <f t="shared" si="8"/>
        <v>0.8928571428571429</v>
      </c>
      <c r="AH39" s="5">
        <f>IFERROR((tbl_zawodnicy_sumy[[#This Row],[stl]]+tbl_zawodnicy_sumy[[#This Row],[blk]])*(40/tbl_zawodnicy_sumy[[#This Row],[min]]),0)</f>
        <v>2.6666666666666665</v>
      </c>
      <c r="AI39" s="4">
        <f>IFERROR((SUMIF(tbl_główna_GRACZE[I. Nazwisko],tbl_zawodnicy_sumy[[#This Row],[I. Nazwisko]],tbl_główna_GRACZE[DI]))/tbl_zawodnicy_sumy[[#This Row],[Played]],0)</f>
        <v>8.6855877616747179E-2</v>
      </c>
      <c r="AJ39" s="25">
        <f>tbl_zawodnicy_sumy[[#This Row],[stl]]+tbl_zawodnicy_sumy[[#This Row],[blk]]+(tbl_zawodnicy_sumy[[#This Row],[dreb]]*0.5)</f>
        <v>12</v>
      </c>
      <c r="AK39" s="29">
        <f>IFERROR((tbl_zawodnicy_sumy[[#This Row],[stl]]+tbl_zawodnicy_sumy[[#This Row],[blk]]+0.5*tbl_zawodnicy_sumy[[#This Row],[dreb]])/tbl_zawodnicy_sumy[[#This Row],[min]],0)</f>
        <v>0.16</v>
      </c>
      <c r="AL39" s="6">
        <f t="shared" si="10"/>
        <v>26.7</v>
      </c>
      <c r="AM39" s="6">
        <f>IFERROR(tbl_zawodnicy_sumy[[#This Row],[GmSc]]*(40/tbl_zawodnicy_sumy[[#This Row],[min]]),0)</f>
        <v>14.24</v>
      </c>
      <c r="AN39" s="6">
        <f>IFERROR(tbl_zawodnicy_sumy[[#This Row],[EVAL]]*(40/tbl_zawodnicy_sumy[[#This Row],[min]]),0)</f>
        <v>18.666666666666668</v>
      </c>
      <c r="AO39" s="11">
        <f>tbl_zawodnicy_sumy[[#This Row],[fgm]]-tbl_zawodnicy_sumy[[#This Row],[3pm]]</f>
        <v>9</v>
      </c>
      <c r="AP39" s="11">
        <f>tbl_zawodnicy_sumy[[#This Row],[fga]]-tbl_zawodnicy_sumy[[#This Row],[3pa]]</f>
        <v>27</v>
      </c>
      <c r="AQ39">
        <f>SUMIF(tbl_zawodnicy_średnie[I. Nazwisko],tbl_zawodnicy_sumy[[#This Row],[I. Nazwisko]],tbl_zawodnicy_średnie[ID])</f>
        <v>29</v>
      </c>
    </row>
    <row r="40" spans="1:43" ht="14.5" customHeight="1" x14ac:dyDescent="0.35">
      <c r="A40" s="58" t="s">
        <v>50</v>
      </c>
      <c r="B40" s="58" t="s">
        <v>188</v>
      </c>
      <c r="C40" s="9">
        <f>SUMIF(tbl_główna_GRACZE[I. Nazwisko],tbl_zawodnicy_sumy[[#This Row],[I. Nazwisko]],tbl_główna_GRACZE[Played?])</f>
        <v>4</v>
      </c>
      <c r="D40" s="10">
        <f>SUMIF(tbl_główna_GRACZE[I. Nazwisko],tbl_zawodnicy_sumy[[#This Row],[I. Nazwisko]],tbl_główna_GRACZE[fgm])</f>
        <v>30</v>
      </c>
      <c r="E40" s="10">
        <f>SUMIF(tbl_główna_GRACZE[I. Nazwisko],tbl_zawodnicy_sumy[[#This Row],[I. Nazwisko]],tbl_główna_GRACZE[fga])</f>
        <v>84</v>
      </c>
      <c r="F40" s="10">
        <f>SUMIF(tbl_główna_GRACZE[I. Nazwisko],tbl_zawodnicy_sumy[[#This Row],[I. Nazwisko]],tbl_główna_GRACZE[3pm])</f>
        <v>11</v>
      </c>
      <c r="G40" s="10">
        <f>SUMIF(tbl_główna_GRACZE[I. Nazwisko],tbl_zawodnicy_sumy[[#This Row],[I. Nazwisko]],tbl_główna_GRACZE[3pa])</f>
        <v>47</v>
      </c>
      <c r="H40" s="10">
        <f>SUMIF(tbl_główna_GRACZE[I. Nazwisko],tbl_zawodnicy_sumy[[#This Row],[I. Nazwisko]],tbl_główna_GRACZE[ftm])</f>
        <v>13</v>
      </c>
      <c r="I40" s="10">
        <f>SUMIF(tbl_główna_GRACZE[I. Nazwisko],tbl_zawodnicy_sumy[[#This Row],[I. Nazwisko]],tbl_główna_GRACZE[fta])</f>
        <v>21</v>
      </c>
      <c r="J40" s="10">
        <f>SUMIF(tbl_główna_GRACZE[I. Nazwisko],tbl_zawodnicy_sumy[[#This Row],[I. Nazwisko]],tbl_główna_GRACZE[oreb])</f>
        <v>2</v>
      </c>
      <c r="K40" s="10">
        <f>SUMIF(tbl_główna_GRACZE[I. Nazwisko],tbl_zawodnicy_sumy[[#This Row],[I. Nazwisko]],tbl_główna_GRACZE[dreb])</f>
        <v>35</v>
      </c>
      <c r="L40" s="10">
        <f>SUMIF(tbl_główna_GRACZE[I. Nazwisko],tbl_zawodnicy_sumy[[#This Row],[I. Nazwisko]],tbl_główna_GRACZE[foul])</f>
        <v>13</v>
      </c>
      <c r="M40" s="10">
        <f>SUMIF(tbl_główna_GRACZE[I. Nazwisko],tbl_zawodnicy_sumy[[#This Row],[I. Nazwisko]],tbl_główna_GRACZE[stl])</f>
        <v>7</v>
      </c>
      <c r="N40" s="10">
        <f>SUMIF(tbl_główna_GRACZE[I. Nazwisko],tbl_zawodnicy_sumy[[#This Row],[I. Nazwisko]],tbl_główna_GRACZE[to])</f>
        <v>0</v>
      </c>
      <c r="O40" s="10">
        <f>SUMIF(tbl_główna_GRACZE[I. Nazwisko],tbl_zawodnicy_sumy[[#This Row],[I. Nazwisko]],tbl_główna_GRACZE[blk])</f>
        <v>4</v>
      </c>
      <c r="P40" s="10">
        <f>SUMIF(tbl_główna_GRACZE[I. Nazwisko],tbl_zawodnicy_sumy[[#This Row],[I. Nazwisko]],tbl_główna_GRACZE[asst])</f>
        <v>9</v>
      </c>
      <c r="Q40" s="10">
        <f>SUMIF(tbl_główna_GRACZE[I. Nazwisko],tbl_zawodnicy_sumy[[#This Row],[I. Nazwisko]],tbl_główna_GRACZE[min])</f>
        <v>159</v>
      </c>
      <c r="R40" s="10">
        <f>SUMIF(tbl_główna_GRACZE[I. Nazwisko],tbl_zawodnicy_sumy[[#This Row],[I. Nazwisko]],tbl_główna_GRACZE[pts])</f>
        <v>84</v>
      </c>
      <c r="S40" s="11">
        <f t="shared" si="0"/>
        <v>37</v>
      </c>
      <c r="T40" s="4">
        <f t="shared" si="1"/>
        <v>0.35714285714285715</v>
      </c>
      <c r="U40" s="4">
        <f t="shared" si="2"/>
        <v>0.23404255319148937</v>
      </c>
      <c r="V40" s="4">
        <f t="shared" si="9"/>
        <v>0.61904761904761907</v>
      </c>
      <c r="W40" s="4">
        <f>IFERROR(tbl_zawodnicy_sumy[[#This Row],[2pm]]/tbl_zawodnicy_sumy[[#This Row],[2pa]],0)</f>
        <v>0.51351351351351349</v>
      </c>
      <c r="X40" s="4">
        <f t="shared" si="3"/>
        <v>0.45045045045045046</v>
      </c>
      <c r="Y40" s="4">
        <f t="shared" si="4"/>
        <v>0.42261904761904762</v>
      </c>
      <c r="Z40" s="11">
        <f t="shared" si="5"/>
        <v>79</v>
      </c>
      <c r="AA40" s="4">
        <f t="shared" si="6"/>
        <v>0.25</v>
      </c>
      <c r="AB40" s="4">
        <f t="shared" si="7"/>
        <v>0.55952380952380953</v>
      </c>
      <c r="AC40" s="26">
        <f>IFERROR((SUMIF(tbl_główna_GRACZE[I. Nazwisko],tbl_zawodnicy_sumy[[#This Row],[I. Nazwisko]],tbl_główna_GRACZE[USG%]))/tbl_zawodnicy_sumy[[#This Row],[Played]],0)</f>
        <v>0.33533371820253155</v>
      </c>
      <c r="AD40" s="25">
        <f>IFERROR(tbl_zawodnicy_sumy[[#This Row],[pts]]*(40/tbl_zawodnicy_sumy[[#This Row],[min]]),0)</f>
        <v>21.132075471698112</v>
      </c>
      <c r="AE40" s="30">
        <f>IFERROR(tbl_zawodnicy_sumy[[#This Row],[reb total]]*(40/tbl_zawodnicy_sumy[[#This Row],[min]]),0)</f>
        <v>9.3081761006289305</v>
      </c>
      <c r="AF40" s="30">
        <f>IFERROR(tbl_zawodnicy_sumy[[#This Row],[asst]]*(40/tbl_zawodnicy_sumy[[#This Row],[min]]),0)</f>
        <v>2.2641509433962264</v>
      </c>
      <c r="AG40" s="5">
        <f t="shared" si="8"/>
        <v>1</v>
      </c>
      <c r="AH40" s="5">
        <f>IFERROR((tbl_zawodnicy_sumy[[#This Row],[stl]]+tbl_zawodnicy_sumy[[#This Row],[blk]])*(40/tbl_zawodnicy_sumy[[#This Row],[min]]),0)</f>
        <v>2.7672955974842766</v>
      </c>
      <c r="AI40" s="4">
        <f>IFERROR((SUMIF(tbl_główna_GRACZE[I. Nazwisko],tbl_zawodnicy_sumy[[#This Row],[I. Nazwisko]],tbl_główna_GRACZE[DI]))/tbl_zawodnicy_sumy[[#This Row],[Played]],0)</f>
        <v>0.22007575757575756</v>
      </c>
      <c r="AJ40" s="25">
        <f>tbl_zawodnicy_sumy[[#This Row],[stl]]+tbl_zawodnicy_sumy[[#This Row],[blk]]+(tbl_zawodnicy_sumy[[#This Row],[dreb]]*0.5)</f>
        <v>28.5</v>
      </c>
      <c r="AK40" s="29">
        <f>IFERROR((tbl_zawodnicy_sumy[[#This Row],[stl]]+tbl_zawodnicy_sumy[[#This Row],[blk]]+0.5*tbl_zawodnicy_sumy[[#This Row],[dreb]])/tbl_zawodnicy_sumy[[#This Row],[min]],0)</f>
        <v>0.17924528301886791</v>
      </c>
      <c r="AL40" s="6">
        <f t="shared" si="10"/>
        <v>61.999999999999993</v>
      </c>
      <c r="AM40" s="6">
        <f>IFERROR(tbl_zawodnicy_sumy[[#This Row],[GmSc]]*(40/tbl_zawodnicy_sumy[[#This Row],[min]]),0)</f>
        <v>15.597484276729558</v>
      </c>
      <c r="AN40" s="6">
        <f>IFERROR(tbl_zawodnicy_sumy[[#This Row],[EVAL]]*(40/tbl_zawodnicy_sumy[[#This Row],[min]]),0)</f>
        <v>19.874213836477988</v>
      </c>
      <c r="AO40" s="11">
        <f>tbl_zawodnicy_sumy[[#This Row],[fgm]]-tbl_zawodnicy_sumy[[#This Row],[3pm]]</f>
        <v>19</v>
      </c>
      <c r="AP40" s="11">
        <f>tbl_zawodnicy_sumy[[#This Row],[fga]]-tbl_zawodnicy_sumy[[#This Row],[3pa]]</f>
        <v>37</v>
      </c>
      <c r="AQ40">
        <f>SUMIF(tbl_zawodnicy_średnie[I. Nazwisko],tbl_zawodnicy_sumy[[#This Row],[I. Nazwisko]],tbl_zawodnicy_średnie[ID])</f>
        <v>30</v>
      </c>
    </row>
    <row r="41" spans="1:43" ht="14.5" customHeight="1" x14ac:dyDescent="0.35">
      <c r="A41" s="58" t="s">
        <v>50</v>
      </c>
      <c r="B41" s="58" t="s">
        <v>189</v>
      </c>
      <c r="C41" s="9">
        <f>SUMIF(tbl_główna_GRACZE[I. Nazwisko],tbl_zawodnicy_sumy[[#This Row],[I. Nazwisko]],tbl_główna_GRACZE[Played?])</f>
        <v>3</v>
      </c>
      <c r="D41" s="10">
        <f>SUMIF(tbl_główna_GRACZE[I. Nazwisko],tbl_zawodnicy_sumy[[#This Row],[I. Nazwisko]],tbl_główna_GRACZE[fgm])</f>
        <v>5</v>
      </c>
      <c r="E41" s="10">
        <f>SUMIF(tbl_główna_GRACZE[I. Nazwisko],tbl_zawodnicy_sumy[[#This Row],[I. Nazwisko]],tbl_główna_GRACZE[fga])</f>
        <v>24</v>
      </c>
      <c r="F41" s="10">
        <f>SUMIF(tbl_główna_GRACZE[I. Nazwisko],tbl_zawodnicy_sumy[[#This Row],[I. Nazwisko]],tbl_główna_GRACZE[3pm])</f>
        <v>2</v>
      </c>
      <c r="G41" s="10">
        <f>SUMIF(tbl_główna_GRACZE[I. Nazwisko],tbl_zawodnicy_sumy[[#This Row],[I. Nazwisko]],tbl_główna_GRACZE[3pa])</f>
        <v>9</v>
      </c>
      <c r="H41" s="10">
        <f>SUMIF(tbl_główna_GRACZE[I. Nazwisko],tbl_zawodnicy_sumy[[#This Row],[I. Nazwisko]],tbl_główna_GRACZE[ftm])</f>
        <v>1</v>
      </c>
      <c r="I41" s="10">
        <f>SUMIF(tbl_główna_GRACZE[I. Nazwisko],tbl_zawodnicy_sumy[[#This Row],[I. Nazwisko]],tbl_główna_GRACZE[fta])</f>
        <v>4</v>
      </c>
      <c r="J41" s="10">
        <f>SUMIF(tbl_główna_GRACZE[I. Nazwisko],tbl_zawodnicy_sumy[[#This Row],[I. Nazwisko]],tbl_główna_GRACZE[oreb])</f>
        <v>4</v>
      </c>
      <c r="K41" s="10">
        <f>SUMIF(tbl_główna_GRACZE[I. Nazwisko],tbl_zawodnicy_sumy[[#This Row],[I. Nazwisko]],tbl_główna_GRACZE[dreb])</f>
        <v>5</v>
      </c>
      <c r="L41" s="10">
        <f>SUMIF(tbl_główna_GRACZE[I. Nazwisko],tbl_zawodnicy_sumy[[#This Row],[I. Nazwisko]],tbl_główna_GRACZE[foul])</f>
        <v>2</v>
      </c>
      <c r="M41" s="10">
        <f>SUMIF(tbl_główna_GRACZE[I. Nazwisko],tbl_zawodnicy_sumy[[#This Row],[I. Nazwisko]],tbl_główna_GRACZE[stl])</f>
        <v>2</v>
      </c>
      <c r="N41" s="10">
        <f>SUMIF(tbl_główna_GRACZE[I. Nazwisko],tbl_zawodnicy_sumy[[#This Row],[I. Nazwisko]],tbl_główna_GRACZE[to])</f>
        <v>0</v>
      </c>
      <c r="O41" s="10">
        <f>SUMIF(tbl_główna_GRACZE[I. Nazwisko],tbl_zawodnicy_sumy[[#This Row],[I. Nazwisko]],tbl_główna_GRACZE[blk])</f>
        <v>1</v>
      </c>
      <c r="P41" s="10">
        <f>SUMIF(tbl_główna_GRACZE[I. Nazwisko],tbl_zawodnicy_sumy[[#This Row],[I. Nazwisko]],tbl_główna_GRACZE[asst])</f>
        <v>0</v>
      </c>
      <c r="Q41" s="10">
        <f>SUMIF(tbl_główna_GRACZE[I. Nazwisko],tbl_zawodnicy_sumy[[#This Row],[I. Nazwisko]],tbl_główna_GRACZE[min])</f>
        <v>61</v>
      </c>
      <c r="R41" s="10">
        <f>SUMIF(tbl_główna_GRACZE[I. Nazwisko],tbl_zawodnicy_sumy[[#This Row],[I. Nazwisko]],tbl_główna_GRACZE[pts])</f>
        <v>12</v>
      </c>
      <c r="S41" s="11">
        <f t="shared" si="0"/>
        <v>9</v>
      </c>
      <c r="T41" s="4">
        <f t="shared" si="1"/>
        <v>0.20833333333333334</v>
      </c>
      <c r="U41" s="4">
        <f t="shared" si="2"/>
        <v>0.22222222222222221</v>
      </c>
      <c r="V41" s="4">
        <f t="shared" si="9"/>
        <v>0.25</v>
      </c>
      <c r="W41" s="4">
        <f>IFERROR(tbl_zawodnicy_sumy[[#This Row],[2pm]]/tbl_zawodnicy_sumy[[#This Row],[2pa]],0)</f>
        <v>0.2</v>
      </c>
      <c r="X41" s="4">
        <f t="shared" si="3"/>
        <v>0.23291925465838509</v>
      </c>
      <c r="Y41" s="4">
        <f t="shared" si="4"/>
        <v>0.25</v>
      </c>
      <c r="Z41" s="11">
        <f t="shared" si="5"/>
        <v>2</v>
      </c>
      <c r="AA41" s="4">
        <f t="shared" si="6"/>
        <v>0.16666666666666666</v>
      </c>
      <c r="AB41" s="4">
        <f t="shared" si="7"/>
        <v>0.375</v>
      </c>
      <c r="AC41" s="26">
        <f>IFERROR((SUMIF(tbl_główna_GRACZE[I. Nazwisko],tbl_zawodnicy_sumy[[#This Row],[I. Nazwisko]],tbl_główna_GRACZE[USG%]))/tbl_zawodnicy_sumy[[#This Row],[Played]],0)</f>
        <v>0.12281881407325861</v>
      </c>
      <c r="AD41" s="25">
        <f>IFERROR(tbl_zawodnicy_sumy[[#This Row],[pts]]*(40/tbl_zawodnicy_sumy[[#This Row],[min]]),0)</f>
        <v>7.8688524590163933</v>
      </c>
      <c r="AE41" s="30">
        <f>IFERROR(tbl_zawodnicy_sumy[[#This Row],[reb total]]*(40/tbl_zawodnicy_sumy[[#This Row],[min]]),0)</f>
        <v>5.9016393442622945</v>
      </c>
      <c r="AF41" s="30">
        <f>IFERROR(tbl_zawodnicy_sumy[[#This Row],[asst]]*(40/tbl_zawodnicy_sumy[[#This Row],[min]]),0)</f>
        <v>0</v>
      </c>
      <c r="AG41" s="5">
        <f t="shared" si="8"/>
        <v>0.5</v>
      </c>
      <c r="AH41" s="5">
        <f>IFERROR((tbl_zawodnicy_sumy[[#This Row],[stl]]+tbl_zawodnicy_sumy[[#This Row],[blk]])*(40/tbl_zawodnicy_sumy[[#This Row],[min]]),0)</f>
        <v>1.9672131147540983</v>
      </c>
      <c r="AI41" s="4">
        <f>IFERROR((SUMIF(tbl_główna_GRACZE[I. Nazwisko],tbl_zawodnicy_sumy[[#This Row],[I. Nazwisko]],tbl_główna_GRACZE[DI]))/tbl_zawodnicy_sumy[[#This Row],[Played]],0)</f>
        <v>8.8888888888888892E-2</v>
      </c>
      <c r="AJ41" s="25">
        <f>tbl_zawodnicy_sumy[[#This Row],[stl]]+tbl_zawodnicy_sumy[[#This Row],[blk]]+(tbl_zawodnicy_sumy[[#This Row],[dreb]]*0.5)</f>
        <v>5.5</v>
      </c>
      <c r="AK41" s="29">
        <f>IFERROR((tbl_zawodnicy_sumy[[#This Row],[stl]]+tbl_zawodnicy_sumy[[#This Row],[blk]]+0.5*tbl_zawodnicy_sumy[[#This Row],[dreb]])/tbl_zawodnicy_sumy[[#This Row],[min]],0)</f>
        <v>9.0163934426229511E-2</v>
      </c>
      <c r="AL41" s="6">
        <f t="shared" si="10"/>
        <v>3.0000000000000027</v>
      </c>
      <c r="AM41" s="6">
        <f>IFERROR(tbl_zawodnicy_sumy[[#This Row],[GmSc]]*(40/tbl_zawodnicy_sumy[[#This Row],[min]]),0)</f>
        <v>1.9672131147540999</v>
      </c>
      <c r="AN41" s="6">
        <f>IFERROR(tbl_zawodnicy_sumy[[#This Row],[EVAL]]*(40/tbl_zawodnicy_sumy[[#This Row],[min]]),0)</f>
        <v>1.3114754098360655</v>
      </c>
      <c r="AO41" s="11">
        <f>tbl_zawodnicy_sumy[[#This Row],[fgm]]-tbl_zawodnicy_sumy[[#This Row],[3pm]]</f>
        <v>3</v>
      </c>
      <c r="AP41" s="11">
        <f>tbl_zawodnicy_sumy[[#This Row],[fga]]-tbl_zawodnicy_sumy[[#This Row],[3pa]]</f>
        <v>15</v>
      </c>
      <c r="AQ41">
        <f>SUMIF(tbl_zawodnicy_średnie[I. Nazwisko],tbl_zawodnicy_sumy[[#This Row],[I. Nazwisko]],tbl_zawodnicy_średnie[ID])</f>
        <v>31</v>
      </c>
    </row>
    <row r="42" spans="1:43" ht="14.5" customHeight="1" x14ac:dyDescent="0.35">
      <c r="A42" s="58" t="s">
        <v>50</v>
      </c>
      <c r="B42" s="58" t="s">
        <v>190</v>
      </c>
      <c r="C42" s="9">
        <f>SUMIF(tbl_główna_GRACZE[I. Nazwisko],tbl_zawodnicy_sumy[[#This Row],[I. Nazwisko]],tbl_główna_GRACZE[Played?])</f>
        <v>4</v>
      </c>
      <c r="D42" s="10">
        <f>SUMIF(tbl_główna_GRACZE[I. Nazwisko],tbl_zawodnicy_sumy[[#This Row],[I. Nazwisko]],tbl_główna_GRACZE[fgm])</f>
        <v>8</v>
      </c>
      <c r="E42" s="10">
        <f>SUMIF(tbl_główna_GRACZE[I. Nazwisko],tbl_zawodnicy_sumy[[#This Row],[I. Nazwisko]],tbl_główna_GRACZE[fga])</f>
        <v>40</v>
      </c>
      <c r="F42" s="10">
        <f>SUMIF(tbl_główna_GRACZE[I. Nazwisko],tbl_zawodnicy_sumy[[#This Row],[I. Nazwisko]],tbl_główna_GRACZE[3pm])</f>
        <v>4</v>
      </c>
      <c r="G42" s="10">
        <f>SUMIF(tbl_główna_GRACZE[I. Nazwisko],tbl_zawodnicy_sumy[[#This Row],[I. Nazwisko]],tbl_główna_GRACZE[3pa])</f>
        <v>27</v>
      </c>
      <c r="H42" s="10">
        <f>SUMIF(tbl_główna_GRACZE[I. Nazwisko],tbl_zawodnicy_sumy[[#This Row],[I. Nazwisko]],tbl_główna_GRACZE[ftm])</f>
        <v>2</v>
      </c>
      <c r="I42" s="10">
        <f>SUMIF(tbl_główna_GRACZE[I. Nazwisko],tbl_zawodnicy_sumy[[#This Row],[I. Nazwisko]],tbl_główna_GRACZE[fta])</f>
        <v>3</v>
      </c>
      <c r="J42" s="10">
        <f>SUMIF(tbl_główna_GRACZE[I. Nazwisko],tbl_zawodnicy_sumy[[#This Row],[I. Nazwisko]],tbl_główna_GRACZE[oreb])</f>
        <v>3</v>
      </c>
      <c r="K42" s="10">
        <f>SUMIF(tbl_główna_GRACZE[I. Nazwisko],tbl_zawodnicy_sumy[[#This Row],[I. Nazwisko]],tbl_główna_GRACZE[dreb])</f>
        <v>19</v>
      </c>
      <c r="L42" s="10">
        <f>SUMIF(tbl_główna_GRACZE[I. Nazwisko],tbl_zawodnicy_sumy[[#This Row],[I. Nazwisko]],tbl_główna_GRACZE[foul])</f>
        <v>3</v>
      </c>
      <c r="M42" s="10">
        <f>SUMIF(tbl_główna_GRACZE[I. Nazwisko],tbl_zawodnicy_sumy[[#This Row],[I. Nazwisko]],tbl_główna_GRACZE[stl])</f>
        <v>8</v>
      </c>
      <c r="N42" s="10">
        <f>SUMIF(tbl_główna_GRACZE[I. Nazwisko],tbl_zawodnicy_sumy[[#This Row],[I. Nazwisko]],tbl_główna_GRACZE[to])</f>
        <v>0</v>
      </c>
      <c r="O42" s="10">
        <f>SUMIF(tbl_główna_GRACZE[I. Nazwisko],tbl_zawodnicy_sumy[[#This Row],[I. Nazwisko]],tbl_główna_GRACZE[blk])</f>
        <v>3</v>
      </c>
      <c r="P42" s="10">
        <f>SUMIF(tbl_główna_GRACZE[I. Nazwisko],tbl_zawodnicy_sumy[[#This Row],[I. Nazwisko]],tbl_główna_GRACZE[asst])</f>
        <v>17</v>
      </c>
      <c r="Q42" s="10">
        <f>SUMIF(tbl_główna_GRACZE[I. Nazwisko],tbl_zawodnicy_sumy[[#This Row],[I. Nazwisko]],tbl_główna_GRACZE[min])</f>
        <v>120</v>
      </c>
      <c r="R42" s="10">
        <f>SUMIF(tbl_główna_GRACZE[I. Nazwisko],tbl_zawodnicy_sumy[[#This Row],[I. Nazwisko]],tbl_główna_GRACZE[pts])</f>
        <v>23</v>
      </c>
      <c r="S42" s="11">
        <f t="shared" si="0"/>
        <v>22</v>
      </c>
      <c r="T42" s="4">
        <f t="shared" si="1"/>
        <v>0.2</v>
      </c>
      <c r="U42" s="4">
        <f t="shared" si="2"/>
        <v>0.14814814814814814</v>
      </c>
      <c r="V42" s="4">
        <f t="shared" si="9"/>
        <v>0.66666666666666663</v>
      </c>
      <c r="W42" s="4">
        <f>IFERROR(tbl_zawodnicy_sumy[[#This Row],[2pm]]/tbl_zawodnicy_sumy[[#This Row],[2pa]],0)</f>
        <v>0.30769230769230771</v>
      </c>
      <c r="X42" s="4">
        <f t="shared" si="3"/>
        <v>0.27831558567279768</v>
      </c>
      <c r="Y42" s="4">
        <f t="shared" si="4"/>
        <v>0.25</v>
      </c>
      <c r="Z42" s="11">
        <f t="shared" si="5"/>
        <v>40</v>
      </c>
      <c r="AA42" s="4">
        <f t="shared" si="6"/>
        <v>7.4999999999999997E-2</v>
      </c>
      <c r="AB42" s="4">
        <f t="shared" si="7"/>
        <v>0.67500000000000004</v>
      </c>
      <c r="AC42" s="26">
        <f>IFERROR((SUMIF(tbl_główna_GRACZE[I. Nazwisko],tbl_zawodnicy_sumy[[#This Row],[I. Nazwisko]],tbl_główna_GRACZE[USG%]))/tbl_zawodnicy_sumy[[#This Row],[Played]],0)</f>
        <v>0.14634582012735137</v>
      </c>
      <c r="AD42" s="25">
        <f>IFERROR(tbl_zawodnicy_sumy[[#This Row],[pts]]*(40/tbl_zawodnicy_sumy[[#This Row],[min]]),0)</f>
        <v>7.6666666666666661</v>
      </c>
      <c r="AE42" s="30">
        <f>IFERROR(tbl_zawodnicy_sumy[[#This Row],[reb total]]*(40/tbl_zawodnicy_sumy[[#This Row],[min]]),0)</f>
        <v>7.333333333333333</v>
      </c>
      <c r="AF42" s="30">
        <f>IFERROR(tbl_zawodnicy_sumy[[#This Row],[asst]]*(40/tbl_zawodnicy_sumy[[#This Row],[min]]),0)</f>
        <v>5.6666666666666661</v>
      </c>
      <c r="AG42" s="5">
        <f t="shared" si="8"/>
        <v>0.57499999999999996</v>
      </c>
      <c r="AH42" s="5">
        <f>IFERROR((tbl_zawodnicy_sumy[[#This Row],[stl]]+tbl_zawodnicy_sumy[[#This Row],[blk]])*(40/tbl_zawodnicy_sumy[[#This Row],[min]]),0)</f>
        <v>3.6666666666666665</v>
      </c>
      <c r="AI42" s="4">
        <f>IFERROR((SUMIF(tbl_główna_GRACZE[I. Nazwisko],tbl_zawodnicy_sumy[[#This Row],[I. Nazwisko]],tbl_główna_GRACZE[DI]))/tbl_zawodnicy_sumy[[#This Row],[Played]],0)</f>
        <v>0.24109848484848484</v>
      </c>
      <c r="AJ42" s="25">
        <f>tbl_zawodnicy_sumy[[#This Row],[stl]]+tbl_zawodnicy_sumy[[#This Row],[blk]]+(tbl_zawodnicy_sumy[[#This Row],[dreb]]*0.5)</f>
        <v>20.5</v>
      </c>
      <c r="AK42" s="29">
        <f>IFERROR((tbl_zawodnicy_sumy[[#This Row],[stl]]+tbl_zawodnicy_sumy[[#This Row],[blk]]+0.5*tbl_zawodnicy_sumy[[#This Row],[dreb]])/tbl_zawodnicy_sumy[[#This Row],[min]],0)</f>
        <v>0.17083333333333334</v>
      </c>
      <c r="AL42" s="6">
        <f t="shared" si="10"/>
        <v>27.6</v>
      </c>
      <c r="AM42" s="6">
        <f>IFERROR(tbl_zawodnicy_sumy[[#This Row],[GmSc]]*(40/tbl_zawodnicy_sumy[[#This Row],[min]]),0)</f>
        <v>9.1999999999999993</v>
      </c>
      <c r="AN42" s="6">
        <f>IFERROR(tbl_zawodnicy_sumy[[#This Row],[EVAL]]*(40/tbl_zawodnicy_sumy[[#This Row],[min]]),0)</f>
        <v>13.333333333333332</v>
      </c>
      <c r="AO42" s="11">
        <f>tbl_zawodnicy_sumy[[#This Row],[fgm]]-tbl_zawodnicy_sumy[[#This Row],[3pm]]</f>
        <v>4</v>
      </c>
      <c r="AP42" s="11">
        <f>tbl_zawodnicy_sumy[[#This Row],[fga]]-tbl_zawodnicy_sumy[[#This Row],[3pa]]</f>
        <v>13</v>
      </c>
      <c r="AQ42">
        <f>SUMIF(tbl_zawodnicy_średnie[I. Nazwisko],tbl_zawodnicy_sumy[[#This Row],[I. Nazwisko]],tbl_zawodnicy_średnie[ID])</f>
        <v>32</v>
      </c>
    </row>
    <row r="43" spans="1:43" ht="14.5" customHeight="1" x14ac:dyDescent="0.35">
      <c r="A43" s="58" t="s">
        <v>50</v>
      </c>
      <c r="B43" s="58" t="s">
        <v>191</v>
      </c>
      <c r="C43" s="9">
        <f>SUMIF(tbl_główna_GRACZE[I. Nazwisko],tbl_zawodnicy_sumy[[#This Row],[I. Nazwisko]],tbl_główna_GRACZE[Played?])</f>
        <v>4</v>
      </c>
      <c r="D43" s="10">
        <f>SUMIF(tbl_główna_GRACZE[I. Nazwisko],tbl_zawodnicy_sumy[[#This Row],[I. Nazwisko]],tbl_główna_GRACZE[fgm])</f>
        <v>6</v>
      </c>
      <c r="E43" s="10">
        <f>SUMIF(tbl_główna_GRACZE[I. Nazwisko],tbl_zawodnicy_sumy[[#This Row],[I. Nazwisko]],tbl_główna_GRACZE[fga])</f>
        <v>27</v>
      </c>
      <c r="F43" s="10">
        <f>SUMIF(tbl_główna_GRACZE[I. Nazwisko],tbl_zawodnicy_sumy[[#This Row],[I. Nazwisko]],tbl_główna_GRACZE[3pm])</f>
        <v>0</v>
      </c>
      <c r="G43" s="10">
        <f>SUMIF(tbl_główna_GRACZE[I. Nazwisko],tbl_zawodnicy_sumy[[#This Row],[I. Nazwisko]],tbl_główna_GRACZE[3pa])</f>
        <v>1</v>
      </c>
      <c r="H43" s="10">
        <f>SUMIF(tbl_główna_GRACZE[I. Nazwisko],tbl_zawodnicy_sumy[[#This Row],[I. Nazwisko]],tbl_główna_GRACZE[ftm])</f>
        <v>8</v>
      </c>
      <c r="I43" s="10">
        <f>SUMIF(tbl_główna_GRACZE[I. Nazwisko],tbl_zawodnicy_sumy[[#This Row],[I. Nazwisko]],tbl_główna_GRACZE[fta])</f>
        <v>10</v>
      </c>
      <c r="J43" s="10">
        <f>SUMIF(tbl_główna_GRACZE[I. Nazwisko],tbl_zawodnicy_sumy[[#This Row],[I. Nazwisko]],tbl_główna_GRACZE[oreb])</f>
        <v>10</v>
      </c>
      <c r="K43" s="10">
        <f>SUMIF(tbl_główna_GRACZE[I. Nazwisko],tbl_zawodnicy_sumy[[#This Row],[I. Nazwisko]],tbl_główna_GRACZE[dreb])</f>
        <v>19</v>
      </c>
      <c r="L43" s="10">
        <f>SUMIF(tbl_główna_GRACZE[I. Nazwisko],tbl_zawodnicy_sumy[[#This Row],[I. Nazwisko]],tbl_główna_GRACZE[foul])</f>
        <v>1</v>
      </c>
      <c r="M43" s="10">
        <f>SUMIF(tbl_główna_GRACZE[I. Nazwisko],tbl_zawodnicy_sumy[[#This Row],[I. Nazwisko]],tbl_główna_GRACZE[stl])</f>
        <v>3</v>
      </c>
      <c r="N43" s="10">
        <f>SUMIF(tbl_główna_GRACZE[I. Nazwisko],tbl_zawodnicy_sumy[[#This Row],[I. Nazwisko]],tbl_główna_GRACZE[to])</f>
        <v>0</v>
      </c>
      <c r="O43" s="10">
        <f>SUMIF(tbl_główna_GRACZE[I. Nazwisko],tbl_zawodnicy_sumy[[#This Row],[I. Nazwisko]],tbl_główna_GRACZE[blk])</f>
        <v>1</v>
      </c>
      <c r="P43" s="10">
        <f>SUMIF(tbl_główna_GRACZE[I. Nazwisko],tbl_zawodnicy_sumy[[#This Row],[I. Nazwisko]],tbl_główna_GRACZE[asst])</f>
        <v>4</v>
      </c>
      <c r="Q43" s="10">
        <f>SUMIF(tbl_główna_GRACZE[I. Nazwisko],tbl_zawodnicy_sumy[[#This Row],[I. Nazwisko]],tbl_główna_GRACZE[min])</f>
        <v>117</v>
      </c>
      <c r="R43" s="10">
        <f>SUMIF(tbl_główna_GRACZE[I. Nazwisko],tbl_zawodnicy_sumy[[#This Row],[I. Nazwisko]],tbl_główna_GRACZE[pts])</f>
        <v>20</v>
      </c>
      <c r="S43" s="11">
        <f t="shared" ref="S43:S74" si="11">J43+K43</f>
        <v>29</v>
      </c>
      <c r="T43" s="4">
        <f t="shared" ref="T43:T74" si="12">IFERROR(D43/E43,0)</f>
        <v>0.22222222222222221</v>
      </c>
      <c r="U43" s="4">
        <f t="shared" ref="U43:U74" si="13">IFERROR(F43/G43,0)</f>
        <v>0</v>
      </c>
      <c r="V43" s="4">
        <f t="shared" ref="V43:V74" si="14">IFERROR(H43/I43,0)</f>
        <v>0.8</v>
      </c>
      <c r="W43" s="4">
        <f>IFERROR(tbl_zawodnicy_sumy[[#This Row],[2pm]]/tbl_zawodnicy_sumy[[#This Row],[2pa]],0)</f>
        <v>0.23076923076923078</v>
      </c>
      <c r="X43" s="4">
        <f t="shared" ref="X43:X74" si="15">IFERROR(R43/(2*(E43+0.44*I43)),0)</f>
        <v>0.31847133757961787</v>
      </c>
      <c r="Y43" s="4">
        <f t="shared" ref="Y43:Y74" si="16">IFERROR((D43+0.5*F43)/E43,0)</f>
        <v>0.22222222222222221</v>
      </c>
      <c r="Z43" s="11">
        <f t="shared" ref="Z43:Z74" si="17">M43+O43+P43+R43+S43-(E43-D43)-(I43-H43)</f>
        <v>34</v>
      </c>
      <c r="AA43" s="4">
        <f t="shared" ref="AA43:AA74" si="18">IFERROR(I43/E43,0)</f>
        <v>0.37037037037037035</v>
      </c>
      <c r="AB43" s="4">
        <f t="shared" ref="AB43:AB74" si="19">IFERROR(G43/E43,0)</f>
        <v>3.7037037037037035E-2</v>
      </c>
      <c r="AC43" s="26">
        <f>IFERROR((SUMIF(tbl_główna_GRACZE[I. Nazwisko],tbl_zawodnicy_sumy[[#This Row],[I. Nazwisko]],tbl_główna_GRACZE[USG%]))/tbl_zawodnicy_sumy[[#This Row],[Played]],0)</f>
        <v>0.11248870694733321</v>
      </c>
      <c r="AD43" s="25">
        <f>IFERROR(tbl_zawodnicy_sumy[[#This Row],[pts]]*(40/tbl_zawodnicy_sumy[[#This Row],[min]]),0)</f>
        <v>6.8376068376068382</v>
      </c>
      <c r="AE43" s="30">
        <f>IFERROR(tbl_zawodnicy_sumy[[#This Row],[reb total]]*(40/tbl_zawodnicy_sumy[[#This Row],[min]]),0)</f>
        <v>9.9145299145299148</v>
      </c>
      <c r="AF43" s="30">
        <f>IFERROR(tbl_zawodnicy_sumy[[#This Row],[asst]]*(40/tbl_zawodnicy_sumy[[#This Row],[min]]),0)</f>
        <v>1.3675213675213675</v>
      </c>
      <c r="AG43" s="5">
        <f t="shared" ref="AG43:AG74" si="20">IFERROR(R43/E43,0)</f>
        <v>0.7407407407407407</v>
      </c>
      <c r="AH43" s="5">
        <f>IFERROR((tbl_zawodnicy_sumy[[#This Row],[stl]]+tbl_zawodnicy_sumy[[#This Row],[blk]])*(40/tbl_zawodnicy_sumy[[#This Row],[min]]),0)</f>
        <v>1.3675213675213675</v>
      </c>
      <c r="AI43" s="4">
        <f>IFERROR((SUMIF(tbl_główna_GRACZE[I. Nazwisko],tbl_zawodnicy_sumy[[#This Row],[I. Nazwisko]],tbl_główna_GRACZE[DI]))/tbl_zawodnicy_sumy[[#This Row],[Played]],0)</f>
        <v>9.5454545454545459E-2</v>
      </c>
      <c r="AJ43" s="25">
        <f>tbl_zawodnicy_sumy[[#This Row],[stl]]+tbl_zawodnicy_sumy[[#This Row],[blk]]+(tbl_zawodnicy_sumy[[#This Row],[dreb]]*0.5)</f>
        <v>13.5</v>
      </c>
      <c r="AK43" s="29">
        <f>IFERROR((tbl_zawodnicy_sumy[[#This Row],[stl]]+tbl_zawodnicy_sumy[[#This Row],[blk]]+0.5*tbl_zawodnicy_sumy[[#This Row],[dreb]])/tbl_zawodnicy_sumy[[#This Row],[min]],0)</f>
        <v>0.11538461538461539</v>
      </c>
      <c r="AL43" s="6">
        <f t="shared" ref="AL43:AL74" si="21">R43+0.4*D43-0.7*E43-0.4*(I43-H43)+0.7*J43+0.3*K43+M43+0.7*P43+0.7*O43</f>
        <v>21.9</v>
      </c>
      <c r="AM43" s="6">
        <f>IFERROR(tbl_zawodnicy_sumy[[#This Row],[GmSc]]*(40/tbl_zawodnicy_sumy[[#This Row],[min]]),0)</f>
        <v>7.4871794871794872</v>
      </c>
      <c r="AN43" s="6">
        <f>IFERROR(tbl_zawodnicy_sumy[[#This Row],[EVAL]]*(40/tbl_zawodnicy_sumy[[#This Row],[min]]),0)</f>
        <v>11.623931623931623</v>
      </c>
      <c r="AO43" s="11">
        <f>tbl_zawodnicy_sumy[[#This Row],[fgm]]-tbl_zawodnicy_sumy[[#This Row],[3pm]]</f>
        <v>6</v>
      </c>
      <c r="AP43" s="11">
        <f>tbl_zawodnicy_sumy[[#This Row],[fga]]-tbl_zawodnicy_sumy[[#This Row],[3pa]]</f>
        <v>26</v>
      </c>
      <c r="AQ43">
        <f>SUMIF(tbl_zawodnicy_średnie[I. Nazwisko],tbl_zawodnicy_sumy[[#This Row],[I. Nazwisko]],tbl_zawodnicy_średnie[ID])</f>
        <v>33</v>
      </c>
    </row>
    <row r="44" spans="1:43" ht="14.5" customHeight="1" x14ac:dyDescent="0.35">
      <c r="A44" s="58" t="s">
        <v>50</v>
      </c>
      <c r="B44" s="58" t="s">
        <v>192</v>
      </c>
      <c r="C44" s="9">
        <f>SUMIF(tbl_główna_GRACZE[I. Nazwisko],tbl_zawodnicy_sumy[[#This Row],[I. Nazwisko]],tbl_główna_GRACZE[Played?])</f>
        <v>3</v>
      </c>
      <c r="D44" s="10">
        <f>SUMIF(tbl_główna_GRACZE[I. Nazwisko],tbl_zawodnicy_sumy[[#This Row],[I. Nazwisko]],tbl_główna_GRACZE[fgm])</f>
        <v>5</v>
      </c>
      <c r="E44" s="10">
        <f>SUMIF(tbl_główna_GRACZE[I. Nazwisko],tbl_zawodnicy_sumy[[#This Row],[I. Nazwisko]],tbl_główna_GRACZE[fga])</f>
        <v>13</v>
      </c>
      <c r="F44" s="10">
        <f>SUMIF(tbl_główna_GRACZE[I. Nazwisko],tbl_zawodnicy_sumy[[#This Row],[I. Nazwisko]],tbl_główna_GRACZE[3pm])</f>
        <v>0</v>
      </c>
      <c r="G44" s="10">
        <f>SUMIF(tbl_główna_GRACZE[I. Nazwisko],tbl_zawodnicy_sumy[[#This Row],[I. Nazwisko]],tbl_główna_GRACZE[3pa])</f>
        <v>0</v>
      </c>
      <c r="H44" s="10">
        <f>SUMIF(tbl_główna_GRACZE[I. Nazwisko],tbl_zawodnicy_sumy[[#This Row],[I. Nazwisko]],tbl_główna_GRACZE[ftm])</f>
        <v>0</v>
      </c>
      <c r="I44" s="10">
        <f>SUMIF(tbl_główna_GRACZE[I. Nazwisko],tbl_zawodnicy_sumy[[#This Row],[I. Nazwisko]],tbl_główna_GRACZE[fta])</f>
        <v>2</v>
      </c>
      <c r="J44" s="10">
        <f>SUMIF(tbl_główna_GRACZE[I. Nazwisko],tbl_zawodnicy_sumy[[#This Row],[I. Nazwisko]],tbl_główna_GRACZE[oreb])</f>
        <v>6</v>
      </c>
      <c r="K44" s="10">
        <f>SUMIF(tbl_główna_GRACZE[I. Nazwisko],tbl_zawodnicy_sumy[[#This Row],[I. Nazwisko]],tbl_główna_GRACZE[dreb])</f>
        <v>14</v>
      </c>
      <c r="L44" s="10">
        <f>SUMIF(tbl_główna_GRACZE[I. Nazwisko],tbl_zawodnicy_sumy[[#This Row],[I. Nazwisko]],tbl_główna_GRACZE[foul])</f>
        <v>4</v>
      </c>
      <c r="M44" s="10">
        <f>SUMIF(tbl_główna_GRACZE[I. Nazwisko],tbl_zawodnicy_sumy[[#This Row],[I. Nazwisko]],tbl_główna_GRACZE[stl])</f>
        <v>4</v>
      </c>
      <c r="N44" s="10">
        <f>SUMIF(tbl_główna_GRACZE[I. Nazwisko],tbl_zawodnicy_sumy[[#This Row],[I. Nazwisko]],tbl_główna_GRACZE[to])</f>
        <v>0</v>
      </c>
      <c r="O44" s="10">
        <f>SUMIF(tbl_główna_GRACZE[I. Nazwisko],tbl_zawodnicy_sumy[[#This Row],[I. Nazwisko]],tbl_główna_GRACZE[blk])</f>
        <v>0</v>
      </c>
      <c r="P44" s="10">
        <f>SUMIF(tbl_główna_GRACZE[I. Nazwisko],tbl_zawodnicy_sumy[[#This Row],[I. Nazwisko]],tbl_główna_GRACZE[asst])</f>
        <v>4</v>
      </c>
      <c r="Q44" s="10">
        <f>SUMIF(tbl_główna_GRACZE[I. Nazwisko],tbl_zawodnicy_sumy[[#This Row],[I. Nazwisko]],tbl_główna_GRACZE[min])</f>
        <v>81</v>
      </c>
      <c r="R44" s="10">
        <f>SUMIF(tbl_główna_GRACZE[I. Nazwisko],tbl_zawodnicy_sumy[[#This Row],[I. Nazwisko]],tbl_główna_GRACZE[pts])</f>
        <v>10</v>
      </c>
      <c r="S44" s="11">
        <f t="shared" si="11"/>
        <v>20</v>
      </c>
      <c r="T44" s="4">
        <f t="shared" si="12"/>
        <v>0.38461538461538464</v>
      </c>
      <c r="U44" s="4">
        <f t="shared" si="13"/>
        <v>0</v>
      </c>
      <c r="V44" s="4">
        <f t="shared" si="14"/>
        <v>0</v>
      </c>
      <c r="W44" s="4">
        <f>IFERROR(tbl_zawodnicy_sumy[[#This Row],[2pm]]/tbl_zawodnicy_sumy[[#This Row],[2pa]],0)</f>
        <v>0.38461538461538464</v>
      </c>
      <c r="X44" s="4">
        <f t="shared" si="15"/>
        <v>0.36023054755043227</v>
      </c>
      <c r="Y44" s="4">
        <f t="shared" si="16"/>
        <v>0.38461538461538464</v>
      </c>
      <c r="Z44" s="11">
        <f t="shared" si="17"/>
        <v>28</v>
      </c>
      <c r="AA44" s="4">
        <f t="shared" si="18"/>
        <v>0.15384615384615385</v>
      </c>
      <c r="AB44" s="4">
        <f t="shared" si="19"/>
        <v>0</v>
      </c>
      <c r="AC44" s="26">
        <f>IFERROR((SUMIF(tbl_główna_GRACZE[I. Nazwisko],tbl_zawodnicy_sumy[[#This Row],[I. Nazwisko]],tbl_główna_GRACZE[USG%]))/tbl_zawodnicy_sumy[[#This Row],[Played]],0)</f>
        <v>6.7883184220281098E-2</v>
      </c>
      <c r="AD44" s="25">
        <f>IFERROR(tbl_zawodnicy_sumy[[#This Row],[pts]]*(40/tbl_zawodnicy_sumy[[#This Row],[min]]),0)</f>
        <v>4.9382716049382713</v>
      </c>
      <c r="AE44" s="30">
        <f>IFERROR(tbl_zawodnicy_sumy[[#This Row],[reb total]]*(40/tbl_zawodnicy_sumy[[#This Row],[min]]),0)</f>
        <v>9.8765432098765427</v>
      </c>
      <c r="AF44" s="30">
        <f>IFERROR(tbl_zawodnicy_sumy[[#This Row],[asst]]*(40/tbl_zawodnicy_sumy[[#This Row],[min]]),0)</f>
        <v>1.9753086419753085</v>
      </c>
      <c r="AG44" s="5">
        <f t="shared" si="20"/>
        <v>0.76923076923076927</v>
      </c>
      <c r="AH44" s="5">
        <f>IFERROR((tbl_zawodnicy_sumy[[#This Row],[stl]]+tbl_zawodnicy_sumy[[#This Row],[blk]])*(40/tbl_zawodnicy_sumy[[#This Row],[min]]),0)</f>
        <v>1.9753086419753085</v>
      </c>
      <c r="AI44" s="4">
        <f>IFERROR((SUMIF(tbl_główna_GRACZE[I. Nazwisko],tbl_zawodnicy_sumy[[#This Row],[I. Nazwisko]],tbl_główna_GRACZE[DI]))/tbl_zawodnicy_sumy[[#This Row],[Played]],0)</f>
        <v>9.0277777777777776E-2</v>
      </c>
      <c r="AJ44" s="25">
        <f>tbl_zawodnicy_sumy[[#This Row],[stl]]+tbl_zawodnicy_sumy[[#This Row],[blk]]+(tbl_zawodnicy_sumy[[#This Row],[dreb]]*0.5)</f>
        <v>11</v>
      </c>
      <c r="AK44" s="29">
        <f>IFERROR((tbl_zawodnicy_sumy[[#This Row],[stl]]+tbl_zawodnicy_sumy[[#This Row],[blk]]+0.5*tbl_zawodnicy_sumy[[#This Row],[dreb]])/tbl_zawodnicy_sumy[[#This Row],[min]],0)</f>
        <v>0.13580246913580246</v>
      </c>
      <c r="AL44" s="6">
        <f t="shared" si="21"/>
        <v>17.3</v>
      </c>
      <c r="AM44" s="6">
        <f>IFERROR(tbl_zawodnicy_sumy[[#This Row],[GmSc]]*(40/tbl_zawodnicy_sumy[[#This Row],[min]]),0)</f>
        <v>8.5432098765432105</v>
      </c>
      <c r="AN44" s="6">
        <f>IFERROR(tbl_zawodnicy_sumy[[#This Row],[EVAL]]*(40/tbl_zawodnicy_sumy[[#This Row],[min]]),0)</f>
        <v>13.82716049382716</v>
      </c>
      <c r="AO44" s="11">
        <f>tbl_zawodnicy_sumy[[#This Row],[fgm]]-tbl_zawodnicy_sumy[[#This Row],[3pm]]</f>
        <v>5</v>
      </c>
      <c r="AP44" s="11">
        <f>tbl_zawodnicy_sumy[[#This Row],[fga]]-tbl_zawodnicy_sumy[[#This Row],[3pa]]</f>
        <v>13</v>
      </c>
      <c r="AQ44">
        <f>SUMIF(tbl_zawodnicy_średnie[I. Nazwisko],tbl_zawodnicy_sumy[[#This Row],[I. Nazwisko]],tbl_zawodnicy_średnie[ID])</f>
        <v>34</v>
      </c>
    </row>
    <row r="45" spans="1:43" ht="14.5" customHeight="1" x14ac:dyDescent="0.35">
      <c r="A45" s="58" t="s">
        <v>50</v>
      </c>
      <c r="B45" s="58" t="s">
        <v>193</v>
      </c>
      <c r="C45" s="9">
        <f>SUMIF(tbl_główna_GRACZE[I. Nazwisko],tbl_zawodnicy_sumy[[#This Row],[I. Nazwisko]],tbl_główna_GRACZE[Played?])</f>
        <v>3</v>
      </c>
      <c r="D45" s="10">
        <f>SUMIF(tbl_główna_GRACZE[I. Nazwisko],tbl_zawodnicy_sumy[[#This Row],[I. Nazwisko]],tbl_główna_GRACZE[fgm])</f>
        <v>1</v>
      </c>
      <c r="E45" s="10">
        <f>SUMIF(tbl_główna_GRACZE[I. Nazwisko],tbl_zawodnicy_sumy[[#This Row],[I. Nazwisko]],tbl_główna_GRACZE[fga])</f>
        <v>14</v>
      </c>
      <c r="F45" s="10">
        <f>SUMIF(tbl_główna_GRACZE[I. Nazwisko],tbl_zawodnicy_sumy[[#This Row],[I. Nazwisko]],tbl_główna_GRACZE[3pm])</f>
        <v>0</v>
      </c>
      <c r="G45" s="10">
        <f>SUMIF(tbl_główna_GRACZE[I. Nazwisko],tbl_zawodnicy_sumy[[#This Row],[I. Nazwisko]],tbl_główna_GRACZE[3pa])</f>
        <v>2</v>
      </c>
      <c r="H45" s="10">
        <f>SUMIF(tbl_główna_GRACZE[I. Nazwisko],tbl_zawodnicy_sumy[[#This Row],[I. Nazwisko]],tbl_główna_GRACZE[ftm])</f>
        <v>0</v>
      </c>
      <c r="I45" s="10">
        <f>SUMIF(tbl_główna_GRACZE[I. Nazwisko],tbl_zawodnicy_sumy[[#This Row],[I. Nazwisko]],tbl_główna_GRACZE[fta])</f>
        <v>0</v>
      </c>
      <c r="J45" s="10">
        <f>SUMIF(tbl_główna_GRACZE[I. Nazwisko],tbl_zawodnicy_sumy[[#This Row],[I. Nazwisko]],tbl_główna_GRACZE[oreb])</f>
        <v>3</v>
      </c>
      <c r="K45" s="10">
        <f>SUMIF(tbl_główna_GRACZE[I. Nazwisko],tbl_zawodnicy_sumy[[#This Row],[I. Nazwisko]],tbl_główna_GRACZE[dreb])</f>
        <v>5</v>
      </c>
      <c r="L45" s="10">
        <f>SUMIF(tbl_główna_GRACZE[I. Nazwisko],tbl_zawodnicy_sumy[[#This Row],[I. Nazwisko]],tbl_główna_GRACZE[foul])</f>
        <v>1</v>
      </c>
      <c r="M45" s="10">
        <f>SUMIF(tbl_główna_GRACZE[I. Nazwisko],tbl_zawodnicy_sumy[[#This Row],[I. Nazwisko]],tbl_główna_GRACZE[stl])</f>
        <v>3</v>
      </c>
      <c r="N45" s="10">
        <f>SUMIF(tbl_główna_GRACZE[I. Nazwisko],tbl_zawodnicy_sumy[[#This Row],[I. Nazwisko]],tbl_główna_GRACZE[to])</f>
        <v>0</v>
      </c>
      <c r="O45" s="10">
        <f>SUMIF(tbl_główna_GRACZE[I. Nazwisko],tbl_zawodnicy_sumy[[#This Row],[I. Nazwisko]],tbl_główna_GRACZE[blk])</f>
        <v>0</v>
      </c>
      <c r="P45" s="10">
        <f>SUMIF(tbl_główna_GRACZE[I. Nazwisko],tbl_zawodnicy_sumy[[#This Row],[I. Nazwisko]],tbl_główna_GRACZE[asst])</f>
        <v>4</v>
      </c>
      <c r="Q45" s="10">
        <f>SUMIF(tbl_główna_GRACZE[I. Nazwisko],tbl_zawodnicy_sumy[[#This Row],[I. Nazwisko]],tbl_główna_GRACZE[min])</f>
        <v>55</v>
      </c>
      <c r="R45" s="10">
        <f>SUMIF(tbl_główna_GRACZE[I. Nazwisko],tbl_zawodnicy_sumy[[#This Row],[I. Nazwisko]],tbl_główna_GRACZE[pts])</f>
        <v>2</v>
      </c>
      <c r="S45" s="11">
        <f t="shared" si="11"/>
        <v>8</v>
      </c>
      <c r="T45" s="4">
        <f t="shared" si="12"/>
        <v>7.1428571428571425E-2</v>
      </c>
      <c r="U45" s="4">
        <f t="shared" si="13"/>
        <v>0</v>
      </c>
      <c r="V45" s="4">
        <f t="shared" si="14"/>
        <v>0</v>
      </c>
      <c r="W45" s="4">
        <f>IFERROR(tbl_zawodnicy_sumy[[#This Row],[2pm]]/tbl_zawodnicy_sumy[[#This Row],[2pa]],0)</f>
        <v>8.3333333333333329E-2</v>
      </c>
      <c r="X45" s="4">
        <f t="shared" si="15"/>
        <v>7.1428571428571425E-2</v>
      </c>
      <c r="Y45" s="4">
        <f t="shared" si="16"/>
        <v>7.1428571428571425E-2</v>
      </c>
      <c r="Z45" s="11">
        <f t="shared" si="17"/>
        <v>4</v>
      </c>
      <c r="AA45" s="4">
        <f t="shared" si="18"/>
        <v>0</v>
      </c>
      <c r="AB45" s="4">
        <f t="shared" si="19"/>
        <v>0.14285714285714285</v>
      </c>
      <c r="AC45" s="26">
        <f>IFERROR((SUMIF(tbl_główna_GRACZE[I. Nazwisko],tbl_zawodnicy_sumy[[#This Row],[I. Nazwisko]],tbl_główna_GRACZE[USG%]))/tbl_zawodnicy_sumy[[#This Row],[Played]],0)</f>
        <v>6.7803575460614954E-2</v>
      </c>
      <c r="AD45" s="25">
        <f>IFERROR(tbl_zawodnicy_sumy[[#This Row],[pts]]*(40/tbl_zawodnicy_sumy[[#This Row],[min]]),0)</f>
        <v>1.4545454545454546</v>
      </c>
      <c r="AE45" s="30">
        <f>IFERROR(tbl_zawodnicy_sumy[[#This Row],[reb total]]*(40/tbl_zawodnicy_sumy[[#This Row],[min]]),0)</f>
        <v>5.8181818181818183</v>
      </c>
      <c r="AF45" s="30">
        <f>IFERROR(tbl_zawodnicy_sumy[[#This Row],[asst]]*(40/tbl_zawodnicy_sumy[[#This Row],[min]]),0)</f>
        <v>2.9090909090909092</v>
      </c>
      <c r="AG45" s="5">
        <f t="shared" si="20"/>
        <v>0.14285714285714285</v>
      </c>
      <c r="AH45" s="5">
        <f>IFERROR((tbl_zawodnicy_sumy[[#This Row],[stl]]+tbl_zawodnicy_sumy[[#This Row],[blk]])*(40/tbl_zawodnicy_sumy[[#This Row],[min]]),0)</f>
        <v>2.1818181818181817</v>
      </c>
      <c r="AI45" s="4">
        <f>IFERROR((SUMIF(tbl_główna_GRACZE[I. Nazwisko],tbl_zawodnicy_sumy[[#This Row],[I. Nazwisko]],tbl_główna_GRACZE[DI]))/tbl_zawodnicy_sumy[[#This Row],[Played]],0)</f>
        <v>6.9444444444444434E-2</v>
      </c>
      <c r="AJ45" s="25">
        <f>tbl_zawodnicy_sumy[[#This Row],[stl]]+tbl_zawodnicy_sumy[[#This Row],[blk]]+(tbl_zawodnicy_sumy[[#This Row],[dreb]]*0.5)</f>
        <v>5.5</v>
      </c>
      <c r="AK45" s="29">
        <f>IFERROR((tbl_zawodnicy_sumy[[#This Row],[stl]]+tbl_zawodnicy_sumy[[#This Row],[blk]]+0.5*tbl_zawodnicy_sumy[[#This Row],[dreb]])/tbl_zawodnicy_sumy[[#This Row],[min]],0)</f>
        <v>0.1</v>
      </c>
      <c r="AL45" s="6">
        <f t="shared" si="21"/>
        <v>2.0000000000000009</v>
      </c>
      <c r="AM45" s="6">
        <f>IFERROR(tbl_zawodnicy_sumy[[#This Row],[GmSc]]*(40/tbl_zawodnicy_sumy[[#This Row],[min]]),0)</f>
        <v>1.4545454545454553</v>
      </c>
      <c r="AN45" s="6">
        <f>IFERROR(tbl_zawodnicy_sumy[[#This Row],[EVAL]]*(40/tbl_zawodnicy_sumy[[#This Row],[min]]),0)</f>
        <v>2.9090909090909092</v>
      </c>
      <c r="AO45" s="11">
        <f>tbl_zawodnicy_sumy[[#This Row],[fgm]]-tbl_zawodnicy_sumy[[#This Row],[3pm]]</f>
        <v>1</v>
      </c>
      <c r="AP45" s="11">
        <f>tbl_zawodnicy_sumy[[#This Row],[fga]]-tbl_zawodnicy_sumy[[#This Row],[3pa]]</f>
        <v>12</v>
      </c>
      <c r="AQ45">
        <f>SUMIF(tbl_zawodnicy_średnie[I. Nazwisko],tbl_zawodnicy_sumy[[#This Row],[I. Nazwisko]],tbl_zawodnicy_średnie[ID])</f>
        <v>35</v>
      </c>
    </row>
    <row r="46" spans="1:43" ht="14.5" customHeight="1" x14ac:dyDescent="0.35">
      <c r="A46" s="58" t="s">
        <v>50</v>
      </c>
      <c r="B46" s="58" t="s">
        <v>194</v>
      </c>
      <c r="C46" s="9">
        <f>SUMIF(tbl_główna_GRACZE[I. Nazwisko],tbl_zawodnicy_sumy[[#This Row],[I. Nazwisko]],tbl_główna_GRACZE[Played?])</f>
        <v>3</v>
      </c>
      <c r="D46" s="10">
        <f>SUMIF(tbl_główna_GRACZE[I. Nazwisko],tbl_zawodnicy_sumy[[#This Row],[I. Nazwisko]],tbl_główna_GRACZE[fgm])</f>
        <v>3</v>
      </c>
      <c r="E46" s="10">
        <f>SUMIF(tbl_główna_GRACZE[I. Nazwisko],tbl_zawodnicy_sumy[[#This Row],[I. Nazwisko]],tbl_główna_GRACZE[fga])</f>
        <v>14</v>
      </c>
      <c r="F46" s="10">
        <f>SUMIF(tbl_główna_GRACZE[I. Nazwisko],tbl_zawodnicy_sumy[[#This Row],[I. Nazwisko]],tbl_główna_GRACZE[3pm])</f>
        <v>0</v>
      </c>
      <c r="G46" s="10">
        <f>SUMIF(tbl_główna_GRACZE[I. Nazwisko],tbl_zawodnicy_sumy[[#This Row],[I. Nazwisko]],tbl_główna_GRACZE[3pa])</f>
        <v>2</v>
      </c>
      <c r="H46" s="10">
        <f>SUMIF(tbl_główna_GRACZE[I. Nazwisko],tbl_zawodnicy_sumy[[#This Row],[I. Nazwisko]],tbl_główna_GRACZE[ftm])</f>
        <v>1</v>
      </c>
      <c r="I46" s="10">
        <f>SUMIF(tbl_główna_GRACZE[I. Nazwisko],tbl_zawodnicy_sumy[[#This Row],[I. Nazwisko]],tbl_główna_GRACZE[fta])</f>
        <v>4</v>
      </c>
      <c r="J46" s="10">
        <f>SUMIF(tbl_główna_GRACZE[I. Nazwisko],tbl_zawodnicy_sumy[[#This Row],[I. Nazwisko]],tbl_główna_GRACZE[oreb])</f>
        <v>3</v>
      </c>
      <c r="K46" s="10">
        <f>SUMIF(tbl_główna_GRACZE[I. Nazwisko],tbl_zawodnicy_sumy[[#This Row],[I. Nazwisko]],tbl_główna_GRACZE[dreb])</f>
        <v>4</v>
      </c>
      <c r="L46" s="10">
        <f>SUMIF(tbl_główna_GRACZE[I. Nazwisko],tbl_zawodnicy_sumy[[#This Row],[I. Nazwisko]],tbl_główna_GRACZE[foul])</f>
        <v>1</v>
      </c>
      <c r="M46" s="10">
        <f>SUMIF(tbl_główna_GRACZE[I. Nazwisko],tbl_zawodnicy_sumy[[#This Row],[I. Nazwisko]],tbl_główna_GRACZE[stl])</f>
        <v>3</v>
      </c>
      <c r="N46" s="10">
        <f>SUMIF(tbl_główna_GRACZE[I. Nazwisko],tbl_zawodnicy_sumy[[#This Row],[I. Nazwisko]],tbl_główna_GRACZE[to])</f>
        <v>0</v>
      </c>
      <c r="O46" s="10">
        <f>SUMIF(tbl_główna_GRACZE[I. Nazwisko],tbl_zawodnicy_sumy[[#This Row],[I. Nazwisko]],tbl_główna_GRACZE[blk])</f>
        <v>0</v>
      </c>
      <c r="P46" s="10">
        <f>SUMIF(tbl_główna_GRACZE[I. Nazwisko],tbl_zawodnicy_sumy[[#This Row],[I. Nazwisko]],tbl_główna_GRACZE[asst])</f>
        <v>3</v>
      </c>
      <c r="Q46" s="10">
        <f>SUMIF(tbl_główna_GRACZE[I. Nazwisko],tbl_zawodnicy_sumy[[#This Row],[I. Nazwisko]],tbl_główna_GRACZE[min])</f>
        <v>55</v>
      </c>
      <c r="R46" s="10">
        <f>SUMIF(tbl_główna_GRACZE[I. Nazwisko],tbl_zawodnicy_sumy[[#This Row],[I. Nazwisko]],tbl_główna_GRACZE[pts])</f>
        <v>7</v>
      </c>
      <c r="S46" s="11">
        <f t="shared" si="11"/>
        <v>7</v>
      </c>
      <c r="T46" s="4">
        <f t="shared" si="12"/>
        <v>0.21428571428571427</v>
      </c>
      <c r="U46" s="4">
        <f t="shared" si="13"/>
        <v>0</v>
      </c>
      <c r="V46" s="4">
        <f t="shared" si="14"/>
        <v>0.25</v>
      </c>
      <c r="W46" s="4">
        <f>IFERROR(tbl_zawodnicy_sumy[[#This Row],[2pm]]/tbl_zawodnicy_sumy[[#This Row],[2pa]],0)</f>
        <v>0.25</v>
      </c>
      <c r="X46" s="4">
        <f t="shared" si="15"/>
        <v>0.22208121827411167</v>
      </c>
      <c r="Y46" s="4">
        <f t="shared" si="16"/>
        <v>0.21428571428571427</v>
      </c>
      <c r="Z46" s="11">
        <f t="shared" si="17"/>
        <v>6</v>
      </c>
      <c r="AA46" s="4">
        <f t="shared" si="18"/>
        <v>0.2857142857142857</v>
      </c>
      <c r="AB46" s="4">
        <f t="shared" si="19"/>
        <v>0.14285714285714285</v>
      </c>
      <c r="AC46" s="26">
        <f>IFERROR((SUMIF(tbl_główna_GRACZE[I. Nazwisko],tbl_zawodnicy_sumy[[#This Row],[I. Nazwisko]],tbl_główna_GRACZE[USG%]))/tbl_zawodnicy_sumy[[#This Row],[Played]],0)</f>
        <v>7.7594231031321667E-2</v>
      </c>
      <c r="AD46" s="25">
        <f>IFERROR(tbl_zawodnicy_sumy[[#This Row],[pts]]*(40/tbl_zawodnicy_sumy[[#This Row],[min]]),0)</f>
        <v>5.0909090909090908</v>
      </c>
      <c r="AE46" s="30">
        <f>IFERROR(tbl_zawodnicy_sumy[[#This Row],[reb total]]*(40/tbl_zawodnicy_sumy[[#This Row],[min]]),0)</f>
        <v>5.0909090909090908</v>
      </c>
      <c r="AF46" s="30">
        <f>IFERROR(tbl_zawodnicy_sumy[[#This Row],[asst]]*(40/tbl_zawodnicy_sumy[[#This Row],[min]]),0)</f>
        <v>2.1818181818181817</v>
      </c>
      <c r="AG46" s="5">
        <f t="shared" si="20"/>
        <v>0.5</v>
      </c>
      <c r="AH46" s="5">
        <f>IFERROR((tbl_zawodnicy_sumy[[#This Row],[stl]]+tbl_zawodnicy_sumy[[#This Row],[blk]])*(40/tbl_zawodnicy_sumy[[#This Row],[min]]),0)</f>
        <v>2.1818181818181817</v>
      </c>
      <c r="AI46" s="4">
        <f>IFERROR((SUMIF(tbl_główna_GRACZE[I. Nazwisko],tbl_zawodnicy_sumy[[#This Row],[I. Nazwisko]],tbl_główna_GRACZE[DI]))/tbl_zawodnicy_sumy[[#This Row],[Played]],0)</f>
        <v>8.7500000000000008E-2</v>
      </c>
      <c r="AJ46" s="25">
        <f>tbl_zawodnicy_sumy[[#This Row],[stl]]+tbl_zawodnicy_sumy[[#This Row],[blk]]+(tbl_zawodnicy_sumy[[#This Row],[dreb]]*0.5)</f>
        <v>5</v>
      </c>
      <c r="AK46" s="29">
        <f>IFERROR((tbl_zawodnicy_sumy[[#This Row],[stl]]+tbl_zawodnicy_sumy[[#This Row],[blk]]+0.5*tbl_zawodnicy_sumy[[#This Row],[dreb]])/tbl_zawodnicy_sumy[[#This Row],[min]],0)</f>
        <v>9.0909090909090912E-2</v>
      </c>
      <c r="AL46" s="6">
        <f t="shared" si="21"/>
        <v>5.6</v>
      </c>
      <c r="AM46" s="6">
        <f>IFERROR(tbl_zawodnicy_sumy[[#This Row],[GmSc]]*(40/tbl_zawodnicy_sumy[[#This Row],[min]]),0)</f>
        <v>4.0727272727272723</v>
      </c>
      <c r="AN46" s="6">
        <f>IFERROR(tbl_zawodnicy_sumy[[#This Row],[EVAL]]*(40/tbl_zawodnicy_sumy[[#This Row],[min]]),0)</f>
        <v>4.3636363636363633</v>
      </c>
      <c r="AO46" s="11">
        <f>tbl_zawodnicy_sumy[[#This Row],[fgm]]-tbl_zawodnicy_sumy[[#This Row],[3pm]]</f>
        <v>3</v>
      </c>
      <c r="AP46" s="11">
        <f>tbl_zawodnicy_sumy[[#This Row],[fga]]-tbl_zawodnicy_sumy[[#This Row],[3pa]]</f>
        <v>12</v>
      </c>
      <c r="AQ46">
        <f>SUMIF(tbl_zawodnicy_średnie[I. Nazwisko],tbl_zawodnicy_sumy[[#This Row],[I. Nazwisko]],tbl_zawodnicy_średnie[ID])</f>
        <v>36</v>
      </c>
    </row>
    <row r="47" spans="1:43" ht="14.5" customHeight="1" x14ac:dyDescent="0.35">
      <c r="A47" s="58" t="s">
        <v>52</v>
      </c>
      <c r="B47" s="58" t="s">
        <v>355</v>
      </c>
      <c r="C47" s="9">
        <f>SUMIF(tbl_główna_GRACZE[I. Nazwisko],tbl_zawodnicy_sumy[[#This Row],[I. Nazwisko]],tbl_główna_GRACZE[Played?])</f>
        <v>4</v>
      </c>
      <c r="D47" s="10">
        <f>SUMIF(tbl_główna_GRACZE[I. Nazwisko],tbl_zawodnicy_sumy[[#This Row],[I. Nazwisko]],tbl_główna_GRACZE[fgm])</f>
        <v>29</v>
      </c>
      <c r="E47" s="10">
        <f>SUMIF(tbl_główna_GRACZE[I. Nazwisko],tbl_zawodnicy_sumy[[#This Row],[I. Nazwisko]],tbl_główna_GRACZE[fga])</f>
        <v>64</v>
      </c>
      <c r="F47" s="10">
        <f>SUMIF(tbl_główna_GRACZE[I. Nazwisko],tbl_zawodnicy_sumy[[#This Row],[I. Nazwisko]],tbl_główna_GRACZE[3pm])</f>
        <v>6</v>
      </c>
      <c r="G47" s="10">
        <f>SUMIF(tbl_główna_GRACZE[I. Nazwisko],tbl_zawodnicy_sumy[[#This Row],[I. Nazwisko]],tbl_główna_GRACZE[3pa])</f>
        <v>16</v>
      </c>
      <c r="H47" s="10">
        <f>SUMIF(tbl_główna_GRACZE[I. Nazwisko],tbl_zawodnicy_sumy[[#This Row],[I. Nazwisko]],tbl_główna_GRACZE[ftm])</f>
        <v>5</v>
      </c>
      <c r="I47" s="10">
        <f>SUMIF(tbl_główna_GRACZE[I. Nazwisko],tbl_zawodnicy_sumy[[#This Row],[I. Nazwisko]],tbl_główna_GRACZE[fta])</f>
        <v>7</v>
      </c>
      <c r="J47" s="10">
        <f>SUMIF(tbl_główna_GRACZE[I. Nazwisko],tbl_zawodnicy_sumy[[#This Row],[I. Nazwisko]],tbl_główna_GRACZE[oreb])</f>
        <v>9</v>
      </c>
      <c r="K47" s="10">
        <f>SUMIF(tbl_główna_GRACZE[I. Nazwisko],tbl_zawodnicy_sumy[[#This Row],[I. Nazwisko]],tbl_główna_GRACZE[dreb])</f>
        <v>28</v>
      </c>
      <c r="L47" s="10">
        <f>SUMIF(tbl_główna_GRACZE[I. Nazwisko],tbl_zawodnicy_sumy[[#This Row],[I. Nazwisko]],tbl_główna_GRACZE[foul])</f>
        <v>6</v>
      </c>
      <c r="M47" s="10">
        <f>SUMIF(tbl_główna_GRACZE[I. Nazwisko],tbl_zawodnicy_sumy[[#This Row],[I. Nazwisko]],tbl_główna_GRACZE[stl])</f>
        <v>18</v>
      </c>
      <c r="N47" s="10">
        <f>SUMIF(tbl_główna_GRACZE[I. Nazwisko],tbl_zawodnicy_sumy[[#This Row],[I. Nazwisko]],tbl_główna_GRACZE[to])</f>
        <v>0</v>
      </c>
      <c r="O47" s="10">
        <f>SUMIF(tbl_główna_GRACZE[I. Nazwisko],tbl_zawodnicy_sumy[[#This Row],[I. Nazwisko]],tbl_główna_GRACZE[blk])</f>
        <v>3</v>
      </c>
      <c r="P47" s="10">
        <f>SUMIF(tbl_główna_GRACZE[I. Nazwisko],tbl_zawodnicy_sumy[[#This Row],[I. Nazwisko]],tbl_główna_GRACZE[asst])</f>
        <v>11</v>
      </c>
      <c r="Q47" s="10">
        <f>SUMIF(tbl_główna_GRACZE[I. Nazwisko],tbl_zawodnicy_sumy[[#This Row],[I. Nazwisko]],tbl_główna_GRACZE[min])</f>
        <v>142</v>
      </c>
      <c r="R47" s="10">
        <f>SUMIF(tbl_główna_GRACZE[I. Nazwisko],tbl_zawodnicy_sumy[[#This Row],[I. Nazwisko]],tbl_główna_GRACZE[pts])</f>
        <v>69</v>
      </c>
      <c r="S47" s="11">
        <f t="shared" si="11"/>
        <v>37</v>
      </c>
      <c r="T47" s="4">
        <f t="shared" si="12"/>
        <v>0.453125</v>
      </c>
      <c r="U47" s="4">
        <f t="shared" si="13"/>
        <v>0.375</v>
      </c>
      <c r="V47" s="4">
        <f t="shared" si="14"/>
        <v>0.7142857142857143</v>
      </c>
      <c r="W47" s="4">
        <f>IFERROR(tbl_zawodnicy_sumy[[#This Row],[2pm]]/tbl_zawodnicy_sumy[[#This Row],[2pa]],0)</f>
        <v>0.47916666666666669</v>
      </c>
      <c r="X47" s="4">
        <f t="shared" si="15"/>
        <v>0.5143112701252236</v>
      </c>
      <c r="Y47" s="4">
        <f t="shared" si="16"/>
        <v>0.5</v>
      </c>
      <c r="Z47" s="11">
        <f t="shared" si="17"/>
        <v>101</v>
      </c>
      <c r="AA47" s="4">
        <f t="shared" si="18"/>
        <v>0.109375</v>
      </c>
      <c r="AB47" s="4">
        <f t="shared" si="19"/>
        <v>0.25</v>
      </c>
      <c r="AC47" s="26">
        <f>IFERROR((SUMIF(tbl_główna_GRACZE[I. Nazwisko],tbl_zawodnicy_sumy[[#This Row],[I. Nazwisko]],tbl_główna_GRACZE[USG%]))/tbl_zawodnicy_sumy[[#This Row],[Played]],0)</f>
        <v>0.2220606504951726</v>
      </c>
      <c r="AD47" s="25">
        <f>IFERROR(tbl_zawodnicy_sumy[[#This Row],[pts]]*(40/tbl_zawodnicy_sumy[[#This Row],[min]]),0)</f>
        <v>19.43661971830986</v>
      </c>
      <c r="AE47" s="30">
        <f>IFERROR(tbl_zawodnicy_sumy[[#This Row],[reb total]]*(40/tbl_zawodnicy_sumy[[#This Row],[min]]),0)</f>
        <v>10.422535211267606</v>
      </c>
      <c r="AF47" s="30">
        <f>IFERROR(tbl_zawodnicy_sumy[[#This Row],[asst]]*(40/tbl_zawodnicy_sumy[[#This Row],[min]]),0)</f>
        <v>3.098591549295775</v>
      </c>
      <c r="AG47" s="5">
        <f t="shared" si="20"/>
        <v>1.078125</v>
      </c>
      <c r="AH47" s="5">
        <f>IFERROR((tbl_zawodnicy_sumy[[#This Row],[stl]]+tbl_zawodnicy_sumy[[#This Row],[blk]])*(40/tbl_zawodnicy_sumy[[#This Row],[min]]),0)</f>
        <v>5.915492957746479</v>
      </c>
      <c r="AI47" s="4">
        <f>IFERROR((SUMIF(tbl_główna_GRACZE[I. Nazwisko],tbl_zawodnicy_sumy[[#This Row],[I. Nazwisko]],tbl_główna_GRACZE[DI]))/tbl_zawodnicy_sumy[[#This Row],[Played]],0)</f>
        <v>0.33261183261183258</v>
      </c>
      <c r="AJ47" s="25">
        <f>tbl_zawodnicy_sumy[[#This Row],[stl]]+tbl_zawodnicy_sumy[[#This Row],[blk]]+(tbl_zawodnicy_sumy[[#This Row],[dreb]]*0.5)</f>
        <v>35</v>
      </c>
      <c r="AK47" s="29">
        <f>IFERROR((tbl_zawodnicy_sumy[[#This Row],[stl]]+tbl_zawodnicy_sumy[[#This Row],[blk]]+0.5*tbl_zawodnicy_sumy[[#This Row],[dreb]])/tbl_zawodnicy_sumy[[#This Row],[min]],0)</f>
        <v>0.24647887323943662</v>
      </c>
      <c r="AL47" s="6">
        <f t="shared" si="21"/>
        <v>77.499999999999986</v>
      </c>
      <c r="AM47" s="6">
        <f>IFERROR(tbl_zawodnicy_sumy[[#This Row],[GmSc]]*(40/tbl_zawodnicy_sumy[[#This Row],[min]]),0)</f>
        <v>21.830985915492956</v>
      </c>
      <c r="AN47" s="6">
        <f>IFERROR(tbl_zawodnicy_sumy[[#This Row],[EVAL]]*(40/tbl_zawodnicy_sumy[[#This Row],[min]]),0)</f>
        <v>28.450704225352116</v>
      </c>
      <c r="AO47" s="11">
        <f>tbl_zawodnicy_sumy[[#This Row],[fgm]]-tbl_zawodnicy_sumy[[#This Row],[3pm]]</f>
        <v>23</v>
      </c>
      <c r="AP47" s="11">
        <f>tbl_zawodnicy_sumy[[#This Row],[fga]]-tbl_zawodnicy_sumy[[#This Row],[3pa]]</f>
        <v>48</v>
      </c>
      <c r="AQ47">
        <f>SUMIF(tbl_zawodnicy_średnie[I. Nazwisko],tbl_zawodnicy_sumy[[#This Row],[I. Nazwisko]],tbl_zawodnicy_średnie[ID])</f>
        <v>37</v>
      </c>
    </row>
    <row r="48" spans="1:43" ht="14.5" customHeight="1" x14ac:dyDescent="0.35">
      <c r="A48" s="58" t="s">
        <v>52</v>
      </c>
      <c r="B48" s="58" t="s">
        <v>195</v>
      </c>
      <c r="C48" s="9">
        <f>SUMIF(tbl_główna_GRACZE[I. Nazwisko],tbl_zawodnicy_sumy[[#This Row],[I. Nazwisko]],tbl_główna_GRACZE[Played?])</f>
        <v>3</v>
      </c>
      <c r="D48" s="10">
        <f>SUMIF(tbl_główna_GRACZE[I. Nazwisko],tbl_zawodnicy_sumy[[#This Row],[I. Nazwisko]],tbl_główna_GRACZE[fgm])</f>
        <v>8</v>
      </c>
      <c r="E48" s="10">
        <f>SUMIF(tbl_główna_GRACZE[I. Nazwisko],tbl_zawodnicy_sumy[[#This Row],[I. Nazwisko]],tbl_główna_GRACZE[fga])</f>
        <v>17</v>
      </c>
      <c r="F48" s="10">
        <f>SUMIF(tbl_główna_GRACZE[I. Nazwisko],tbl_zawodnicy_sumy[[#This Row],[I. Nazwisko]],tbl_główna_GRACZE[3pm])</f>
        <v>0</v>
      </c>
      <c r="G48" s="10">
        <f>SUMIF(tbl_główna_GRACZE[I. Nazwisko],tbl_zawodnicy_sumy[[#This Row],[I. Nazwisko]],tbl_główna_GRACZE[3pa])</f>
        <v>0</v>
      </c>
      <c r="H48" s="10">
        <f>SUMIF(tbl_główna_GRACZE[I. Nazwisko],tbl_zawodnicy_sumy[[#This Row],[I. Nazwisko]],tbl_główna_GRACZE[ftm])</f>
        <v>3</v>
      </c>
      <c r="I48" s="10">
        <f>SUMIF(tbl_główna_GRACZE[I. Nazwisko],tbl_zawodnicy_sumy[[#This Row],[I. Nazwisko]],tbl_główna_GRACZE[fta])</f>
        <v>6</v>
      </c>
      <c r="J48" s="10">
        <f>SUMIF(tbl_główna_GRACZE[I. Nazwisko],tbl_zawodnicy_sumy[[#This Row],[I. Nazwisko]],tbl_główna_GRACZE[oreb])</f>
        <v>8</v>
      </c>
      <c r="K48" s="10">
        <f>SUMIF(tbl_główna_GRACZE[I. Nazwisko],tbl_zawodnicy_sumy[[#This Row],[I. Nazwisko]],tbl_główna_GRACZE[dreb])</f>
        <v>18</v>
      </c>
      <c r="L48" s="10">
        <f>SUMIF(tbl_główna_GRACZE[I. Nazwisko],tbl_zawodnicy_sumy[[#This Row],[I. Nazwisko]],tbl_główna_GRACZE[foul])</f>
        <v>13</v>
      </c>
      <c r="M48" s="10">
        <f>SUMIF(tbl_główna_GRACZE[I. Nazwisko],tbl_zawodnicy_sumy[[#This Row],[I. Nazwisko]],tbl_główna_GRACZE[stl])</f>
        <v>11</v>
      </c>
      <c r="N48" s="10">
        <f>SUMIF(tbl_główna_GRACZE[I. Nazwisko],tbl_zawodnicy_sumy[[#This Row],[I. Nazwisko]],tbl_główna_GRACZE[to])</f>
        <v>0</v>
      </c>
      <c r="O48" s="10">
        <f>SUMIF(tbl_główna_GRACZE[I. Nazwisko],tbl_zawodnicy_sumy[[#This Row],[I. Nazwisko]],tbl_główna_GRACZE[blk])</f>
        <v>3</v>
      </c>
      <c r="P48" s="10">
        <f>SUMIF(tbl_główna_GRACZE[I. Nazwisko],tbl_zawodnicy_sumy[[#This Row],[I. Nazwisko]],tbl_główna_GRACZE[asst])</f>
        <v>2</v>
      </c>
      <c r="Q48" s="10">
        <f>SUMIF(tbl_główna_GRACZE[I. Nazwisko],tbl_zawodnicy_sumy[[#This Row],[I. Nazwisko]],tbl_główna_GRACZE[min])</f>
        <v>58</v>
      </c>
      <c r="R48" s="10">
        <f>SUMIF(tbl_główna_GRACZE[I. Nazwisko],tbl_zawodnicy_sumy[[#This Row],[I. Nazwisko]],tbl_główna_GRACZE[pts])</f>
        <v>19</v>
      </c>
      <c r="S48" s="11">
        <f t="shared" si="11"/>
        <v>26</v>
      </c>
      <c r="T48" s="4">
        <f t="shared" si="12"/>
        <v>0.47058823529411764</v>
      </c>
      <c r="U48" s="4">
        <f t="shared" si="13"/>
        <v>0</v>
      </c>
      <c r="V48" s="4">
        <f t="shared" si="14"/>
        <v>0.5</v>
      </c>
      <c r="W48" s="4">
        <f>IFERROR(tbl_zawodnicy_sumy[[#This Row],[2pm]]/tbl_zawodnicy_sumy[[#This Row],[2pa]],0)</f>
        <v>0.47058823529411764</v>
      </c>
      <c r="X48" s="4">
        <f t="shared" si="15"/>
        <v>0.4837067209775967</v>
      </c>
      <c r="Y48" s="4">
        <f t="shared" si="16"/>
        <v>0.47058823529411764</v>
      </c>
      <c r="Z48" s="11">
        <f t="shared" si="17"/>
        <v>49</v>
      </c>
      <c r="AA48" s="4">
        <f t="shared" si="18"/>
        <v>0.35294117647058826</v>
      </c>
      <c r="AB48" s="4">
        <f t="shared" si="19"/>
        <v>0</v>
      </c>
      <c r="AC48" s="26">
        <f>IFERROR((SUMIF(tbl_główna_GRACZE[I. Nazwisko],tbl_zawodnicy_sumy[[#This Row],[I. Nazwisko]],tbl_główna_GRACZE[USG%]))/tbl_zawodnicy_sumy[[#This Row],[Played]],0)</f>
        <v>9.1335114485536495E-2</v>
      </c>
      <c r="AD48" s="25">
        <f>IFERROR(tbl_zawodnicy_sumy[[#This Row],[pts]]*(40/tbl_zawodnicy_sumy[[#This Row],[min]]),0)</f>
        <v>13.103448275862069</v>
      </c>
      <c r="AE48" s="30">
        <f>IFERROR(tbl_zawodnicy_sumy[[#This Row],[reb total]]*(40/tbl_zawodnicy_sumy[[#This Row],[min]]),0)</f>
        <v>17.931034482758623</v>
      </c>
      <c r="AF48" s="30">
        <f>IFERROR(tbl_zawodnicy_sumy[[#This Row],[asst]]*(40/tbl_zawodnicy_sumy[[#This Row],[min]]),0)</f>
        <v>1.3793103448275863</v>
      </c>
      <c r="AG48" s="5">
        <f t="shared" si="20"/>
        <v>1.1176470588235294</v>
      </c>
      <c r="AH48" s="5">
        <f>IFERROR((tbl_zawodnicy_sumy[[#This Row],[stl]]+tbl_zawodnicy_sumy[[#This Row],[blk]])*(40/tbl_zawodnicy_sumy[[#This Row],[min]]),0)</f>
        <v>9.6551724137931032</v>
      </c>
      <c r="AI48" s="4">
        <f>IFERROR((SUMIF(tbl_główna_GRACZE[I. Nazwisko],tbl_zawodnicy_sumy[[#This Row],[I. Nazwisko]],tbl_główna_GRACZE[DI]))/tbl_zawodnicy_sumy[[#This Row],[Played]],0)</f>
        <v>0.2356902356902357</v>
      </c>
      <c r="AJ48" s="25">
        <f>tbl_zawodnicy_sumy[[#This Row],[stl]]+tbl_zawodnicy_sumy[[#This Row],[blk]]+(tbl_zawodnicy_sumy[[#This Row],[dreb]]*0.5)</f>
        <v>23</v>
      </c>
      <c r="AK48" s="29">
        <f>IFERROR((tbl_zawodnicy_sumy[[#This Row],[stl]]+tbl_zawodnicy_sumy[[#This Row],[blk]]+0.5*tbl_zawodnicy_sumy[[#This Row],[dreb]])/tbl_zawodnicy_sumy[[#This Row],[min]],0)</f>
        <v>0.39655172413793105</v>
      </c>
      <c r="AL48" s="6">
        <f t="shared" si="21"/>
        <v>34.6</v>
      </c>
      <c r="AM48" s="6">
        <f>IFERROR(tbl_zawodnicy_sumy[[#This Row],[GmSc]]*(40/tbl_zawodnicy_sumy[[#This Row],[min]]),0)</f>
        <v>23.862068965517246</v>
      </c>
      <c r="AN48" s="6">
        <f>IFERROR(tbl_zawodnicy_sumy[[#This Row],[EVAL]]*(40/tbl_zawodnicy_sumy[[#This Row],[min]]),0)</f>
        <v>33.793103448275865</v>
      </c>
      <c r="AO48" s="11">
        <f>tbl_zawodnicy_sumy[[#This Row],[fgm]]-tbl_zawodnicy_sumy[[#This Row],[3pm]]</f>
        <v>8</v>
      </c>
      <c r="AP48" s="11">
        <f>tbl_zawodnicy_sumy[[#This Row],[fga]]-tbl_zawodnicy_sumy[[#This Row],[3pa]]</f>
        <v>17</v>
      </c>
      <c r="AQ48">
        <f>SUMIF(tbl_zawodnicy_średnie[I. Nazwisko],tbl_zawodnicy_sumy[[#This Row],[I. Nazwisko]],tbl_zawodnicy_średnie[ID])</f>
        <v>38</v>
      </c>
    </row>
    <row r="49" spans="1:43" ht="14.5" customHeight="1" x14ac:dyDescent="0.35">
      <c r="A49" s="58" t="s">
        <v>52</v>
      </c>
      <c r="B49" s="58" t="s">
        <v>196</v>
      </c>
      <c r="C49" s="9">
        <f>SUMIF(tbl_główna_GRACZE[I. Nazwisko],tbl_zawodnicy_sumy[[#This Row],[I. Nazwisko]],tbl_główna_GRACZE[Played?])</f>
        <v>1</v>
      </c>
      <c r="D49" s="10">
        <f>SUMIF(tbl_główna_GRACZE[I. Nazwisko],tbl_zawodnicy_sumy[[#This Row],[I. Nazwisko]],tbl_główna_GRACZE[fgm])</f>
        <v>3</v>
      </c>
      <c r="E49" s="10">
        <f>SUMIF(tbl_główna_GRACZE[I. Nazwisko],tbl_zawodnicy_sumy[[#This Row],[I. Nazwisko]],tbl_główna_GRACZE[fga])</f>
        <v>9</v>
      </c>
      <c r="F49" s="10">
        <f>SUMIF(tbl_główna_GRACZE[I. Nazwisko],tbl_zawodnicy_sumy[[#This Row],[I. Nazwisko]],tbl_główna_GRACZE[3pm])</f>
        <v>0</v>
      </c>
      <c r="G49" s="10">
        <f>SUMIF(tbl_główna_GRACZE[I. Nazwisko],tbl_zawodnicy_sumy[[#This Row],[I. Nazwisko]],tbl_główna_GRACZE[3pa])</f>
        <v>0</v>
      </c>
      <c r="H49" s="10">
        <f>SUMIF(tbl_główna_GRACZE[I. Nazwisko],tbl_zawodnicy_sumy[[#This Row],[I. Nazwisko]],tbl_główna_GRACZE[ftm])</f>
        <v>2</v>
      </c>
      <c r="I49" s="10">
        <f>SUMIF(tbl_główna_GRACZE[I. Nazwisko],tbl_zawodnicy_sumy[[#This Row],[I. Nazwisko]],tbl_główna_GRACZE[fta])</f>
        <v>4</v>
      </c>
      <c r="J49" s="10">
        <f>SUMIF(tbl_główna_GRACZE[I. Nazwisko],tbl_zawodnicy_sumy[[#This Row],[I. Nazwisko]],tbl_główna_GRACZE[oreb])</f>
        <v>1</v>
      </c>
      <c r="K49" s="10">
        <f>SUMIF(tbl_główna_GRACZE[I. Nazwisko],tbl_zawodnicy_sumy[[#This Row],[I. Nazwisko]],tbl_główna_GRACZE[dreb])</f>
        <v>3</v>
      </c>
      <c r="L49" s="10">
        <f>SUMIF(tbl_główna_GRACZE[I. Nazwisko],tbl_zawodnicy_sumy[[#This Row],[I. Nazwisko]],tbl_główna_GRACZE[foul])</f>
        <v>2</v>
      </c>
      <c r="M49" s="10">
        <f>SUMIF(tbl_główna_GRACZE[I. Nazwisko],tbl_zawodnicy_sumy[[#This Row],[I. Nazwisko]],tbl_główna_GRACZE[stl])</f>
        <v>1</v>
      </c>
      <c r="N49" s="10">
        <f>SUMIF(tbl_główna_GRACZE[I. Nazwisko],tbl_zawodnicy_sumy[[#This Row],[I. Nazwisko]],tbl_główna_GRACZE[to])</f>
        <v>0</v>
      </c>
      <c r="O49" s="10">
        <f>SUMIF(tbl_główna_GRACZE[I. Nazwisko],tbl_zawodnicy_sumy[[#This Row],[I. Nazwisko]],tbl_główna_GRACZE[blk])</f>
        <v>0</v>
      </c>
      <c r="P49" s="10">
        <f>SUMIF(tbl_główna_GRACZE[I. Nazwisko],tbl_zawodnicy_sumy[[#This Row],[I. Nazwisko]],tbl_główna_GRACZE[asst])</f>
        <v>1</v>
      </c>
      <c r="Q49" s="10">
        <f>SUMIF(tbl_główna_GRACZE[I. Nazwisko],tbl_zawodnicy_sumy[[#This Row],[I. Nazwisko]],tbl_główna_GRACZE[min])</f>
        <v>31</v>
      </c>
      <c r="R49" s="10">
        <f>SUMIF(tbl_główna_GRACZE[I. Nazwisko],tbl_zawodnicy_sumy[[#This Row],[I. Nazwisko]],tbl_główna_GRACZE[pts])</f>
        <v>8</v>
      </c>
      <c r="S49" s="11">
        <f t="shared" si="11"/>
        <v>4</v>
      </c>
      <c r="T49" s="4">
        <f t="shared" si="12"/>
        <v>0.33333333333333331</v>
      </c>
      <c r="U49" s="4">
        <f t="shared" si="13"/>
        <v>0</v>
      </c>
      <c r="V49" s="4">
        <f t="shared" si="14"/>
        <v>0.5</v>
      </c>
      <c r="W49" s="4">
        <f>IFERROR(tbl_zawodnicy_sumy[[#This Row],[2pm]]/tbl_zawodnicy_sumy[[#This Row],[2pa]],0)</f>
        <v>0.33333333333333331</v>
      </c>
      <c r="X49" s="4">
        <f t="shared" si="15"/>
        <v>0.37174721189591081</v>
      </c>
      <c r="Y49" s="4">
        <f t="shared" si="16"/>
        <v>0.33333333333333331</v>
      </c>
      <c r="Z49" s="11">
        <f t="shared" si="17"/>
        <v>6</v>
      </c>
      <c r="AA49" s="4">
        <f t="shared" si="18"/>
        <v>0.44444444444444442</v>
      </c>
      <c r="AB49" s="4">
        <f t="shared" si="19"/>
        <v>0</v>
      </c>
      <c r="AC49" s="26">
        <f>IFERROR((SUMIF(tbl_główna_GRACZE[I. Nazwisko],tbl_zawodnicy_sumy[[#This Row],[I. Nazwisko]],tbl_główna_GRACZE[USG%]))/tbl_zawodnicy_sumy[[#This Row],[Played]],0)</f>
        <v>0.14083769633507853</v>
      </c>
      <c r="AD49" s="25">
        <f>IFERROR(tbl_zawodnicy_sumy[[#This Row],[pts]]*(40/tbl_zawodnicy_sumy[[#This Row],[min]]),0)</f>
        <v>10.32258064516129</v>
      </c>
      <c r="AE49" s="30">
        <f>IFERROR(tbl_zawodnicy_sumy[[#This Row],[reb total]]*(40/tbl_zawodnicy_sumy[[#This Row],[min]]),0)</f>
        <v>5.161290322580645</v>
      </c>
      <c r="AF49" s="30">
        <f>IFERROR(tbl_zawodnicy_sumy[[#This Row],[asst]]*(40/tbl_zawodnicy_sumy[[#This Row],[min]]),0)</f>
        <v>1.2903225806451613</v>
      </c>
      <c r="AG49" s="5">
        <f t="shared" si="20"/>
        <v>0.88888888888888884</v>
      </c>
      <c r="AH49" s="5">
        <f>IFERROR((tbl_zawodnicy_sumy[[#This Row],[stl]]+tbl_zawodnicy_sumy[[#This Row],[blk]])*(40/tbl_zawodnicy_sumy[[#This Row],[min]]),0)</f>
        <v>1.2903225806451613</v>
      </c>
      <c r="AI49" s="4">
        <f>IFERROR((SUMIF(tbl_główna_GRACZE[I. Nazwisko],tbl_zawodnicy_sumy[[#This Row],[I. Nazwisko]],tbl_główna_GRACZE[DI]))/tbl_zawodnicy_sumy[[#This Row],[Played]],0)</f>
        <v>4.5454545454545456E-2</v>
      </c>
      <c r="AJ49" s="25">
        <f>tbl_zawodnicy_sumy[[#This Row],[stl]]+tbl_zawodnicy_sumy[[#This Row],[blk]]+(tbl_zawodnicy_sumy[[#This Row],[dreb]]*0.5)</f>
        <v>2.5</v>
      </c>
      <c r="AK49" s="29">
        <f>IFERROR((tbl_zawodnicy_sumy[[#This Row],[stl]]+tbl_zawodnicy_sumy[[#This Row],[blk]]+0.5*tbl_zawodnicy_sumy[[#This Row],[dreb]])/tbl_zawodnicy_sumy[[#This Row],[min]],0)</f>
        <v>8.0645161290322578E-2</v>
      </c>
      <c r="AL49" s="6">
        <f t="shared" si="21"/>
        <v>5.3999999999999995</v>
      </c>
      <c r="AM49" s="6">
        <f>IFERROR(tbl_zawodnicy_sumy[[#This Row],[GmSc]]*(40/tbl_zawodnicy_sumy[[#This Row],[min]]),0)</f>
        <v>6.9677419354838701</v>
      </c>
      <c r="AN49" s="6">
        <f>IFERROR(tbl_zawodnicy_sumy[[#This Row],[EVAL]]*(40/tbl_zawodnicy_sumy[[#This Row],[min]]),0)</f>
        <v>7.741935483870968</v>
      </c>
      <c r="AO49" s="11">
        <f>tbl_zawodnicy_sumy[[#This Row],[fgm]]-tbl_zawodnicy_sumy[[#This Row],[3pm]]</f>
        <v>3</v>
      </c>
      <c r="AP49" s="11">
        <f>tbl_zawodnicy_sumy[[#This Row],[fga]]-tbl_zawodnicy_sumy[[#This Row],[3pa]]</f>
        <v>9</v>
      </c>
      <c r="AQ49">
        <f>SUMIF(tbl_zawodnicy_średnie[I. Nazwisko],tbl_zawodnicy_sumy[[#This Row],[I. Nazwisko]],tbl_zawodnicy_średnie[ID])</f>
        <v>39</v>
      </c>
    </row>
    <row r="50" spans="1:43" ht="14.5" customHeight="1" x14ac:dyDescent="0.35">
      <c r="A50" s="58" t="s">
        <v>52</v>
      </c>
      <c r="B50" s="58" t="s">
        <v>197</v>
      </c>
      <c r="C50" s="9">
        <f>SUMIF(tbl_główna_GRACZE[I. Nazwisko],tbl_zawodnicy_sumy[[#This Row],[I. Nazwisko]],tbl_główna_GRACZE[Played?])</f>
        <v>4</v>
      </c>
      <c r="D50" s="10">
        <f>SUMIF(tbl_główna_GRACZE[I. Nazwisko],tbl_zawodnicy_sumy[[#This Row],[I. Nazwisko]],tbl_główna_GRACZE[fgm])</f>
        <v>17</v>
      </c>
      <c r="E50" s="10">
        <f>SUMIF(tbl_główna_GRACZE[I. Nazwisko],tbl_zawodnicy_sumy[[#This Row],[I. Nazwisko]],tbl_główna_GRACZE[fga])</f>
        <v>63</v>
      </c>
      <c r="F50" s="10">
        <f>SUMIF(tbl_główna_GRACZE[I. Nazwisko],tbl_zawodnicy_sumy[[#This Row],[I. Nazwisko]],tbl_główna_GRACZE[3pm])</f>
        <v>3</v>
      </c>
      <c r="G50" s="10">
        <f>SUMIF(tbl_główna_GRACZE[I. Nazwisko],tbl_zawodnicy_sumy[[#This Row],[I. Nazwisko]],tbl_główna_GRACZE[3pa])</f>
        <v>14</v>
      </c>
      <c r="H50" s="10">
        <f>SUMIF(tbl_główna_GRACZE[I. Nazwisko],tbl_zawodnicy_sumy[[#This Row],[I. Nazwisko]],tbl_główna_GRACZE[ftm])</f>
        <v>2</v>
      </c>
      <c r="I50" s="10">
        <f>SUMIF(tbl_główna_GRACZE[I. Nazwisko],tbl_zawodnicy_sumy[[#This Row],[I. Nazwisko]],tbl_główna_GRACZE[fta])</f>
        <v>4</v>
      </c>
      <c r="J50" s="10">
        <f>SUMIF(tbl_główna_GRACZE[I. Nazwisko],tbl_zawodnicy_sumy[[#This Row],[I. Nazwisko]],tbl_główna_GRACZE[oreb])</f>
        <v>9</v>
      </c>
      <c r="K50" s="10">
        <f>SUMIF(tbl_główna_GRACZE[I. Nazwisko],tbl_zawodnicy_sumy[[#This Row],[I. Nazwisko]],tbl_główna_GRACZE[dreb])</f>
        <v>15</v>
      </c>
      <c r="L50" s="10">
        <f>SUMIF(tbl_główna_GRACZE[I. Nazwisko],tbl_zawodnicy_sumy[[#This Row],[I. Nazwisko]],tbl_główna_GRACZE[foul])</f>
        <v>8</v>
      </c>
      <c r="M50" s="10">
        <f>SUMIF(tbl_główna_GRACZE[I. Nazwisko],tbl_zawodnicy_sumy[[#This Row],[I. Nazwisko]],tbl_główna_GRACZE[stl])</f>
        <v>7</v>
      </c>
      <c r="N50" s="10">
        <f>SUMIF(tbl_główna_GRACZE[I. Nazwisko],tbl_zawodnicy_sumy[[#This Row],[I. Nazwisko]],tbl_główna_GRACZE[to])</f>
        <v>0</v>
      </c>
      <c r="O50" s="10">
        <f>SUMIF(tbl_główna_GRACZE[I. Nazwisko],tbl_zawodnicy_sumy[[#This Row],[I. Nazwisko]],tbl_główna_GRACZE[blk])</f>
        <v>1</v>
      </c>
      <c r="P50" s="10">
        <f>SUMIF(tbl_główna_GRACZE[I. Nazwisko],tbl_zawodnicy_sumy[[#This Row],[I. Nazwisko]],tbl_główna_GRACZE[asst])</f>
        <v>11</v>
      </c>
      <c r="Q50" s="10">
        <f>SUMIF(tbl_główna_GRACZE[I. Nazwisko],tbl_zawodnicy_sumy[[#This Row],[I. Nazwisko]],tbl_główna_GRACZE[min])</f>
        <v>121</v>
      </c>
      <c r="R50" s="10">
        <f>SUMIF(tbl_główna_GRACZE[I. Nazwisko],tbl_zawodnicy_sumy[[#This Row],[I. Nazwisko]],tbl_główna_GRACZE[pts])</f>
        <v>39</v>
      </c>
      <c r="S50" s="11">
        <f t="shared" si="11"/>
        <v>24</v>
      </c>
      <c r="T50" s="4">
        <f t="shared" si="12"/>
        <v>0.26984126984126983</v>
      </c>
      <c r="U50" s="4">
        <f t="shared" si="13"/>
        <v>0.21428571428571427</v>
      </c>
      <c r="V50" s="4">
        <f t="shared" si="14"/>
        <v>0.5</v>
      </c>
      <c r="W50" s="4">
        <f>IFERROR(tbl_zawodnicy_sumy[[#This Row],[2pm]]/tbl_zawodnicy_sumy[[#This Row],[2pa]],0)</f>
        <v>0.2857142857142857</v>
      </c>
      <c r="X50" s="4">
        <f t="shared" si="15"/>
        <v>0.30111179740580601</v>
      </c>
      <c r="Y50" s="4">
        <f t="shared" si="16"/>
        <v>0.29365079365079366</v>
      </c>
      <c r="Z50" s="11">
        <f t="shared" si="17"/>
        <v>34</v>
      </c>
      <c r="AA50" s="4">
        <f t="shared" si="18"/>
        <v>6.3492063492063489E-2</v>
      </c>
      <c r="AB50" s="4">
        <f t="shared" si="19"/>
        <v>0.22222222222222221</v>
      </c>
      <c r="AC50" s="26">
        <f>IFERROR((SUMIF(tbl_główna_GRACZE[I. Nazwisko],tbl_zawodnicy_sumy[[#This Row],[I. Nazwisko]],tbl_główna_GRACZE[USG%]))/tbl_zawodnicy_sumy[[#This Row],[Played]],0)</f>
        <v>0.21790637585396991</v>
      </c>
      <c r="AD50" s="25">
        <f>IFERROR(tbl_zawodnicy_sumy[[#This Row],[pts]]*(40/tbl_zawodnicy_sumy[[#This Row],[min]]),0)</f>
        <v>12.892561983471074</v>
      </c>
      <c r="AE50" s="30">
        <f>IFERROR(tbl_zawodnicy_sumy[[#This Row],[reb total]]*(40/tbl_zawodnicy_sumy[[#This Row],[min]]),0)</f>
        <v>7.9338842975206614</v>
      </c>
      <c r="AF50" s="30">
        <f>IFERROR(tbl_zawodnicy_sumy[[#This Row],[asst]]*(40/tbl_zawodnicy_sumy[[#This Row],[min]]),0)</f>
        <v>3.6363636363636367</v>
      </c>
      <c r="AG50" s="5">
        <f t="shared" si="20"/>
        <v>0.61904761904761907</v>
      </c>
      <c r="AH50" s="5">
        <f>IFERROR((tbl_zawodnicy_sumy[[#This Row],[stl]]+tbl_zawodnicy_sumy[[#This Row],[blk]])*(40/tbl_zawodnicy_sumy[[#This Row],[min]]),0)</f>
        <v>2.6446280991735538</v>
      </c>
      <c r="AI50" s="4">
        <f>IFERROR((SUMIF(tbl_główna_GRACZE[I. Nazwisko],tbl_zawodnicy_sumy[[#This Row],[I. Nazwisko]],tbl_główna_GRACZE[DI]))/tbl_zawodnicy_sumy[[#This Row],[Played]],0)</f>
        <v>0.1314935064935065</v>
      </c>
      <c r="AJ50" s="25">
        <f>tbl_zawodnicy_sumy[[#This Row],[stl]]+tbl_zawodnicy_sumy[[#This Row],[blk]]+(tbl_zawodnicy_sumy[[#This Row],[dreb]]*0.5)</f>
        <v>15.5</v>
      </c>
      <c r="AK50" s="29">
        <f>IFERROR((tbl_zawodnicy_sumy[[#This Row],[stl]]+tbl_zawodnicy_sumy[[#This Row],[blk]]+0.5*tbl_zawodnicy_sumy[[#This Row],[dreb]])/tbl_zawodnicy_sumy[[#This Row],[min]],0)</f>
        <v>0.128099173553719</v>
      </c>
      <c r="AL50" s="6">
        <f t="shared" si="21"/>
        <v>27.1</v>
      </c>
      <c r="AM50" s="6">
        <f>IFERROR(tbl_zawodnicy_sumy[[#This Row],[GmSc]]*(40/tbl_zawodnicy_sumy[[#This Row],[min]]),0)</f>
        <v>8.9586776859504145</v>
      </c>
      <c r="AN50" s="6">
        <f>IFERROR(tbl_zawodnicy_sumy[[#This Row],[EVAL]]*(40/tbl_zawodnicy_sumy[[#This Row],[min]]),0)</f>
        <v>11.239669421487603</v>
      </c>
      <c r="AO50" s="11">
        <f>tbl_zawodnicy_sumy[[#This Row],[fgm]]-tbl_zawodnicy_sumy[[#This Row],[3pm]]</f>
        <v>14</v>
      </c>
      <c r="AP50" s="11">
        <f>tbl_zawodnicy_sumy[[#This Row],[fga]]-tbl_zawodnicy_sumy[[#This Row],[3pa]]</f>
        <v>49</v>
      </c>
      <c r="AQ50">
        <f>SUMIF(tbl_zawodnicy_średnie[I. Nazwisko],tbl_zawodnicy_sumy[[#This Row],[I. Nazwisko]],tbl_zawodnicy_średnie[ID])</f>
        <v>40</v>
      </c>
    </row>
    <row r="51" spans="1:43" ht="14.5" customHeight="1" x14ac:dyDescent="0.35">
      <c r="A51" s="58" t="s">
        <v>52</v>
      </c>
      <c r="B51" s="58" t="s">
        <v>198</v>
      </c>
      <c r="C51" s="9">
        <f>SUMIF(tbl_główna_GRACZE[I. Nazwisko],tbl_zawodnicy_sumy[[#This Row],[I. Nazwisko]],tbl_główna_GRACZE[Played?])</f>
        <v>4</v>
      </c>
      <c r="D51" s="10">
        <f>SUMIF(tbl_główna_GRACZE[I. Nazwisko],tbl_zawodnicy_sumy[[#This Row],[I. Nazwisko]],tbl_główna_GRACZE[fgm])</f>
        <v>14</v>
      </c>
      <c r="E51" s="10">
        <f>SUMIF(tbl_główna_GRACZE[I. Nazwisko],tbl_zawodnicy_sumy[[#This Row],[I. Nazwisko]],tbl_główna_GRACZE[fga])</f>
        <v>46</v>
      </c>
      <c r="F51" s="10">
        <f>SUMIF(tbl_główna_GRACZE[I. Nazwisko],tbl_zawodnicy_sumy[[#This Row],[I. Nazwisko]],tbl_główna_GRACZE[3pm])</f>
        <v>5</v>
      </c>
      <c r="G51" s="10">
        <f>SUMIF(tbl_główna_GRACZE[I. Nazwisko],tbl_zawodnicy_sumy[[#This Row],[I. Nazwisko]],tbl_główna_GRACZE[3pa])</f>
        <v>14</v>
      </c>
      <c r="H51" s="10">
        <f>SUMIF(tbl_główna_GRACZE[I. Nazwisko],tbl_zawodnicy_sumy[[#This Row],[I. Nazwisko]],tbl_główna_GRACZE[ftm])</f>
        <v>0</v>
      </c>
      <c r="I51" s="10">
        <f>SUMIF(tbl_główna_GRACZE[I. Nazwisko],tbl_zawodnicy_sumy[[#This Row],[I. Nazwisko]],tbl_główna_GRACZE[fta])</f>
        <v>0</v>
      </c>
      <c r="J51" s="10">
        <f>SUMIF(tbl_główna_GRACZE[I. Nazwisko],tbl_zawodnicy_sumy[[#This Row],[I. Nazwisko]],tbl_główna_GRACZE[oreb])</f>
        <v>5</v>
      </c>
      <c r="K51" s="10">
        <f>SUMIF(tbl_główna_GRACZE[I. Nazwisko],tbl_zawodnicy_sumy[[#This Row],[I. Nazwisko]],tbl_główna_GRACZE[dreb])</f>
        <v>11</v>
      </c>
      <c r="L51" s="10">
        <f>SUMIF(tbl_główna_GRACZE[I. Nazwisko],tbl_zawodnicy_sumy[[#This Row],[I. Nazwisko]],tbl_główna_GRACZE[foul])</f>
        <v>6</v>
      </c>
      <c r="M51" s="10">
        <f>SUMIF(tbl_główna_GRACZE[I. Nazwisko],tbl_zawodnicy_sumy[[#This Row],[I. Nazwisko]],tbl_główna_GRACZE[stl])</f>
        <v>6</v>
      </c>
      <c r="N51" s="10">
        <f>SUMIF(tbl_główna_GRACZE[I. Nazwisko],tbl_zawodnicy_sumy[[#This Row],[I. Nazwisko]],tbl_główna_GRACZE[to])</f>
        <v>0</v>
      </c>
      <c r="O51" s="10">
        <f>SUMIF(tbl_główna_GRACZE[I. Nazwisko],tbl_zawodnicy_sumy[[#This Row],[I. Nazwisko]],tbl_główna_GRACZE[blk])</f>
        <v>0</v>
      </c>
      <c r="P51" s="10">
        <f>SUMIF(tbl_główna_GRACZE[I. Nazwisko],tbl_zawodnicy_sumy[[#This Row],[I. Nazwisko]],tbl_główna_GRACZE[asst])</f>
        <v>10</v>
      </c>
      <c r="Q51" s="10">
        <f>SUMIF(tbl_główna_GRACZE[I. Nazwisko],tbl_zawodnicy_sumy[[#This Row],[I. Nazwisko]],tbl_główna_GRACZE[min])</f>
        <v>125</v>
      </c>
      <c r="R51" s="10">
        <f>SUMIF(tbl_główna_GRACZE[I. Nazwisko],tbl_zawodnicy_sumy[[#This Row],[I. Nazwisko]],tbl_główna_GRACZE[pts])</f>
        <v>33</v>
      </c>
      <c r="S51" s="11">
        <f t="shared" si="11"/>
        <v>16</v>
      </c>
      <c r="T51" s="4">
        <f t="shared" si="12"/>
        <v>0.30434782608695654</v>
      </c>
      <c r="U51" s="4">
        <f t="shared" si="13"/>
        <v>0.35714285714285715</v>
      </c>
      <c r="V51" s="4">
        <f t="shared" si="14"/>
        <v>0</v>
      </c>
      <c r="W51" s="4">
        <f>IFERROR(tbl_zawodnicy_sumy[[#This Row],[2pm]]/tbl_zawodnicy_sumy[[#This Row],[2pa]],0)</f>
        <v>0.28125</v>
      </c>
      <c r="X51" s="4">
        <f t="shared" si="15"/>
        <v>0.35869565217391303</v>
      </c>
      <c r="Y51" s="4">
        <f t="shared" si="16"/>
        <v>0.35869565217391303</v>
      </c>
      <c r="Z51" s="11">
        <f t="shared" si="17"/>
        <v>33</v>
      </c>
      <c r="AA51" s="4">
        <f t="shared" si="18"/>
        <v>0</v>
      </c>
      <c r="AB51" s="4">
        <f t="shared" si="19"/>
        <v>0.30434782608695654</v>
      </c>
      <c r="AC51" s="26">
        <f>IFERROR((SUMIF(tbl_główna_GRACZE[I. Nazwisko],tbl_zawodnicy_sumy[[#This Row],[I. Nazwisko]],tbl_główna_GRACZE[USG%]))/tbl_zawodnicy_sumy[[#This Row],[Played]],0)</f>
        <v>0.15267356597215581</v>
      </c>
      <c r="AD51" s="25">
        <f>IFERROR(tbl_zawodnicy_sumy[[#This Row],[pts]]*(40/tbl_zawodnicy_sumy[[#This Row],[min]]),0)</f>
        <v>10.56</v>
      </c>
      <c r="AE51" s="30">
        <f>IFERROR(tbl_zawodnicy_sumy[[#This Row],[reb total]]*(40/tbl_zawodnicy_sumy[[#This Row],[min]]),0)</f>
        <v>5.12</v>
      </c>
      <c r="AF51" s="30">
        <f>IFERROR(tbl_zawodnicy_sumy[[#This Row],[asst]]*(40/tbl_zawodnicy_sumy[[#This Row],[min]]),0)</f>
        <v>3.2</v>
      </c>
      <c r="AG51" s="5">
        <f t="shared" si="20"/>
        <v>0.71739130434782605</v>
      </c>
      <c r="AH51" s="5">
        <f>IFERROR((tbl_zawodnicy_sumy[[#This Row],[stl]]+tbl_zawodnicy_sumy[[#This Row],[blk]])*(40/tbl_zawodnicy_sumy[[#This Row],[min]]),0)</f>
        <v>1.92</v>
      </c>
      <c r="AI51" s="4">
        <f>IFERROR((SUMIF(tbl_główna_GRACZE[I. Nazwisko],tbl_zawodnicy_sumy[[#This Row],[I. Nazwisko]],tbl_główna_GRACZE[DI]))/tbl_zawodnicy_sumy[[#This Row],[Played]],0)</f>
        <v>9.6681096681096673E-2</v>
      </c>
      <c r="AJ51" s="25">
        <f>tbl_zawodnicy_sumy[[#This Row],[stl]]+tbl_zawodnicy_sumy[[#This Row],[blk]]+(tbl_zawodnicy_sumy[[#This Row],[dreb]]*0.5)</f>
        <v>11.5</v>
      </c>
      <c r="AK51" s="29">
        <f>IFERROR((tbl_zawodnicy_sumy[[#This Row],[stl]]+tbl_zawodnicy_sumy[[#This Row],[blk]]+0.5*tbl_zawodnicy_sumy[[#This Row],[dreb]])/tbl_zawodnicy_sumy[[#This Row],[min]],0)</f>
        <v>9.1999999999999998E-2</v>
      </c>
      <c r="AL51" s="6">
        <f t="shared" si="21"/>
        <v>26.200000000000006</v>
      </c>
      <c r="AM51" s="6">
        <f>IFERROR(tbl_zawodnicy_sumy[[#This Row],[GmSc]]*(40/tbl_zawodnicy_sumy[[#This Row],[min]]),0)</f>
        <v>8.3840000000000021</v>
      </c>
      <c r="AN51" s="6">
        <f>IFERROR(tbl_zawodnicy_sumy[[#This Row],[EVAL]]*(40/tbl_zawodnicy_sumy[[#This Row],[min]]),0)</f>
        <v>10.56</v>
      </c>
      <c r="AO51" s="11">
        <f>tbl_zawodnicy_sumy[[#This Row],[fgm]]-tbl_zawodnicy_sumy[[#This Row],[3pm]]</f>
        <v>9</v>
      </c>
      <c r="AP51" s="11">
        <f>tbl_zawodnicy_sumy[[#This Row],[fga]]-tbl_zawodnicy_sumy[[#This Row],[3pa]]</f>
        <v>32</v>
      </c>
      <c r="AQ51">
        <f>SUMIF(tbl_zawodnicy_średnie[I. Nazwisko],tbl_zawodnicy_sumy[[#This Row],[I. Nazwisko]],tbl_zawodnicy_średnie[ID])</f>
        <v>41</v>
      </c>
    </row>
    <row r="52" spans="1:43" ht="14.5" customHeight="1" x14ac:dyDescent="0.35">
      <c r="A52" s="58" t="s">
        <v>52</v>
      </c>
      <c r="B52" s="58" t="s">
        <v>199</v>
      </c>
      <c r="C52" s="20">
        <f>SUMIF(tbl_główna_GRACZE[I. Nazwisko],tbl_zawodnicy_sumy[[#This Row],[I. Nazwisko]],tbl_główna_GRACZE[Played?])</f>
        <v>4</v>
      </c>
      <c r="D52" s="10">
        <f>SUMIF(tbl_główna_GRACZE[I. Nazwisko],tbl_zawodnicy_sumy[[#This Row],[I. Nazwisko]],tbl_główna_GRACZE[fgm])</f>
        <v>5</v>
      </c>
      <c r="E52" s="10">
        <f>SUMIF(tbl_główna_GRACZE[I. Nazwisko],tbl_zawodnicy_sumy[[#This Row],[I. Nazwisko]],tbl_główna_GRACZE[fga])</f>
        <v>14</v>
      </c>
      <c r="F52" s="10">
        <f>SUMIF(tbl_główna_GRACZE[I. Nazwisko],tbl_zawodnicy_sumy[[#This Row],[I. Nazwisko]],tbl_główna_GRACZE[3pm])</f>
        <v>0</v>
      </c>
      <c r="G52" s="10">
        <f>SUMIF(tbl_główna_GRACZE[I. Nazwisko],tbl_zawodnicy_sumy[[#This Row],[I. Nazwisko]],tbl_główna_GRACZE[3pa])</f>
        <v>1</v>
      </c>
      <c r="H52" s="10">
        <f>SUMIF(tbl_główna_GRACZE[I. Nazwisko],tbl_zawodnicy_sumy[[#This Row],[I. Nazwisko]],tbl_główna_GRACZE[ftm])</f>
        <v>0</v>
      </c>
      <c r="I52" s="10">
        <f>SUMIF(tbl_główna_GRACZE[I. Nazwisko],tbl_zawodnicy_sumy[[#This Row],[I. Nazwisko]],tbl_główna_GRACZE[fta])</f>
        <v>0</v>
      </c>
      <c r="J52" s="10">
        <f>SUMIF(tbl_główna_GRACZE[I. Nazwisko],tbl_zawodnicy_sumy[[#This Row],[I. Nazwisko]],tbl_główna_GRACZE[oreb])</f>
        <v>7</v>
      </c>
      <c r="K52" s="10">
        <f>SUMIF(tbl_główna_GRACZE[I. Nazwisko],tbl_zawodnicy_sumy[[#This Row],[I. Nazwisko]],tbl_główna_GRACZE[dreb])</f>
        <v>10</v>
      </c>
      <c r="L52" s="10">
        <f>SUMIF(tbl_główna_GRACZE[I. Nazwisko],tbl_zawodnicy_sumy[[#This Row],[I. Nazwisko]],tbl_główna_GRACZE[foul])</f>
        <v>6</v>
      </c>
      <c r="M52" s="10">
        <f>SUMIF(tbl_główna_GRACZE[I. Nazwisko],tbl_zawodnicy_sumy[[#This Row],[I. Nazwisko]],tbl_główna_GRACZE[stl])</f>
        <v>4</v>
      </c>
      <c r="N52" s="10">
        <f>SUMIF(tbl_główna_GRACZE[I. Nazwisko],tbl_zawodnicy_sumy[[#This Row],[I. Nazwisko]],tbl_główna_GRACZE[to])</f>
        <v>0</v>
      </c>
      <c r="O52" s="10">
        <f>SUMIF(tbl_główna_GRACZE[I. Nazwisko],tbl_zawodnicy_sumy[[#This Row],[I. Nazwisko]],tbl_główna_GRACZE[blk])</f>
        <v>0</v>
      </c>
      <c r="P52" s="10">
        <f>SUMIF(tbl_główna_GRACZE[I. Nazwisko],tbl_zawodnicy_sumy[[#This Row],[I. Nazwisko]],tbl_główna_GRACZE[asst])</f>
        <v>1</v>
      </c>
      <c r="Q52" s="10">
        <f>SUMIF(tbl_główna_GRACZE[I. Nazwisko],tbl_zawodnicy_sumy[[#This Row],[I. Nazwisko]],tbl_główna_GRACZE[min])</f>
        <v>57</v>
      </c>
      <c r="R52" s="10">
        <f>SUMIF(tbl_główna_GRACZE[I. Nazwisko],tbl_zawodnicy_sumy[[#This Row],[I. Nazwisko]],tbl_główna_GRACZE[pts])</f>
        <v>10</v>
      </c>
      <c r="S52" s="11">
        <f t="shared" si="11"/>
        <v>17</v>
      </c>
      <c r="T52" s="4">
        <f t="shared" si="12"/>
        <v>0.35714285714285715</v>
      </c>
      <c r="U52" s="4">
        <f t="shared" si="13"/>
        <v>0</v>
      </c>
      <c r="V52" s="4">
        <f t="shared" si="14"/>
        <v>0</v>
      </c>
      <c r="W52" s="4">
        <f>IFERROR(tbl_zawodnicy_sumy[[#This Row],[2pm]]/tbl_zawodnicy_sumy[[#This Row],[2pa]],0)</f>
        <v>0.38461538461538464</v>
      </c>
      <c r="X52" s="4">
        <f t="shared" si="15"/>
        <v>0.35714285714285715</v>
      </c>
      <c r="Y52" s="4">
        <f t="shared" si="16"/>
        <v>0.35714285714285715</v>
      </c>
      <c r="Z52" s="11">
        <f t="shared" si="17"/>
        <v>23</v>
      </c>
      <c r="AA52" s="4">
        <f t="shared" si="18"/>
        <v>0</v>
      </c>
      <c r="AB52" s="4">
        <f t="shared" si="19"/>
        <v>7.1428571428571425E-2</v>
      </c>
      <c r="AC52" s="26">
        <f>IFERROR((SUMIF(tbl_główna_GRACZE[I. Nazwisko],tbl_zawodnicy_sumy[[#This Row],[I. Nazwisko]],tbl_główna_GRACZE[USG%]))/tbl_zawodnicy_sumy[[#This Row],[Played]],0)</f>
        <v>4.891983946899639E-2</v>
      </c>
      <c r="AD52" s="25">
        <f>IFERROR(tbl_zawodnicy_sumy[[#This Row],[pts]]*(40/tbl_zawodnicy_sumy[[#This Row],[min]]),0)</f>
        <v>7.0175438596491224</v>
      </c>
      <c r="AE52" s="30">
        <f>IFERROR(tbl_zawodnicy_sumy[[#This Row],[reb total]]*(40/tbl_zawodnicy_sumy[[#This Row],[min]]),0)</f>
        <v>11.929824561403509</v>
      </c>
      <c r="AF52" s="30">
        <f>IFERROR(tbl_zawodnicy_sumy[[#This Row],[asst]]*(40/tbl_zawodnicy_sumy[[#This Row],[min]]),0)</f>
        <v>0.70175438596491224</v>
      </c>
      <c r="AG52" s="5">
        <f t="shared" si="20"/>
        <v>0.7142857142857143</v>
      </c>
      <c r="AH52" s="5">
        <f>IFERROR((tbl_zawodnicy_sumy[[#This Row],[stl]]+tbl_zawodnicy_sumy[[#This Row],[blk]])*(40/tbl_zawodnicy_sumy[[#This Row],[min]]),0)</f>
        <v>2.807017543859649</v>
      </c>
      <c r="AI52" s="4">
        <f>IFERROR((SUMIF(tbl_główna_GRACZE[I. Nazwisko],tbl_zawodnicy_sumy[[#This Row],[I. Nazwisko]],tbl_główna_GRACZE[DI]))/tbl_zawodnicy_sumy[[#This Row],[Played]],0)</f>
        <v>6.4393939393939392E-2</v>
      </c>
      <c r="AJ52" s="25">
        <f>tbl_zawodnicy_sumy[[#This Row],[stl]]+tbl_zawodnicy_sumy[[#This Row],[blk]]+(tbl_zawodnicy_sumy[[#This Row],[dreb]]*0.5)</f>
        <v>9</v>
      </c>
      <c r="AK52" s="29">
        <f>IFERROR((tbl_zawodnicy_sumy[[#This Row],[stl]]+tbl_zawodnicy_sumy[[#This Row],[blk]]+0.5*tbl_zawodnicy_sumy[[#This Row],[dreb]])/tbl_zawodnicy_sumy[[#This Row],[min]],0)</f>
        <v>0.15789473684210525</v>
      </c>
      <c r="AL52" s="6">
        <f t="shared" si="21"/>
        <v>14.8</v>
      </c>
      <c r="AM52" s="6">
        <f>IFERROR(tbl_zawodnicy_sumy[[#This Row],[GmSc]]*(40/tbl_zawodnicy_sumy[[#This Row],[min]]),0)</f>
        <v>10.385964912280702</v>
      </c>
      <c r="AN52" s="6">
        <f>IFERROR(tbl_zawodnicy_sumy[[#This Row],[EVAL]]*(40/tbl_zawodnicy_sumy[[#This Row],[min]]),0)</f>
        <v>16.140350877192983</v>
      </c>
      <c r="AO52" s="11">
        <f>tbl_zawodnicy_sumy[[#This Row],[fgm]]-tbl_zawodnicy_sumy[[#This Row],[3pm]]</f>
        <v>5</v>
      </c>
      <c r="AP52" s="11">
        <f>tbl_zawodnicy_sumy[[#This Row],[fga]]-tbl_zawodnicy_sumy[[#This Row],[3pa]]</f>
        <v>13</v>
      </c>
      <c r="AQ52">
        <f>SUMIF(tbl_zawodnicy_średnie[I. Nazwisko],tbl_zawodnicy_sumy[[#This Row],[I. Nazwisko]],tbl_zawodnicy_średnie[ID])</f>
        <v>42</v>
      </c>
    </row>
    <row r="53" spans="1:43" ht="14.5" customHeight="1" x14ac:dyDescent="0.35">
      <c r="A53" s="58" t="s">
        <v>52</v>
      </c>
      <c r="B53" s="58" t="s">
        <v>200</v>
      </c>
      <c r="C53" s="9">
        <f>SUMIF(tbl_główna_GRACZE[I. Nazwisko],tbl_zawodnicy_sumy[[#This Row],[I. Nazwisko]],tbl_główna_GRACZE[Played?])</f>
        <v>4</v>
      </c>
      <c r="D53" s="10">
        <f>SUMIF(tbl_główna_GRACZE[I. Nazwisko],tbl_zawodnicy_sumy[[#This Row],[I. Nazwisko]],tbl_główna_GRACZE[fgm])</f>
        <v>9</v>
      </c>
      <c r="E53" s="10">
        <f>SUMIF(tbl_główna_GRACZE[I. Nazwisko],tbl_zawodnicy_sumy[[#This Row],[I. Nazwisko]],tbl_główna_GRACZE[fga])</f>
        <v>34</v>
      </c>
      <c r="F53" s="10">
        <f>SUMIF(tbl_główna_GRACZE[I. Nazwisko],tbl_zawodnicy_sumy[[#This Row],[I. Nazwisko]],tbl_główna_GRACZE[3pm])</f>
        <v>1</v>
      </c>
      <c r="G53" s="10">
        <f>SUMIF(tbl_główna_GRACZE[I. Nazwisko],tbl_zawodnicy_sumy[[#This Row],[I. Nazwisko]],tbl_główna_GRACZE[3pa])</f>
        <v>4</v>
      </c>
      <c r="H53" s="10">
        <f>SUMIF(tbl_główna_GRACZE[I. Nazwisko],tbl_zawodnicy_sumy[[#This Row],[I. Nazwisko]],tbl_główna_GRACZE[ftm])</f>
        <v>0</v>
      </c>
      <c r="I53" s="10">
        <f>SUMIF(tbl_główna_GRACZE[I. Nazwisko],tbl_zawodnicy_sumy[[#This Row],[I. Nazwisko]],tbl_główna_GRACZE[fta])</f>
        <v>4</v>
      </c>
      <c r="J53" s="10">
        <f>SUMIF(tbl_główna_GRACZE[I. Nazwisko],tbl_zawodnicy_sumy[[#This Row],[I. Nazwisko]],tbl_główna_GRACZE[oreb])</f>
        <v>10</v>
      </c>
      <c r="K53" s="10">
        <f>SUMIF(tbl_główna_GRACZE[I. Nazwisko],tbl_zawodnicy_sumy[[#This Row],[I. Nazwisko]],tbl_główna_GRACZE[dreb])</f>
        <v>10</v>
      </c>
      <c r="L53" s="10">
        <f>SUMIF(tbl_główna_GRACZE[I. Nazwisko],tbl_zawodnicy_sumy[[#This Row],[I. Nazwisko]],tbl_główna_GRACZE[foul])</f>
        <v>3</v>
      </c>
      <c r="M53" s="10">
        <f>SUMIF(tbl_główna_GRACZE[I. Nazwisko],tbl_zawodnicy_sumy[[#This Row],[I. Nazwisko]],tbl_główna_GRACZE[stl])</f>
        <v>2</v>
      </c>
      <c r="N53" s="10">
        <f>SUMIF(tbl_główna_GRACZE[I. Nazwisko],tbl_zawodnicy_sumy[[#This Row],[I. Nazwisko]],tbl_główna_GRACZE[to])</f>
        <v>0</v>
      </c>
      <c r="O53" s="10">
        <f>SUMIF(tbl_główna_GRACZE[I. Nazwisko],tbl_zawodnicy_sumy[[#This Row],[I. Nazwisko]],tbl_główna_GRACZE[blk])</f>
        <v>1</v>
      </c>
      <c r="P53" s="10">
        <f>SUMIF(tbl_główna_GRACZE[I. Nazwisko],tbl_zawodnicy_sumy[[#This Row],[I. Nazwisko]],tbl_główna_GRACZE[asst])</f>
        <v>1</v>
      </c>
      <c r="Q53" s="10">
        <f>SUMIF(tbl_główna_GRACZE[I. Nazwisko],tbl_zawodnicy_sumy[[#This Row],[I. Nazwisko]],tbl_główna_GRACZE[min])</f>
        <v>67</v>
      </c>
      <c r="R53" s="10">
        <f>SUMIF(tbl_główna_GRACZE[I. Nazwisko],tbl_zawodnicy_sumy[[#This Row],[I. Nazwisko]],tbl_główna_GRACZE[pts])</f>
        <v>19</v>
      </c>
      <c r="S53" s="11">
        <f t="shared" si="11"/>
        <v>20</v>
      </c>
      <c r="T53" s="4">
        <f t="shared" si="12"/>
        <v>0.26470588235294118</v>
      </c>
      <c r="U53" s="4">
        <f t="shared" si="13"/>
        <v>0.25</v>
      </c>
      <c r="V53" s="4">
        <f t="shared" si="14"/>
        <v>0</v>
      </c>
      <c r="W53" s="4">
        <f>IFERROR(tbl_zawodnicy_sumy[[#This Row],[2pm]]/tbl_zawodnicy_sumy[[#This Row],[2pa]],0)</f>
        <v>0.26666666666666666</v>
      </c>
      <c r="X53" s="4">
        <f t="shared" si="15"/>
        <v>0.26565995525727071</v>
      </c>
      <c r="Y53" s="4">
        <f t="shared" si="16"/>
        <v>0.27941176470588236</v>
      </c>
      <c r="Z53" s="11">
        <f t="shared" si="17"/>
        <v>14</v>
      </c>
      <c r="AA53" s="4">
        <f t="shared" si="18"/>
        <v>0.11764705882352941</v>
      </c>
      <c r="AB53" s="4">
        <f t="shared" si="19"/>
        <v>0.11764705882352941</v>
      </c>
      <c r="AC53" s="26">
        <f>IFERROR((SUMIF(tbl_główna_GRACZE[I. Nazwisko],tbl_zawodnicy_sumy[[#This Row],[I. Nazwisko]],tbl_główna_GRACZE[USG%]))/tbl_zawodnicy_sumy[[#This Row],[Played]],0)</f>
        <v>0.11821861269090397</v>
      </c>
      <c r="AD53" s="25">
        <f>IFERROR(tbl_zawodnicy_sumy[[#This Row],[pts]]*(40/tbl_zawodnicy_sumy[[#This Row],[min]]),0)</f>
        <v>11.343283582089551</v>
      </c>
      <c r="AE53" s="30">
        <f>IFERROR(tbl_zawodnicy_sumy[[#This Row],[reb total]]*(40/tbl_zawodnicy_sumy[[#This Row],[min]]),0)</f>
        <v>11.940298507462686</v>
      </c>
      <c r="AF53" s="30">
        <f>IFERROR(tbl_zawodnicy_sumy[[#This Row],[asst]]*(40/tbl_zawodnicy_sumy[[#This Row],[min]]),0)</f>
        <v>0.59701492537313428</v>
      </c>
      <c r="AG53" s="5">
        <f t="shared" si="20"/>
        <v>0.55882352941176472</v>
      </c>
      <c r="AH53" s="5">
        <f>IFERROR((tbl_zawodnicy_sumy[[#This Row],[stl]]+tbl_zawodnicy_sumy[[#This Row],[blk]])*(40/tbl_zawodnicy_sumy[[#This Row],[min]]),0)</f>
        <v>1.7910447761194028</v>
      </c>
      <c r="AI53" s="4">
        <f>IFERROR((SUMIF(tbl_główna_GRACZE[I. Nazwisko],tbl_zawodnicy_sumy[[#This Row],[I. Nazwisko]],tbl_główna_GRACZE[DI]))/tbl_zawodnicy_sumy[[#This Row],[Played]],0)</f>
        <v>5.3571428571428568E-2</v>
      </c>
      <c r="AJ53" s="25">
        <f>tbl_zawodnicy_sumy[[#This Row],[stl]]+tbl_zawodnicy_sumy[[#This Row],[blk]]+(tbl_zawodnicy_sumy[[#This Row],[dreb]]*0.5)</f>
        <v>8</v>
      </c>
      <c r="AK53" s="29">
        <f>IFERROR((tbl_zawodnicy_sumy[[#This Row],[stl]]+tbl_zawodnicy_sumy[[#This Row],[blk]]+0.5*tbl_zawodnicy_sumy[[#This Row],[dreb]])/tbl_zawodnicy_sumy[[#This Row],[min]],0)</f>
        <v>0.11940298507462686</v>
      </c>
      <c r="AL53" s="6">
        <f t="shared" si="21"/>
        <v>10.600000000000003</v>
      </c>
      <c r="AM53" s="6">
        <f>IFERROR(tbl_zawodnicy_sumy[[#This Row],[GmSc]]*(40/tbl_zawodnicy_sumy[[#This Row],[min]]),0)</f>
        <v>6.3283582089552253</v>
      </c>
      <c r="AN53" s="6">
        <f>IFERROR(tbl_zawodnicy_sumy[[#This Row],[EVAL]]*(40/tbl_zawodnicy_sumy[[#This Row],[min]]),0)</f>
        <v>8.3582089552238799</v>
      </c>
      <c r="AO53" s="11">
        <f>tbl_zawodnicy_sumy[[#This Row],[fgm]]-tbl_zawodnicy_sumy[[#This Row],[3pm]]</f>
        <v>8</v>
      </c>
      <c r="AP53" s="11">
        <f>tbl_zawodnicy_sumy[[#This Row],[fga]]-tbl_zawodnicy_sumy[[#This Row],[3pa]]</f>
        <v>30</v>
      </c>
      <c r="AQ53">
        <f>SUMIF(tbl_zawodnicy_średnie[I. Nazwisko],tbl_zawodnicy_sumy[[#This Row],[I. Nazwisko]],tbl_zawodnicy_średnie[ID])</f>
        <v>43</v>
      </c>
    </row>
    <row r="54" spans="1:43" ht="14.5" customHeight="1" x14ac:dyDescent="0.35">
      <c r="A54" s="58" t="s">
        <v>52</v>
      </c>
      <c r="B54" s="58" t="s">
        <v>201</v>
      </c>
      <c r="C54" s="9">
        <f>SUMIF(tbl_główna_GRACZE[I. Nazwisko],tbl_zawodnicy_sumy[[#This Row],[I. Nazwisko]],tbl_główna_GRACZE[Played?])</f>
        <v>3</v>
      </c>
      <c r="D54" s="10">
        <f>SUMIF(tbl_główna_GRACZE[I. Nazwisko],tbl_zawodnicy_sumy[[#This Row],[I. Nazwisko]],tbl_główna_GRACZE[fgm])</f>
        <v>5</v>
      </c>
      <c r="E54" s="10">
        <f>SUMIF(tbl_główna_GRACZE[I. Nazwisko],tbl_zawodnicy_sumy[[#This Row],[I. Nazwisko]],tbl_główna_GRACZE[fga])</f>
        <v>23</v>
      </c>
      <c r="F54" s="10">
        <f>SUMIF(tbl_główna_GRACZE[I. Nazwisko],tbl_zawodnicy_sumy[[#This Row],[I. Nazwisko]],tbl_główna_GRACZE[3pm])</f>
        <v>0</v>
      </c>
      <c r="G54" s="10">
        <f>SUMIF(tbl_główna_GRACZE[I. Nazwisko],tbl_zawodnicy_sumy[[#This Row],[I. Nazwisko]],tbl_główna_GRACZE[3pa])</f>
        <v>5</v>
      </c>
      <c r="H54" s="10">
        <f>SUMIF(tbl_główna_GRACZE[I. Nazwisko],tbl_zawodnicy_sumy[[#This Row],[I. Nazwisko]],tbl_główna_GRACZE[ftm])</f>
        <v>0</v>
      </c>
      <c r="I54" s="10">
        <f>SUMIF(tbl_główna_GRACZE[I. Nazwisko],tbl_zawodnicy_sumy[[#This Row],[I. Nazwisko]],tbl_główna_GRACZE[fta])</f>
        <v>0</v>
      </c>
      <c r="J54" s="10">
        <f>SUMIF(tbl_główna_GRACZE[I. Nazwisko],tbl_zawodnicy_sumy[[#This Row],[I. Nazwisko]],tbl_główna_GRACZE[oreb])</f>
        <v>6</v>
      </c>
      <c r="K54" s="10">
        <f>SUMIF(tbl_główna_GRACZE[I. Nazwisko],tbl_zawodnicy_sumy[[#This Row],[I. Nazwisko]],tbl_główna_GRACZE[dreb])</f>
        <v>9</v>
      </c>
      <c r="L54" s="10">
        <f>SUMIF(tbl_główna_GRACZE[I. Nazwisko],tbl_zawodnicy_sumy[[#This Row],[I. Nazwisko]],tbl_główna_GRACZE[foul])</f>
        <v>3</v>
      </c>
      <c r="M54" s="10">
        <f>SUMIF(tbl_główna_GRACZE[I. Nazwisko],tbl_zawodnicy_sumy[[#This Row],[I. Nazwisko]],tbl_główna_GRACZE[stl])</f>
        <v>2</v>
      </c>
      <c r="N54" s="10">
        <f>SUMIF(tbl_główna_GRACZE[I. Nazwisko],tbl_zawodnicy_sumy[[#This Row],[I. Nazwisko]],tbl_główna_GRACZE[to])</f>
        <v>0</v>
      </c>
      <c r="O54" s="10">
        <f>SUMIF(tbl_główna_GRACZE[I. Nazwisko],tbl_zawodnicy_sumy[[#This Row],[I. Nazwisko]],tbl_główna_GRACZE[blk])</f>
        <v>3</v>
      </c>
      <c r="P54" s="10">
        <f>SUMIF(tbl_główna_GRACZE[I. Nazwisko],tbl_zawodnicy_sumy[[#This Row],[I. Nazwisko]],tbl_główna_GRACZE[asst])</f>
        <v>2</v>
      </c>
      <c r="Q54" s="10">
        <f>SUMIF(tbl_główna_GRACZE[I. Nazwisko],tbl_zawodnicy_sumy[[#This Row],[I. Nazwisko]],tbl_główna_GRACZE[min])</f>
        <v>48</v>
      </c>
      <c r="R54" s="10">
        <f>SUMIF(tbl_główna_GRACZE[I. Nazwisko],tbl_zawodnicy_sumy[[#This Row],[I. Nazwisko]],tbl_główna_GRACZE[pts])</f>
        <v>10</v>
      </c>
      <c r="S54" s="11">
        <f t="shared" si="11"/>
        <v>15</v>
      </c>
      <c r="T54" s="4">
        <f t="shared" si="12"/>
        <v>0.21739130434782608</v>
      </c>
      <c r="U54" s="4">
        <f t="shared" si="13"/>
        <v>0</v>
      </c>
      <c r="V54" s="4">
        <f t="shared" si="14"/>
        <v>0</v>
      </c>
      <c r="W54" s="4">
        <f>IFERROR(tbl_zawodnicy_sumy[[#This Row],[2pm]]/tbl_zawodnicy_sumy[[#This Row],[2pa]],0)</f>
        <v>0.27777777777777779</v>
      </c>
      <c r="X54" s="4">
        <f t="shared" si="15"/>
        <v>0.21739130434782608</v>
      </c>
      <c r="Y54" s="4">
        <f t="shared" si="16"/>
        <v>0.21739130434782608</v>
      </c>
      <c r="Z54" s="11">
        <f t="shared" si="17"/>
        <v>14</v>
      </c>
      <c r="AA54" s="4">
        <f t="shared" si="18"/>
        <v>0</v>
      </c>
      <c r="AB54" s="4">
        <f t="shared" si="19"/>
        <v>0.21739130434782608</v>
      </c>
      <c r="AC54" s="26">
        <f>IFERROR((SUMIF(tbl_główna_GRACZE[I. Nazwisko],tbl_zawodnicy_sumy[[#This Row],[I. Nazwisko]],tbl_główna_GRACZE[USG%]))/tbl_zawodnicy_sumy[[#This Row],[Played]],0)</f>
        <v>9.5021209632733597E-2</v>
      </c>
      <c r="AD54" s="25">
        <f>IFERROR(tbl_zawodnicy_sumy[[#This Row],[pts]]*(40/tbl_zawodnicy_sumy[[#This Row],[min]]),0)</f>
        <v>8.3333333333333339</v>
      </c>
      <c r="AE54" s="30">
        <f>IFERROR(tbl_zawodnicy_sumy[[#This Row],[reb total]]*(40/tbl_zawodnicy_sumy[[#This Row],[min]]),0)</f>
        <v>12.5</v>
      </c>
      <c r="AF54" s="30">
        <f>IFERROR(tbl_zawodnicy_sumy[[#This Row],[asst]]*(40/tbl_zawodnicy_sumy[[#This Row],[min]]),0)</f>
        <v>1.6666666666666667</v>
      </c>
      <c r="AG54" s="5">
        <f t="shared" si="20"/>
        <v>0.43478260869565216</v>
      </c>
      <c r="AH54" s="5">
        <f>IFERROR((tbl_zawodnicy_sumy[[#This Row],[stl]]+tbl_zawodnicy_sumy[[#This Row],[blk]])*(40/tbl_zawodnicy_sumy[[#This Row],[min]]),0)</f>
        <v>4.166666666666667</v>
      </c>
      <c r="AI54" s="4">
        <f>IFERROR((SUMIF(tbl_główna_GRACZE[I. Nazwisko],tbl_zawodnicy_sumy[[#This Row],[I. Nazwisko]],tbl_główna_GRACZE[DI]))/tbl_zawodnicy_sumy[[#This Row],[Played]],0)</f>
        <v>0.11471861471861471</v>
      </c>
      <c r="AJ54" s="25">
        <f>tbl_zawodnicy_sumy[[#This Row],[stl]]+tbl_zawodnicy_sumy[[#This Row],[blk]]+(tbl_zawodnicy_sumy[[#This Row],[dreb]]*0.5)</f>
        <v>9.5</v>
      </c>
      <c r="AK54" s="29">
        <f>IFERROR((tbl_zawodnicy_sumy[[#This Row],[stl]]+tbl_zawodnicy_sumy[[#This Row],[blk]]+0.5*tbl_zawodnicy_sumy[[#This Row],[dreb]])/tbl_zawodnicy_sumy[[#This Row],[min]],0)</f>
        <v>0.19791666666666666</v>
      </c>
      <c r="AL54" s="6">
        <f t="shared" si="21"/>
        <v>8.3000000000000007</v>
      </c>
      <c r="AM54" s="6">
        <f>IFERROR(tbl_zawodnicy_sumy[[#This Row],[GmSc]]*(40/tbl_zawodnicy_sumy[[#This Row],[min]]),0)</f>
        <v>6.9166666666666679</v>
      </c>
      <c r="AN54" s="6">
        <f>IFERROR(tbl_zawodnicy_sumy[[#This Row],[EVAL]]*(40/tbl_zawodnicy_sumy[[#This Row],[min]]),0)</f>
        <v>11.666666666666668</v>
      </c>
      <c r="AO54" s="11">
        <f>tbl_zawodnicy_sumy[[#This Row],[fgm]]-tbl_zawodnicy_sumy[[#This Row],[3pm]]</f>
        <v>5</v>
      </c>
      <c r="AP54" s="11">
        <f>tbl_zawodnicy_sumy[[#This Row],[fga]]-tbl_zawodnicy_sumy[[#This Row],[3pa]]</f>
        <v>18</v>
      </c>
      <c r="AQ54">
        <f>SUMIF(tbl_zawodnicy_średnie[I. Nazwisko],tbl_zawodnicy_sumy[[#This Row],[I. Nazwisko]],tbl_zawodnicy_średnie[ID])</f>
        <v>44</v>
      </c>
    </row>
    <row r="55" spans="1:43" ht="14.5" customHeight="1" x14ac:dyDescent="0.35">
      <c r="A55" s="58" t="s">
        <v>52</v>
      </c>
      <c r="B55" s="58" t="s">
        <v>202</v>
      </c>
      <c r="C55" s="9">
        <f>SUMIF(tbl_główna_GRACZE[I. Nazwisko],tbl_zawodnicy_sumy[[#This Row],[I. Nazwisko]],tbl_główna_GRACZE[Played?])</f>
        <v>2</v>
      </c>
      <c r="D55" s="10">
        <f>SUMIF(tbl_główna_GRACZE[I. Nazwisko],tbl_zawodnicy_sumy[[#This Row],[I. Nazwisko]],tbl_główna_GRACZE[fgm])</f>
        <v>0</v>
      </c>
      <c r="E55" s="10">
        <f>SUMIF(tbl_główna_GRACZE[I. Nazwisko],tbl_zawodnicy_sumy[[#This Row],[I. Nazwisko]],tbl_główna_GRACZE[fga])</f>
        <v>5</v>
      </c>
      <c r="F55" s="10">
        <f>SUMIF(tbl_główna_GRACZE[I. Nazwisko],tbl_zawodnicy_sumy[[#This Row],[I. Nazwisko]],tbl_główna_GRACZE[3pm])</f>
        <v>0</v>
      </c>
      <c r="G55" s="10">
        <f>SUMIF(tbl_główna_GRACZE[I. Nazwisko],tbl_zawodnicy_sumy[[#This Row],[I. Nazwisko]],tbl_główna_GRACZE[3pa])</f>
        <v>4</v>
      </c>
      <c r="H55" s="10">
        <f>SUMIF(tbl_główna_GRACZE[I. Nazwisko],tbl_zawodnicy_sumy[[#This Row],[I. Nazwisko]],tbl_główna_GRACZE[ftm])</f>
        <v>0</v>
      </c>
      <c r="I55" s="10">
        <f>SUMIF(tbl_główna_GRACZE[I. Nazwisko],tbl_zawodnicy_sumy[[#This Row],[I. Nazwisko]],tbl_główna_GRACZE[fta])</f>
        <v>2</v>
      </c>
      <c r="J55" s="10">
        <f>SUMIF(tbl_główna_GRACZE[I. Nazwisko],tbl_zawodnicy_sumy[[#This Row],[I. Nazwisko]],tbl_główna_GRACZE[oreb])</f>
        <v>1</v>
      </c>
      <c r="K55" s="10">
        <f>SUMIF(tbl_główna_GRACZE[I. Nazwisko],tbl_zawodnicy_sumy[[#This Row],[I. Nazwisko]],tbl_główna_GRACZE[dreb])</f>
        <v>3</v>
      </c>
      <c r="L55" s="10">
        <f>SUMIF(tbl_główna_GRACZE[I. Nazwisko],tbl_zawodnicy_sumy[[#This Row],[I. Nazwisko]],tbl_główna_GRACZE[foul])</f>
        <v>1</v>
      </c>
      <c r="M55" s="10">
        <f>SUMIF(tbl_główna_GRACZE[I. Nazwisko],tbl_zawodnicy_sumy[[#This Row],[I. Nazwisko]],tbl_główna_GRACZE[stl])</f>
        <v>1</v>
      </c>
      <c r="N55" s="10">
        <f>SUMIF(tbl_główna_GRACZE[I. Nazwisko],tbl_zawodnicy_sumy[[#This Row],[I. Nazwisko]],tbl_główna_GRACZE[to])</f>
        <v>0</v>
      </c>
      <c r="O55" s="10">
        <f>SUMIF(tbl_główna_GRACZE[I. Nazwisko],tbl_zawodnicy_sumy[[#This Row],[I. Nazwisko]],tbl_główna_GRACZE[blk])</f>
        <v>0</v>
      </c>
      <c r="P55" s="10">
        <f>SUMIF(tbl_główna_GRACZE[I. Nazwisko],tbl_zawodnicy_sumy[[#This Row],[I. Nazwisko]],tbl_główna_GRACZE[asst])</f>
        <v>2</v>
      </c>
      <c r="Q55" s="10">
        <f>SUMIF(tbl_główna_GRACZE[I. Nazwisko],tbl_zawodnicy_sumy[[#This Row],[I. Nazwisko]],tbl_główna_GRACZE[min])</f>
        <v>20</v>
      </c>
      <c r="R55" s="10">
        <f>SUMIF(tbl_główna_GRACZE[I. Nazwisko],tbl_zawodnicy_sumy[[#This Row],[I. Nazwisko]],tbl_główna_GRACZE[pts])</f>
        <v>0</v>
      </c>
      <c r="S55" s="11">
        <f t="shared" si="11"/>
        <v>4</v>
      </c>
      <c r="T55" s="4">
        <f t="shared" si="12"/>
        <v>0</v>
      </c>
      <c r="U55" s="4">
        <f t="shared" si="13"/>
        <v>0</v>
      </c>
      <c r="V55" s="4">
        <f t="shared" si="14"/>
        <v>0</v>
      </c>
      <c r="W55" s="4">
        <f>IFERROR(tbl_zawodnicy_sumy[[#This Row],[2pm]]/tbl_zawodnicy_sumy[[#This Row],[2pa]],0)</f>
        <v>0</v>
      </c>
      <c r="X55" s="4">
        <f t="shared" si="15"/>
        <v>0</v>
      </c>
      <c r="Y55" s="4">
        <f t="shared" si="16"/>
        <v>0</v>
      </c>
      <c r="Z55" s="11">
        <f t="shared" si="17"/>
        <v>0</v>
      </c>
      <c r="AA55" s="4">
        <f t="shared" si="18"/>
        <v>0.4</v>
      </c>
      <c r="AB55" s="4">
        <f t="shared" si="19"/>
        <v>0.8</v>
      </c>
      <c r="AC55" s="26">
        <f>IFERROR((SUMIF(tbl_główna_GRACZE[I. Nazwisko],tbl_zawodnicy_sumy[[#This Row],[I. Nazwisko]],tbl_główna_GRACZE[USG%]))/tbl_zawodnicy_sumy[[#This Row],[Played]],0)</f>
        <v>4.9532522350006825E-2</v>
      </c>
      <c r="AD55" s="25">
        <f>IFERROR(tbl_zawodnicy_sumy[[#This Row],[pts]]*(40/tbl_zawodnicy_sumy[[#This Row],[min]]),0)</f>
        <v>0</v>
      </c>
      <c r="AE55" s="30">
        <f>IFERROR(tbl_zawodnicy_sumy[[#This Row],[reb total]]*(40/tbl_zawodnicy_sumy[[#This Row],[min]]),0)</f>
        <v>8</v>
      </c>
      <c r="AF55" s="30">
        <f>IFERROR(tbl_zawodnicy_sumy[[#This Row],[asst]]*(40/tbl_zawodnicy_sumy[[#This Row],[min]]),0)</f>
        <v>4</v>
      </c>
      <c r="AG55" s="5">
        <f t="shared" si="20"/>
        <v>0</v>
      </c>
      <c r="AH55" s="5">
        <f>IFERROR((tbl_zawodnicy_sumy[[#This Row],[stl]]+tbl_zawodnicy_sumy[[#This Row],[blk]])*(40/tbl_zawodnicy_sumy[[#This Row],[min]]),0)</f>
        <v>2</v>
      </c>
      <c r="AI55" s="4">
        <f>IFERROR((SUMIF(tbl_główna_GRACZE[I. Nazwisko],tbl_zawodnicy_sumy[[#This Row],[I. Nazwisko]],tbl_główna_GRACZE[DI]))/tbl_zawodnicy_sumy[[#This Row],[Played]],0)</f>
        <v>2.2727272727272728E-2</v>
      </c>
      <c r="AJ55" s="25">
        <f>tbl_zawodnicy_sumy[[#This Row],[stl]]+tbl_zawodnicy_sumy[[#This Row],[blk]]+(tbl_zawodnicy_sumy[[#This Row],[dreb]]*0.5)</f>
        <v>2.5</v>
      </c>
      <c r="AK55" s="29">
        <f>IFERROR((tbl_zawodnicy_sumy[[#This Row],[stl]]+tbl_zawodnicy_sumy[[#This Row],[blk]]+0.5*tbl_zawodnicy_sumy[[#This Row],[dreb]])/tbl_zawodnicy_sumy[[#This Row],[min]],0)</f>
        <v>0.125</v>
      </c>
      <c r="AL55" s="6">
        <f t="shared" si="21"/>
        <v>-0.29999999999999982</v>
      </c>
      <c r="AM55" s="6">
        <f>IFERROR(tbl_zawodnicy_sumy[[#This Row],[GmSc]]*(40/tbl_zawodnicy_sumy[[#This Row],[min]]),0)</f>
        <v>-0.59999999999999964</v>
      </c>
      <c r="AN55" s="6">
        <f>IFERROR(tbl_zawodnicy_sumy[[#This Row],[EVAL]]*(40/tbl_zawodnicy_sumy[[#This Row],[min]]),0)</f>
        <v>0</v>
      </c>
      <c r="AO55" s="11">
        <f>tbl_zawodnicy_sumy[[#This Row],[fgm]]-tbl_zawodnicy_sumy[[#This Row],[3pm]]</f>
        <v>0</v>
      </c>
      <c r="AP55" s="11">
        <f>tbl_zawodnicy_sumy[[#This Row],[fga]]-tbl_zawodnicy_sumy[[#This Row],[3pa]]</f>
        <v>1</v>
      </c>
      <c r="AQ55">
        <f>SUMIF(tbl_zawodnicy_średnie[I. Nazwisko],tbl_zawodnicy_sumy[[#This Row],[I. Nazwisko]],tbl_zawodnicy_średnie[ID])</f>
        <v>45</v>
      </c>
    </row>
    <row r="56" spans="1:43" ht="14.5" customHeight="1" x14ac:dyDescent="0.35">
      <c r="A56" s="58" t="s">
        <v>52</v>
      </c>
      <c r="B56" s="58" t="s">
        <v>203</v>
      </c>
      <c r="C56" s="9">
        <f>SUMIF(tbl_główna_GRACZE[I. Nazwisko],tbl_zawodnicy_sumy[[#This Row],[I. Nazwisko]],tbl_główna_GRACZE[Played?])</f>
        <v>2</v>
      </c>
      <c r="D56" s="10">
        <f>SUMIF(tbl_główna_GRACZE[I. Nazwisko],tbl_zawodnicy_sumy[[#This Row],[I. Nazwisko]],tbl_główna_GRACZE[fgm])</f>
        <v>0</v>
      </c>
      <c r="E56" s="10">
        <f>SUMIF(tbl_główna_GRACZE[I. Nazwisko],tbl_zawodnicy_sumy[[#This Row],[I. Nazwisko]],tbl_główna_GRACZE[fga])</f>
        <v>3</v>
      </c>
      <c r="F56" s="10">
        <f>SUMIF(tbl_główna_GRACZE[I. Nazwisko],tbl_zawodnicy_sumy[[#This Row],[I. Nazwisko]],tbl_główna_GRACZE[3pm])</f>
        <v>0</v>
      </c>
      <c r="G56" s="10">
        <f>SUMIF(tbl_główna_GRACZE[I. Nazwisko],tbl_zawodnicy_sumy[[#This Row],[I. Nazwisko]],tbl_główna_GRACZE[3pa])</f>
        <v>0</v>
      </c>
      <c r="H56" s="10">
        <f>SUMIF(tbl_główna_GRACZE[I. Nazwisko],tbl_zawodnicy_sumy[[#This Row],[I. Nazwisko]],tbl_główna_GRACZE[ftm])</f>
        <v>0</v>
      </c>
      <c r="I56" s="10">
        <f>SUMIF(tbl_główna_GRACZE[I. Nazwisko],tbl_zawodnicy_sumy[[#This Row],[I. Nazwisko]],tbl_główna_GRACZE[fta])</f>
        <v>0</v>
      </c>
      <c r="J56" s="10">
        <f>SUMIF(tbl_główna_GRACZE[I. Nazwisko],tbl_zawodnicy_sumy[[#This Row],[I. Nazwisko]],tbl_główna_GRACZE[oreb])</f>
        <v>2</v>
      </c>
      <c r="K56" s="10">
        <f>SUMIF(tbl_główna_GRACZE[I. Nazwisko],tbl_zawodnicy_sumy[[#This Row],[I. Nazwisko]],tbl_główna_GRACZE[dreb])</f>
        <v>1</v>
      </c>
      <c r="L56" s="10">
        <f>SUMIF(tbl_główna_GRACZE[I. Nazwisko],tbl_zawodnicy_sumy[[#This Row],[I. Nazwisko]],tbl_główna_GRACZE[foul])</f>
        <v>0</v>
      </c>
      <c r="M56" s="10">
        <f>SUMIF(tbl_główna_GRACZE[I. Nazwisko],tbl_zawodnicy_sumy[[#This Row],[I. Nazwisko]],tbl_główna_GRACZE[stl])</f>
        <v>0</v>
      </c>
      <c r="N56" s="10">
        <f>SUMIF(tbl_główna_GRACZE[I. Nazwisko],tbl_zawodnicy_sumy[[#This Row],[I. Nazwisko]],tbl_główna_GRACZE[to])</f>
        <v>0</v>
      </c>
      <c r="O56" s="10">
        <f>SUMIF(tbl_główna_GRACZE[I. Nazwisko],tbl_zawodnicy_sumy[[#This Row],[I. Nazwisko]],tbl_główna_GRACZE[blk])</f>
        <v>0</v>
      </c>
      <c r="P56" s="10">
        <f>SUMIF(tbl_główna_GRACZE[I. Nazwisko],tbl_zawodnicy_sumy[[#This Row],[I. Nazwisko]],tbl_główna_GRACZE[asst])</f>
        <v>0</v>
      </c>
      <c r="Q56" s="10">
        <f>SUMIF(tbl_główna_GRACZE[I. Nazwisko],tbl_zawodnicy_sumy[[#This Row],[I. Nazwisko]],tbl_główna_GRACZE[min])</f>
        <v>8</v>
      </c>
      <c r="R56" s="10">
        <f>SUMIF(tbl_główna_GRACZE[I. Nazwisko],tbl_zawodnicy_sumy[[#This Row],[I. Nazwisko]],tbl_główna_GRACZE[pts])</f>
        <v>0</v>
      </c>
      <c r="S56" s="11">
        <f t="shared" si="11"/>
        <v>3</v>
      </c>
      <c r="T56" s="4">
        <f t="shared" si="12"/>
        <v>0</v>
      </c>
      <c r="U56" s="4">
        <f t="shared" si="13"/>
        <v>0</v>
      </c>
      <c r="V56" s="4">
        <f t="shared" si="14"/>
        <v>0</v>
      </c>
      <c r="W56" s="4">
        <f>IFERROR(tbl_zawodnicy_sumy[[#This Row],[2pm]]/tbl_zawodnicy_sumy[[#This Row],[2pa]],0)</f>
        <v>0</v>
      </c>
      <c r="X56" s="4">
        <f t="shared" si="15"/>
        <v>0</v>
      </c>
      <c r="Y56" s="4">
        <f t="shared" si="16"/>
        <v>0</v>
      </c>
      <c r="Z56" s="11">
        <f t="shared" si="17"/>
        <v>0</v>
      </c>
      <c r="AA56" s="4">
        <f t="shared" si="18"/>
        <v>0</v>
      </c>
      <c r="AB56" s="4">
        <f t="shared" si="19"/>
        <v>0</v>
      </c>
      <c r="AC56" s="26">
        <f>IFERROR((SUMIF(tbl_główna_GRACZE[I. Nazwisko],tbl_zawodnicy_sumy[[#This Row],[I. Nazwisko]],tbl_główna_GRACZE[USG%]))/tbl_zawodnicy_sumy[[#This Row],[Played]],0)</f>
        <v>1.8662776975532504E-2</v>
      </c>
      <c r="AD56" s="25">
        <f>IFERROR(tbl_zawodnicy_sumy[[#This Row],[pts]]*(40/tbl_zawodnicy_sumy[[#This Row],[min]]),0)</f>
        <v>0</v>
      </c>
      <c r="AE56" s="30">
        <f>IFERROR(tbl_zawodnicy_sumy[[#This Row],[reb total]]*(40/tbl_zawodnicy_sumy[[#This Row],[min]]),0)</f>
        <v>15</v>
      </c>
      <c r="AF56" s="30">
        <f>IFERROR(tbl_zawodnicy_sumy[[#This Row],[asst]]*(40/tbl_zawodnicy_sumy[[#This Row],[min]]),0)</f>
        <v>0</v>
      </c>
      <c r="AG56" s="5">
        <f t="shared" si="20"/>
        <v>0</v>
      </c>
      <c r="AH56" s="5">
        <f>IFERROR((tbl_zawodnicy_sumy[[#This Row],[stl]]+tbl_zawodnicy_sumy[[#This Row],[blk]])*(40/tbl_zawodnicy_sumy[[#This Row],[min]]),0)</f>
        <v>0</v>
      </c>
      <c r="AI56" s="4">
        <f>IFERROR((SUMIF(tbl_główna_GRACZE[I. Nazwisko],tbl_zawodnicy_sumy[[#This Row],[I. Nazwisko]],tbl_główna_GRACZE[DI]))/tbl_zawodnicy_sumy[[#This Row],[Played]],0)</f>
        <v>0</v>
      </c>
      <c r="AJ56" s="25">
        <f>tbl_zawodnicy_sumy[[#This Row],[stl]]+tbl_zawodnicy_sumy[[#This Row],[blk]]+(tbl_zawodnicy_sumy[[#This Row],[dreb]]*0.5)</f>
        <v>0.5</v>
      </c>
      <c r="AK56" s="29">
        <f>IFERROR((tbl_zawodnicy_sumy[[#This Row],[stl]]+tbl_zawodnicy_sumy[[#This Row],[blk]]+0.5*tbl_zawodnicy_sumy[[#This Row],[dreb]])/tbl_zawodnicy_sumy[[#This Row],[min]],0)</f>
        <v>6.25E-2</v>
      </c>
      <c r="AL56" s="6">
        <f t="shared" si="21"/>
        <v>-0.39999999999999974</v>
      </c>
      <c r="AM56" s="6">
        <f>IFERROR(tbl_zawodnicy_sumy[[#This Row],[GmSc]]*(40/tbl_zawodnicy_sumy[[#This Row],[min]]),0)</f>
        <v>-1.9999999999999987</v>
      </c>
      <c r="AN56" s="6">
        <f>IFERROR(tbl_zawodnicy_sumy[[#This Row],[EVAL]]*(40/tbl_zawodnicy_sumy[[#This Row],[min]]),0)</f>
        <v>0</v>
      </c>
      <c r="AO56" s="11">
        <f>tbl_zawodnicy_sumy[[#This Row],[fgm]]-tbl_zawodnicy_sumy[[#This Row],[3pm]]</f>
        <v>0</v>
      </c>
      <c r="AP56" s="11">
        <f>tbl_zawodnicy_sumy[[#This Row],[fga]]-tbl_zawodnicy_sumy[[#This Row],[3pa]]</f>
        <v>3</v>
      </c>
      <c r="AQ56">
        <f>SUMIF(tbl_zawodnicy_średnie[I. Nazwisko],tbl_zawodnicy_sumy[[#This Row],[I. Nazwisko]],tbl_zawodnicy_średnie[ID])</f>
        <v>46</v>
      </c>
    </row>
    <row r="57" spans="1:43" x14ac:dyDescent="0.35">
      <c r="A57" s="58" t="s">
        <v>50</v>
      </c>
      <c r="B57" s="58" t="s">
        <v>204</v>
      </c>
      <c r="C57" s="9">
        <f>SUMIF(tbl_główna_GRACZE[I. Nazwisko],tbl_zawodnicy_sumy[[#This Row],[I. Nazwisko]],tbl_główna_GRACZE[Played?])</f>
        <v>3</v>
      </c>
      <c r="D57" s="10">
        <f>SUMIF(tbl_główna_GRACZE[I. Nazwisko],tbl_zawodnicy_sumy[[#This Row],[I. Nazwisko]],tbl_główna_GRACZE[fgm])</f>
        <v>10</v>
      </c>
      <c r="E57" s="10">
        <f>SUMIF(tbl_główna_GRACZE[I. Nazwisko],tbl_zawodnicy_sumy[[#This Row],[I. Nazwisko]],tbl_główna_GRACZE[fga])</f>
        <v>25</v>
      </c>
      <c r="F57" s="10">
        <f>SUMIF(tbl_główna_GRACZE[I. Nazwisko],tbl_zawodnicy_sumy[[#This Row],[I. Nazwisko]],tbl_główna_GRACZE[3pm])</f>
        <v>8</v>
      </c>
      <c r="G57" s="10">
        <f>SUMIF(tbl_główna_GRACZE[I. Nazwisko],tbl_zawodnicy_sumy[[#This Row],[I. Nazwisko]],tbl_główna_GRACZE[3pa])</f>
        <v>17</v>
      </c>
      <c r="H57" s="10">
        <f>SUMIF(tbl_główna_GRACZE[I. Nazwisko],tbl_zawodnicy_sumy[[#This Row],[I. Nazwisko]],tbl_główna_GRACZE[ftm])</f>
        <v>0</v>
      </c>
      <c r="I57" s="10">
        <f>SUMIF(tbl_główna_GRACZE[I. Nazwisko],tbl_zawodnicy_sumy[[#This Row],[I. Nazwisko]],tbl_główna_GRACZE[fta])</f>
        <v>1</v>
      </c>
      <c r="J57" s="10">
        <f>SUMIF(tbl_główna_GRACZE[I. Nazwisko],tbl_zawodnicy_sumy[[#This Row],[I. Nazwisko]],tbl_główna_GRACZE[oreb])</f>
        <v>4</v>
      </c>
      <c r="K57" s="10">
        <f>SUMIF(tbl_główna_GRACZE[I. Nazwisko],tbl_zawodnicy_sumy[[#This Row],[I. Nazwisko]],tbl_główna_GRACZE[dreb])</f>
        <v>27</v>
      </c>
      <c r="L57" s="10">
        <f>SUMIF(tbl_główna_GRACZE[I. Nazwisko],tbl_zawodnicy_sumy[[#This Row],[I. Nazwisko]],tbl_główna_GRACZE[foul])</f>
        <v>4</v>
      </c>
      <c r="M57" s="10">
        <f>SUMIF(tbl_główna_GRACZE[I. Nazwisko],tbl_zawodnicy_sumy[[#This Row],[I. Nazwisko]],tbl_główna_GRACZE[stl])</f>
        <v>10</v>
      </c>
      <c r="N57" s="10">
        <f>SUMIF(tbl_główna_GRACZE[I. Nazwisko],tbl_zawodnicy_sumy[[#This Row],[I. Nazwisko]],tbl_główna_GRACZE[to])</f>
        <v>0</v>
      </c>
      <c r="O57" s="10">
        <f>SUMIF(tbl_główna_GRACZE[I. Nazwisko],tbl_zawodnicy_sumy[[#This Row],[I. Nazwisko]],tbl_główna_GRACZE[blk])</f>
        <v>0</v>
      </c>
      <c r="P57" s="10">
        <f>SUMIF(tbl_główna_GRACZE[I. Nazwisko],tbl_zawodnicy_sumy[[#This Row],[I. Nazwisko]],tbl_główna_GRACZE[asst])</f>
        <v>6</v>
      </c>
      <c r="Q57" s="10">
        <f>SUMIF(tbl_główna_GRACZE[I. Nazwisko],tbl_zawodnicy_sumy[[#This Row],[I. Nazwisko]],tbl_główna_GRACZE[min])</f>
        <v>102</v>
      </c>
      <c r="R57" s="10">
        <f>SUMIF(tbl_główna_GRACZE[I. Nazwisko],tbl_zawodnicy_sumy[[#This Row],[I. Nazwisko]],tbl_główna_GRACZE[pts])</f>
        <v>28</v>
      </c>
      <c r="S57" s="11">
        <f t="shared" si="11"/>
        <v>31</v>
      </c>
      <c r="T57" s="4">
        <f t="shared" si="12"/>
        <v>0.4</v>
      </c>
      <c r="U57" s="4">
        <f t="shared" si="13"/>
        <v>0.47058823529411764</v>
      </c>
      <c r="V57" s="4">
        <f t="shared" si="14"/>
        <v>0</v>
      </c>
      <c r="W57" s="4">
        <f>IFERROR(tbl_zawodnicy_sumy[[#This Row],[2pm]]/tbl_zawodnicy_sumy[[#This Row],[2pa]],0)</f>
        <v>0.25</v>
      </c>
      <c r="X57" s="4">
        <f t="shared" si="15"/>
        <v>0.55031446540880502</v>
      </c>
      <c r="Y57" s="4">
        <f t="shared" si="16"/>
        <v>0.56000000000000005</v>
      </c>
      <c r="Z57" s="11">
        <f t="shared" si="17"/>
        <v>59</v>
      </c>
      <c r="AA57" s="4">
        <f t="shared" si="18"/>
        <v>0.04</v>
      </c>
      <c r="AB57" s="4">
        <f t="shared" si="19"/>
        <v>0.68</v>
      </c>
      <c r="AC57" s="26">
        <f>IFERROR((SUMIF(tbl_główna_GRACZE[I. Nazwisko],tbl_zawodnicy_sumy[[#This Row],[I. Nazwisko]],tbl_główna_GRACZE[USG%]))/tbl_zawodnicy_sumy[[#This Row],[Played]],0)</f>
        <v>0.11635671924206532</v>
      </c>
      <c r="AD57" s="25">
        <f>IFERROR(tbl_zawodnicy_sumy[[#This Row],[pts]]*(40/tbl_zawodnicy_sumy[[#This Row],[min]]),0)</f>
        <v>10.980392156862745</v>
      </c>
      <c r="AE57" s="30">
        <f>IFERROR(tbl_zawodnicy_sumy[[#This Row],[reb total]]*(40/tbl_zawodnicy_sumy[[#This Row],[min]]),0)</f>
        <v>12.156862745098039</v>
      </c>
      <c r="AF57" s="30">
        <f>IFERROR(tbl_zawodnicy_sumy[[#This Row],[asst]]*(40/tbl_zawodnicy_sumy[[#This Row],[min]]),0)</f>
        <v>2.3529411764705883</v>
      </c>
      <c r="AG57" s="5">
        <f t="shared" si="20"/>
        <v>1.1200000000000001</v>
      </c>
      <c r="AH57" s="5">
        <f>IFERROR((tbl_zawodnicy_sumy[[#This Row],[stl]]+tbl_zawodnicy_sumy[[#This Row],[blk]])*(40/tbl_zawodnicy_sumy[[#This Row],[min]]),0)</f>
        <v>3.9215686274509802</v>
      </c>
      <c r="AI57" s="4">
        <f>IFERROR((SUMIF(tbl_główna_GRACZE[I. Nazwisko],tbl_zawodnicy_sumy[[#This Row],[I. Nazwisko]],tbl_główna_GRACZE[DI]))/tbl_zawodnicy_sumy[[#This Row],[Played]],0)</f>
        <v>0.25505050505050503</v>
      </c>
      <c r="AJ57" s="25">
        <f>tbl_zawodnicy_sumy[[#This Row],[stl]]+tbl_zawodnicy_sumy[[#This Row],[blk]]+(tbl_zawodnicy_sumy[[#This Row],[dreb]]*0.5)</f>
        <v>23.5</v>
      </c>
      <c r="AK57" s="29">
        <f>IFERROR((tbl_zawodnicy_sumy[[#This Row],[stl]]+tbl_zawodnicy_sumy[[#This Row],[blk]]+0.5*tbl_zawodnicy_sumy[[#This Row],[dreb]])/tbl_zawodnicy_sumy[[#This Row],[min]],0)</f>
        <v>0.23039215686274508</v>
      </c>
      <c r="AL57" s="6">
        <f t="shared" si="21"/>
        <v>39.200000000000003</v>
      </c>
      <c r="AM57" s="6">
        <f>IFERROR(tbl_zawodnicy_sumy[[#This Row],[GmSc]]*(40/tbl_zawodnicy_sumy[[#This Row],[min]]),0)</f>
        <v>15.372549019607844</v>
      </c>
      <c r="AN57" s="6">
        <f>IFERROR(tbl_zawodnicy_sumy[[#This Row],[EVAL]]*(40/tbl_zawodnicy_sumy[[#This Row],[min]]),0)</f>
        <v>23.137254901960784</v>
      </c>
      <c r="AO57" s="11">
        <f>tbl_zawodnicy_sumy[[#This Row],[fgm]]-tbl_zawodnicy_sumy[[#This Row],[3pm]]</f>
        <v>2</v>
      </c>
      <c r="AP57" s="11">
        <f>tbl_zawodnicy_sumy[[#This Row],[fga]]-tbl_zawodnicy_sumy[[#This Row],[3pa]]</f>
        <v>8</v>
      </c>
      <c r="AQ57">
        <f>SUMIF(tbl_zawodnicy_średnie[I. Nazwisko],tbl_zawodnicy_sumy[[#This Row],[I. Nazwisko]],tbl_zawodnicy_średnie[ID])</f>
        <v>47</v>
      </c>
    </row>
    <row r="58" spans="1:43" x14ac:dyDescent="0.35">
      <c r="A58" s="58" t="s">
        <v>50</v>
      </c>
      <c r="B58" s="58" t="s">
        <v>205</v>
      </c>
      <c r="C58" s="9">
        <f>SUMIF(tbl_główna_GRACZE[I. Nazwisko],tbl_zawodnicy_sumy[[#This Row],[I. Nazwisko]],tbl_główna_GRACZE[Played?])</f>
        <v>1</v>
      </c>
      <c r="D58" s="10">
        <f>SUMIF(tbl_główna_GRACZE[I. Nazwisko],tbl_zawodnicy_sumy[[#This Row],[I. Nazwisko]],tbl_główna_GRACZE[fgm])</f>
        <v>4</v>
      </c>
      <c r="E58" s="10">
        <f>SUMIF(tbl_główna_GRACZE[I. Nazwisko],tbl_zawodnicy_sumy[[#This Row],[I. Nazwisko]],tbl_główna_GRACZE[fga])</f>
        <v>19</v>
      </c>
      <c r="F58" s="10">
        <f>SUMIF(tbl_główna_GRACZE[I. Nazwisko],tbl_zawodnicy_sumy[[#This Row],[I. Nazwisko]],tbl_główna_GRACZE[3pm])</f>
        <v>3</v>
      </c>
      <c r="G58" s="10">
        <f>SUMIF(tbl_główna_GRACZE[I. Nazwisko],tbl_zawodnicy_sumy[[#This Row],[I. Nazwisko]],tbl_główna_GRACZE[3pa])</f>
        <v>16</v>
      </c>
      <c r="H58" s="10">
        <f>SUMIF(tbl_główna_GRACZE[I. Nazwisko],tbl_zawodnicy_sumy[[#This Row],[I. Nazwisko]],tbl_główna_GRACZE[ftm])</f>
        <v>0</v>
      </c>
      <c r="I58" s="10">
        <f>SUMIF(tbl_główna_GRACZE[I. Nazwisko],tbl_zawodnicy_sumy[[#This Row],[I. Nazwisko]],tbl_główna_GRACZE[fta])</f>
        <v>0</v>
      </c>
      <c r="J58" s="10">
        <f>SUMIF(tbl_główna_GRACZE[I. Nazwisko],tbl_zawodnicy_sumy[[#This Row],[I. Nazwisko]],tbl_główna_GRACZE[oreb])</f>
        <v>1</v>
      </c>
      <c r="K58" s="10">
        <f>SUMIF(tbl_główna_GRACZE[I. Nazwisko],tbl_zawodnicy_sumy[[#This Row],[I. Nazwisko]],tbl_główna_GRACZE[dreb])</f>
        <v>0</v>
      </c>
      <c r="L58" s="10">
        <f>SUMIF(tbl_główna_GRACZE[I. Nazwisko],tbl_zawodnicy_sumy[[#This Row],[I. Nazwisko]],tbl_główna_GRACZE[foul])</f>
        <v>1</v>
      </c>
      <c r="M58" s="10">
        <f>SUMIF(tbl_główna_GRACZE[I. Nazwisko],tbl_zawodnicy_sumy[[#This Row],[I. Nazwisko]],tbl_główna_GRACZE[stl])</f>
        <v>0</v>
      </c>
      <c r="N58" s="10">
        <f>SUMIF(tbl_główna_GRACZE[I. Nazwisko],tbl_zawodnicy_sumy[[#This Row],[I. Nazwisko]],tbl_główna_GRACZE[to])</f>
        <v>0</v>
      </c>
      <c r="O58" s="10">
        <f>SUMIF(tbl_główna_GRACZE[I. Nazwisko],tbl_zawodnicy_sumy[[#This Row],[I. Nazwisko]],tbl_główna_GRACZE[blk])</f>
        <v>0</v>
      </c>
      <c r="P58" s="10">
        <f>SUMIF(tbl_główna_GRACZE[I. Nazwisko],tbl_zawodnicy_sumy[[#This Row],[I. Nazwisko]],tbl_główna_GRACZE[asst])</f>
        <v>0</v>
      </c>
      <c r="Q58" s="10">
        <f>SUMIF(tbl_główna_GRACZE[I. Nazwisko],tbl_zawodnicy_sumy[[#This Row],[I. Nazwisko]],tbl_główna_GRACZE[min])</f>
        <v>40</v>
      </c>
      <c r="R58" s="10">
        <f>SUMIF(tbl_główna_GRACZE[I. Nazwisko],tbl_zawodnicy_sumy[[#This Row],[I. Nazwisko]],tbl_główna_GRACZE[pts])</f>
        <v>11</v>
      </c>
      <c r="S58" s="11">
        <f t="shared" si="11"/>
        <v>1</v>
      </c>
      <c r="T58" s="4">
        <f t="shared" si="12"/>
        <v>0.21052631578947367</v>
      </c>
      <c r="U58" s="4">
        <f t="shared" si="13"/>
        <v>0.1875</v>
      </c>
      <c r="V58" s="4">
        <f t="shared" si="14"/>
        <v>0</v>
      </c>
      <c r="W58" s="4">
        <f>IFERROR(tbl_zawodnicy_sumy[[#This Row],[2pm]]/tbl_zawodnicy_sumy[[#This Row],[2pa]],0)</f>
        <v>0.33333333333333331</v>
      </c>
      <c r="X58" s="4">
        <f t="shared" si="15"/>
        <v>0.28947368421052633</v>
      </c>
      <c r="Y58" s="4">
        <f t="shared" si="16"/>
        <v>0.28947368421052633</v>
      </c>
      <c r="Z58" s="11">
        <f t="shared" si="17"/>
        <v>-3</v>
      </c>
      <c r="AA58" s="4">
        <f t="shared" si="18"/>
        <v>0</v>
      </c>
      <c r="AB58" s="4">
        <f t="shared" si="19"/>
        <v>0.84210526315789469</v>
      </c>
      <c r="AC58" s="26">
        <f>IFERROR((SUMIF(tbl_główna_GRACZE[I. Nazwisko],tbl_zawodnicy_sumy[[#This Row],[I. Nazwisko]],tbl_główna_GRACZE[USG%]))/tbl_zawodnicy_sumy[[#This Row],[Played]],0)</f>
        <v>0.26595744680851063</v>
      </c>
      <c r="AD58" s="25">
        <f>IFERROR(tbl_zawodnicy_sumy[[#This Row],[pts]]*(40/tbl_zawodnicy_sumy[[#This Row],[min]]),0)</f>
        <v>11</v>
      </c>
      <c r="AE58" s="30">
        <f>IFERROR(tbl_zawodnicy_sumy[[#This Row],[reb total]]*(40/tbl_zawodnicy_sumy[[#This Row],[min]]),0)</f>
        <v>1</v>
      </c>
      <c r="AF58" s="30">
        <f>IFERROR(tbl_zawodnicy_sumy[[#This Row],[asst]]*(40/tbl_zawodnicy_sumy[[#This Row],[min]]),0)</f>
        <v>0</v>
      </c>
      <c r="AG58" s="5">
        <f t="shared" si="20"/>
        <v>0.57894736842105265</v>
      </c>
      <c r="AH58" s="5">
        <f>IFERROR((tbl_zawodnicy_sumy[[#This Row],[stl]]+tbl_zawodnicy_sumy[[#This Row],[blk]])*(40/tbl_zawodnicy_sumy[[#This Row],[min]]),0)</f>
        <v>0</v>
      </c>
      <c r="AI58" s="4">
        <f>IFERROR((SUMIF(tbl_główna_GRACZE[I. Nazwisko],tbl_zawodnicy_sumy[[#This Row],[I. Nazwisko]],tbl_główna_GRACZE[DI]))/tbl_zawodnicy_sumy[[#This Row],[Played]],0)</f>
        <v>0</v>
      </c>
      <c r="AJ58" s="25">
        <f>tbl_zawodnicy_sumy[[#This Row],[stl]]+tbl_zawodnicy_sumy[[#This Row],[blk]]+(tbl_zawodnicy_sumy[[#This Row],[dreb]]*0.5)</f>
        <v>0</v>
      </c>
      <c r="AK58" s="29">
        <f>IFERROR((tbl_zawodnicy_sumy[[#This Row],[stl]]+tbl_zawodnicy_sumy[[#This Row],[blk]]+0.5*tbl_zawodnicy_sumy[[#This Row],[dreb]])/tbl_zawodnicy_sumy[[#This Row],[min]],0)</f>
        <v>0</v>
      </c>
      <c r="AL58" s="6">
        <f t="shared" si="21"/>
        <v>6.6613381477509392E-16</v>
      </c>
      <c r="AM58" s="6">
        <f>IFERROR(tbl_zawodnicy_sumy[[#This Row],[GmSc]]*(40/tbl_zawodnicy_sumy[[#This Row],[min]]),0)</f>
        <v>6.6613381477509392E-16</v>
      </c>
      <c r="AN58" s="6">
        <f>IFERROR(tbl_zawodnicy_sumy[[#This Row],[EVAL]]*(40/tbl_zawodnicy_sumy[[#This Row],[min]]),0)</f>
        <v>-3</v>
      </c>
      <c r="AO58" s="11">
        <f>tbl_zawodnicy_sumy[[#This Row],[fgm]]-tbl_zawodnicy_sumy[[#This Row],[3pm]]</f>
        <v>1</v>
      </c>
      <c r="AP58" s="11">
        <f>tbl_zawodnicy_sumy[[#This Row],[fga]]-tbl_zawodnicy_sumy[[#This Row],[3pa]]</f>
        <v>3</v>
      </c>
      <c r="AQ58">
        <f>SUMIF(tbl_zawodnicy_średnie[I. Nazwisko],tbl_zawodnicy_sumy[[#This Row],[I. Nazwisko]],tbl_zawodnicy_średnie[ID])</f>
        <v>48</v>
      </c>
    </row>
    <row r="59" spans="1:43" x14ac:dyDescent="0.35">
      <c r="A59" s="58" t="s">
        <v>50</v>
      </c>
      <c r="B59" s="58" t="s">
        <v>206</v>
      </c>
      <c r="C59" s="9">
        <f>SUMIF(tbl_główna_GRACZE[I. Nazwisko],tbl_zawodnicy_sumy[[#This Row],[I. Nazwisko]],tbl_główna_GRACZE[Played?])</f>
        <v>0</v>
      </c>
      <c r="D59" s="10">
        <f>SUMIF(tbl_główna_GRACZE[I. Nazwisko],tbl_zawodnicy_sumy[[#This Row],[I. Nazwisko]],tbl_główna_GRACZE[fgm])</f>
        <v>0</v>
      </c>
      <c r="E59" s="10">
        <f>SUMIF(tbl_główna_GRACZE[I. Nazwisko],tbl_zawodnicy_sumy[[#This Row],[I. Nazwisko]],tbl_główna_GRACZE[fga])</f>
        <v>0</v>
      </c>
      <c r="F59" s="10">
        <f>SUMIF(tbl_główna_GRACZE[I. Nazwisko],tbl_zawodnicy_sumy[[#This Row],[I. Nazwisko]],tbl_główna_GRACZE[3pm])</f>
        <v>0</v>
      </c>
      <c r="G59" s="10">
        <f>SUMIF(tbl_główna_GRACZE[I. Nazwisko],tbl_zawodnicy_sumy[[#This Row],[I. Nazwisko]],tbl_główna_GRACZE[3pa])</f>
        <v>0</v>
      </c>
      <c r="H59" s="10">
        <f>SUMIF(tbl_główna_GRACZE[I. Nazwisko],tbl_zawodnicy_sumy[[#This Row],[I. Nazwisko]],tbl_główna_GRACZE[ftm])</f>
        <v>0</v>
      </c>
      <c r="I59" s="10">
        <f>SUMIF(tbl_główna_GRACZE[I. Nazwisko],tbl_zawodnicy_sumy[[#This Row],[I. Nazwisko]],tbl_główna_GRACZE[fta])</f>
        <v>0</v>
      </c>
      <c r="J59" s="10">
        <f>SUMIF(tbl_główna_GRACZE[I. Nazwisko],tbl_zawodnicy_sumy[[#This Row],[I. Nazwisko]],tbl_główna_GRACZE[oreb])</f>
        <v>0</v>
      </c>
      <c r="K59" s="10">
        <f>SUMIF(tbl_główna_GRACZE[I. Nazwisko],tbl_zawodnicy_sumy[[#This Row],[I. Nazwisko]],tbl_główna_GRACZE[dreb])</f>
        <v>0</v>
      </c>
      <c r="L59" s="10">
        <f>SUMIF(tbl_główna_GRACZE[I. Nazwisko],tbl_zawodnicy_sumy[[#This Row],[I. Nazwisko]],tbl_główna_GRACZE[foul])</f>
        <v>0</v>
      </c>
      <c r="M59" s="10">
        <f>SUMIF(tbl_główna_GRACZE[I. Nazwisko],tbl_zawodnicy_sumy[[#This Row],[I. Nazwisko]],tbl_główna_GRACZE[stl])</f>
        <v>0</v>
      </c>
      <c r="N59" s="10">
        <f>SUMIF(tbl_główna_GRACZE[I. Nazwisko],tbl_zawodnicy_sumy[[#This Row],[I. Nazwisko]],tbl_główna_GRACZE[to])</f>
        <v>0</v>
      </c>
      <c r="O59" s="10">
        <f>SUMIF(tbl_główna_GRACZE[I. Nazwisko],tbl_zawodnicy_sumy[[#This Row],[I. Nazwisko]],tbl_główna_GRACZE[blk])</f>
        <v>0</v>
      </c>
      <c r="P59" s="10">
        <f>SUMIF(tbl_główna_GRACZE[I. Nazwisko],tbl_zawodnicy_sumy[[#This Row],[I. Nazwisko]],tbl_główna_GRACZE[asst])</f>
        <v>0</v>
      </c>
      <c r="Q59" s="10">
        <f>SUMIF(tbl_główna_GRACZE[I. Nazwisko],tbl_zawodnicy_sumy[[#This Row],[I. Nazwisko]],tbl_główna_GRACZE[min])</f>
        <v>0</v>
      </c>
      <c r="R59" s="10">
        <f>SUMIF(tbl_główna_GRACZE[I. Nazwisko],tbl_zawodnicy_sumy[[#This Row],[I. Nazwisko]],tbl_główna_GRACZE[pts])</f>
        <v>0</v>
      </c>
      <c r="S59" s="11">
        <f t="shared" si="11"/>
        <v>0</v>
      </c>
      <c r="T59" s="4">
        <f t="shared" si="12"/>
        <v>0</v>
      </c>
      <c r="U59" s="4">
        <f t="shared" si="13"/>
        <v>0</v>
      </c>
      <c r="V59" s="4">
        <f t="shared" si="14"/>
        <v>0</v>
      </c>
      <c r="W59" s="4">
        <f>IFERROR(tbl_zawodnicy_sumy[[#This Row],[2pm]]/tbl_zawodnicy_sumy[[#This Row],[2pa]],0)</f>
        <v>0</v>
      </c>
      <c r="X59" s="4">
        <f t="shared" si="15"/>
        <v>0</v>
      </c>
      <c r="Y59" s="4">
        <f t="shared" si="16"/>
        <v>0</v>
      </c>
      <c r="Z59" s="11">
        <f t="shared" si="17"/>
        <v>0</v>
      </c>
      <c r="AA59" s="4">
        <f t="shared" si="18"/>
        <v>0</v>
      </c>
      <c r="AB59" s="4">
        <f t="shared" si="19"/>
        <v>0</v>
      </c>
      <c r="AC59" s="26">
        <f>IFERROR((SUMIF(tbl_główna_GRACZE[I. Nazwisko],tbl_zawodnicy_sumy[[#This Row],[I. Nazwisko]],tbl_główna_GRACZE[USG%]))/tbl_zawodnicy_sumy[[#This Row],[Played]],0)</f>
        <v>0</v>
      </c>
      <c r="AD59" s="25">
        <f>IFERROR(tbl_zawodnicy_sumy[[#This Row],[pts]]*(40/tbl_zawodnicy_sumy[[#This Row],[min]]),0)</f>
        <v>0</v>
      </c>
      <c r="AE59" s="30">
        <f>IFERROR(tbl_zawodnicy_sumy[[#This Row],[reb total]]*(40/tbl_zawodnicy_sumy[[#This Row],[min]]),0)</f>
        <v>0</v>
      </c>
      <c r="AF59" s="30">
        <f>IFERROR(tbl_zawodnicy_sumy[[#This Row],[asst]]*(40/tbl_zawodnicy_sumy[[#This Row],[min]]),0)</f>
        <v>0</v>
      </c>
      <c r="AG59" s="5">
        <f t="shared" si="20"/>
        <v>0</v>
      </c>
      <c r="AH59" s="5">
        <f>IFERROR((tbl_zawodnicy_sumy[[#This Row],[stl]]+tbl_zawodnicy_sumy[[#This Row],[blk]])*(40/tbl_zawodnicy_sumy[[#This Row],[min]]),0)</f>
        <v>0</v>
      </c>
      <c r="AI59" s="4">
        <f>IFERROR((SUMIF(tbl_główna_GRACZE[I. Nazwisko],tbl_zawodnicy_sumy[[#This Row],[I. Nazwisko]],tbl_główna_GRACZE[DI]))/tbl_zawodnicy_sumy[[#This Row],[Played]],0)</f>
        <v>0</v>
      </c>
      <c r="AJ59" s="25">
        <f>tbl_zawodnicy_sumy[[#This Row],[stl]]+tbl_zawodnicy_sumy[[#This Row],[blk]]+(tbl_zawodnicy_sumy[[#This Row],[dreb]]*0.5)</f>
        <v>0</v>
      </c>
      <c r="AK59" s="29">
        <f>IFERROR((tbl_zawodnicy_sumy[[#This Row],[stl]]+tbl_zawodnicy_sumy[[#This Row],[blk]]+0.5*tbl_zawodnicy_sumy[[#This Row],[dreb]])/tbl_zawodnicy_sumy[[#This Row],[min]],0)</f>
        <v>0</v>
      </c>
      <c r="AL59" s="6">
        <f t="shared" si="21"/>
        <v>0</v>
      </c>
      <c r="AM59" s="6">
        <f>IFERROR(tbl_zawodnicy_sumy[[#This Row],[GmSc]]*(40/tbl_zawodnicy_sumy[[#This Row],[min]]),0)</f>
        <v>0</v>
      </c>
      <c r="AN59" s="6">
        <f>IFERROR(tbl_zawodnicy_sumy[[#This Row],[EVAL]]*(40/tbl_zawodnicy_sumy[[#This Row],[min]]),0)</f>
        <v>0</v>
      </c>
      <c r="AO59" s="11">
        <f>tbl_zawodnicy_sumy[[#This Row],[fgm]]-tbl_zawodnicy_sumy[[#This Row],[3pm]]</f>
        <v>0</v>
      </c>
      <c r="AP59" s="11">
        <f>tbl_zawodnicy_sumy[[#This Row],[fga]]-tbl_zawodnicy_sumy[[#This Row],[3pa]]</f>
        <v>0</v>
      </c>
      <c r="AQ59">
        <f>SUMIF(tbl_zawodnicy_średnie[I. Nazwisko],tbl_zawodnicy_sumy[[#This Row],[I. Nazwisko]],tbl_zawodnicy_średnie[ID])</f>
        <v>0</v>
      </c>
    </row>
    <row r="60" spans="1:43" x14ac:dyDescent="0.35">
      <c r="A60" s="58" t="s">
        <v>52</v>
      </c>
      <c r="B60" s="58" t="s">
        <v>207</v>
      </c>
      <c r="C60" s="9">
        <f>SUMIF(tbl_główna_GRACZE[I. Nazwisko],tbl_zawodnicy_sumy[[#This Row],[I. Nazwisko]],tbl_główna_GRACZE[Played?])</f>
        <v>2</v>
      </c>
      <c r="D60" s="10">
        <f>SUMIF(tbl_główna_GRACZE[I. Nazwisko],tbl_zawodnicy_sumy[[#This Row],[I. Nazwisko]],tbl_główna_GRACZE[fgm])</f>
        <v>0</v>
      </c>
      <c r="E60" s="10">
        <f>SUMIF(tbl_główna_GRACZE[I. Nazwisko],tbl_zawodnicy_sumy[[#This Row],[I. Nazwisko]],tbl_główna_GRACZE[fga])</f>
        <v>6</v>
      </c>
      <c r="F60" s="10">
        <f>SUMIF(tbl_główna_GRACZE[I. Nazwisko],tbl_zawodnicy_sumy[[#This Row],[I. Nazwisko]],tbl_główna_GRACZE[3pm])</f>
        <v>0</v>
      </c>
      <c r="G60" s="10">
        <f>SUMIF(tbl_główna_GRACZE[I. Nazwisko],tbl_zawodnicy_sumy[[#This Row],[I. Nazwisko]],tbl_główna_GRACZE[3pa])</f>
        <v>5</v>
      </c>
      <c r="H60" s="10">
        <f>SUMIF(tbl_główna_GRACZE[I. Nazwisko],tbl_zawodnicy_sumy[[#This Row],[I. Nazwisko]],tbl_główna_GRACZE[ftm])</f>
        <v>0</v>
      </c>
      <c r="I60" s="10">
        <f>SUMIF(tbl_główna_GRACZE[I. Nazwisko],tbl_zawodnicy_sumy[[#This Row],[I. Nazwisko]],tbl_główna_GRACZE[fta])</f>
        <v>0</v>
      </c>
      <c r="J60" s="10">
        <f>SUMIF(tbl_główna_GRACZE[I. Nazwisko],tbl_zawodnicy_sumy[[#This Row],[I. Nazwisko]],tbl_główna_GRACZE[oreb])</f>
        <v>0</v>
      </c>
      <c r="K60" s="10">
        <f>SUMIF(tbl_główna_GRACZE[I. Nazwisko],tbl_zawodnicy_sumy[[#This Row],[I. Nazwisko]],tbl_główna_GRACZE[dreb])</f>
        <v>0</v>
      </c>
      <c r="L60" s="10">
        <f>SUMIF(tbl_główna_GRACZE[I. Nazwisko],tbl_zawodnicy_sumy[[#This Row],[I. Nazwisko]],tbl_główna_GRACZE[foul])</f>
        <v>1</v>
      </c>
      <c r="M60" s="10">
        <f>SUMIF(tbl_główna_GRACZE[I. Nazwisko],tbl_zawodnicy_sumy[[#This Row],[I. Nazwisko]],tbl_główna_GRACZE[stl])</f>
        <v>1</v>
      </c>
      <c r="N60" s="10">
        <f>SUMIF(tbl_główna_GRACZE[I. Nazwisko],tbl_zawodnicy_sumy[[#This Row],[I. Nazwisko]],tbl_główna_GRACZE[to])</f>
        <v>0</v>
      </c>
      <c r="O60" s="10">
        <f>SUMIF(tbl_główna_GRACZE[I. Nazwisko],tbl_zawodnicy_sumy[[#This Row],[I. Nazwisko]],tbl_główna_GRACZE[blk])</f>
        <v>0</v>
      </c>
      <c r="P60" s="10">
        <f>SUMIF(tbl_główna_GRACZE[I. Nazwisko],tbl_zawodnicy_sumy[[#This Row],[I. Nazwisko]],tbl_główna_GRACZE[asst])</f>
        <v>2</v>
      </c>
      <c r="Q60" s="10">
        <f>SUMIF(tbl_główna_GRACZE[I. Nazwisko],tbl_zawodnicy_sumy[[#This Row],[I. Nazwisko]],tbl_główna_GRACZE[min])</f>
        <v>16</v>
      </c>
      <c r="R60" s="10">
        <f>SUMIF(tbl_główna_GRACZE[I. Nazwisko],tbl_zawodnicy_sumy[[#This Row],[I. Nazwisko]],tbl_główna_GRACZE[pts])</f>
        <v>0</v>
      </c>
      <c r="S60" s="11">
        <f t="shared" si="11"/>
        <v>0</v>
      </c>
      <c r="T60" s="4">
        <f t="shared" si="12"/>
        <v>0</v>
      </c>
      <c r="U60" s="4">
        <f t="shared" si="13"/>
        <v>0</v>
      </c>
      <c r="V60" s="4">
        <f t="shared" si="14"/>
        <v>0</v>
      </c>
      <c r="W60" s="4">
        <f>IFERROR(tbl_zawodnicy_sumy[[#This Row],[2pm]]/tbl_zawodnicy_sumy[[#This Row],[2pa]],0)</f>
        <v>0</v>
      </c>
      <c r="X60" s="4">
        <f t="shared" si="15"/>
        <v>0</v>
      </c>
      <c r="Y60" s="4">
        <f t="shared" si="16"/>
        <v>0</v>
      </c>
      <c r="Z60" s="11">
        <f t="shared" si="17"/>
        <v>-3</v>
      </c>
      <c r="AA60" s="4">
        <f t="shared" si="18"/>
        <v>0</v>
      </c>
      <c r="AB60" s="4">
        <f t="shared" si="19"/>
        <v>0.83333333333333337</v>
      </c>
      <c r="AC60" s="26">
        <f>IFERROR((SUMIF(tbl_główna_GRACZE[I. Nazwisko],tbl_zawodnicy_sumy[[#This Row],[I. Nazwisko]],tbl_główna_GRACZE[USG%]))/tbl_zawodnicy_sumy[[#This Row],[Played]],0)</f>
        <v>4.7401531869364154E-2</v>
      </c>
      <c r="AD60" s="25">
        <f>IFERROR(tbl_zawodnicy_sumy[[#This Row],[pts]]*(40/tbl_zawodnicy_sumy[[#This Row],[min]]),0)</f>
        <v>0</v>
      </c>
      <c r="AE60" s="30">
        <f>IFERROR(tbl_zawodnicy_sumy[[#This Row],[reb total]]*(40/tbl_zawodnicy_sumy[[#This Row],[min]]),0)</f>
        <v>0</v>
      </c>
      <c r="AF60" s="30">
        <f>IFERROR(tbl_zawodnicy_sumy[[#This Row],[asst]]*(40/tbl_zawodnicy_sumy[[#This Row],[min]]),0)</f>
        <v>5</v>
      </c>
      <c r="AG60" s="5">
        <f t="shared" si="20"/>
        <v>0</v>
      </c>
      <c r="AH60" s="5">
        <f>IFERROR((tbl_zawodnicy_sumy[[#This Row],[stl]]+tbl_zawodnicy_sumy[[#This Row],[blk]])*(40/tbl_zawodnicy_sumy[[#This Row],[min]]),0)</f>
        <v>2.5</v>
      </c>
      <c r="AI60" s="4">
        <f>IFERROR((SUMIF(tbl_główna_GRACZE[I. Nazwisko],tbl_zawodnicy_sumy[[#This Row],[I. Nazwisko]],tbl_główna_GRACZE[DI]))/tbl_zawodnicy_sumy[[#This Row],[Played]],0)</f>
        <v>3.5714285714285712E-2</v>
      </c>
      <c r="AJ60" s="25">
        <f>tbl_zawodnicy_sumy[[#This Row],[stl]]+tbl_zawodnicy_sumy[[#This Row],[blk]]+(tbl_zawodnicy_sumy[[#This Row],[dreb]]*0.5)</f>
        <v>1</v>
      </c>
      <c r="AK60" s="29">
        <f>IFERROR((tbl_zawodnicy_sumy[[#This Row],[stl]]+tbl_zawodnicy_sumy[[#This Row],[blk]]+0.5*tbl_zawodnicy_sumy[[#This Row],[dreb]])/tbl_zawodnicy_sumy[[#This Row],[min]],0)</f>
        <v>6.25E-2</v>
      </c>
      <c r="AL60" s="6">
        <f t="shared" si="21"/>
        <v>-1.7999999999999994</v>
      </c>
      <c r="AM60" s="6">
        <f>IFERROR(tbl_zawodnicy_sumy[[#This Row],[GmSc]]*(40/tbl_zawodnicy_sumy[[#This Row],[min]]),0)</f>
        <v>-4.4999999999999982</v>
      </c>
      <c r="AN60" s="6">
        <f>IFERROR(tbl_zawodnicy_sumy[[#This Row],[EVAL]]*(40/tbl_zawodnicy_sumy[[#This Row],[min]]),0)</f>
        <v>-7.5</v>
      </c>
      <c r="AO60" s="11">
        <f>tbl_zawodnicy_sumy[[#This Row],[fgm]]-tbl_zawodnicy_sumy[[#This Row],[3pm]]</f>
        <v>0</v>
      </c>
      <c r="AP60" s="11">
        <f>tbl_zawodnicy_sumy[[#This Row],[fga]]-tbl_zawodnicy_sumy[[#This Row],[3pa]]</f>
        <v>1</v>
      </c>
      <c r="AQ60">
        <f>SUMIF(tbl_zawodnicy_średnie[I. Nazwisko],tbl_zawodnicy_sumy[[#This Row],[I. Nazwisko]],tbl_zawodnicy_średnie[ID])</f>
        <v>50</v>
      </c>
    </row>
    <row r="61" spans="1:43" x14ac:dyDescent="0.35">
      <c r="A61" s="58" t="s">
        <v>52</v>
      </c>
      <c r="B61" s="58" t="s">
        <v>208</v>
      </c>
      <c r="C61" s="9">
        <f>SUMIF(tbl_główna_GRACZE[I. Nazwisko],tbl_zawodnicy_sumy[[#This Row],[I. Nazwisko]],tbl_główna_GRACZE[Played?])</f>
        <v>1</v>
      </c>
      <c r="D61" s="10">
        <f>SUMIF(tbl_główna_GRACZE[I. Nazwisko],tbl_zawodnicy_sumy[[#This Row],[I. Nazwisko]],tbl_główna_GRACZE[fgm])</f>
        <v>0</v>
      </c>
      <c r="E61" s="10">
        <f>SUMIF(tbl_główna_GRACZE[I. Nazwisko],tbl_zawodnicy_sumy[[#This Row],[I. Nazwisko]],tbl_główna_GRACZE[fga])</f>
        <v>1</v>
      </c>
      <c r="F61" s="10">
        <f>SUMIF(tbl_główna_GRACZE[I. Nazwisko],tbl_zawodnicy_sumy[[#This Row],[I. Nazwisko]],tbl_główna_GRACZE[3pm])</f>
        <v>0</v>
      </c>
      <c r="G61" s="10">
        <f>SUMIF(tbl_główna_GRACZE[I. Nazwisko],tbl_zawodnicy_sumy[[#This Row],[I. Nazwisko]],tbl_główna_GRACZE[3pa])</f>
        <v>0</v>
      </c>
      <c r="H61" s="10">
        <f>SUMIF(tbl_główna_GRACZE[I. Nazwisko],tbl_zawodnicy_sumy[[#This Row],[I. Nazwisko]],tbl_główna_GRACZE[ftm])</f>
        <v>0</v>
      </c>
      <c r="I61" s="10">
        <f>SUMIF(tbl_główna_GRACZE[I. Nazwisko],tbl_zawodnicy_sumy[[#This Row],[I. Nazwisko]],tbl_główna_GRACZE[fta])</f>
        <v>0</v>
      </c>
      <c r="J61" s="10">
        <f>SUMIF(tbl_główna_GRACZE[I. Nazwisko],tbl_zawodnicy_sumy[[#This Row],[I. Nazwisko]],tbl_główna_GRACZE[oreb])</f>
        <v>0</v>
      </c>
      <c r="K61" s="10">
        <f>SUMIF(tbl_główna_GRACZE[I. Nazwisko],tbl_zawodnicy_sumy[[#This Row],[I. Nazwisko]],tbl_główna_GRACZE[dreb])</f>
        <v>2</v>
      </c>
      <c r="L61" s="10">
        <f>SUMIF(tbl_główna_GRACZE[I. Nazwisko],tbl_zawodnicy_sumy[[#This Row],[I. Nazwisko]],tbl_główna_GRACZE[foul])</f>
        <v>0</v>
      </c>
      <c r="M61" s="10">
        <f>SUMIF(tbl_główna_GRACZE[I. Nazwisko],tbl_zawodnicy_sumy[[#This Row],[I. Nazwisko]],tbl_główna_GRACZE[stl])</f>
        <v>0</v>
      </c>
      <c r="N61" s="10">
        <f>SUMIF(tbl_główna_GRACZE[I. Nazwisko],tbl_zawodnicy_sumy[[#This Row],[I. Nazwisko]],tbl_główna_GRACZE[to])</f>
        <v>0</v>
      </c>
      <c r="O61" s="10">
        <f>SUMIF(tbl_główna_GRACZE[I. Nazwisko],tbl_zawodnicy_sumy[[#This Row],[I. Nazwisko]],tbl_główna_GRACZE[blk])</f>
        <v>0</v>
      </c>
      <c r="P61" s="10">
        <f>SUMIF(tbl_główna_GRACZE[I. Nazwisko],tbl_zawodnicy_sumy[[#This Row],[I. Nazwisko]],tbl_główna_GRACZE[asst])</f>
        <v>0</v>
      </c>
      <c r="Q61" s="10">
        <f>SUMIF(tbl_główna_GRACZE[I. Nazwisko],tbl_zawodnicy_sumy[[#This Row],[I. Nazwisko]],tbl_główna_GRACZE[min])</f>
        <v>10</v>
      </c>
      <c r="R61" s="10">
        <f>SUMIF(tbl_główna_GRACZE[I. Nazwisko],tbl_zawodnicy_sumy[[#This Row],[I. Nazwisko]],tbl_główna_GRACZE[pts])</f>
        <v>0</v>
      </c>
      <c r="S61" s="11">
        <f t="shared" si="11"/>
        <v>2</v>
      </c>
      <c r="T61" s="4">
        <f t="shared" si="12"/>
        <v>0</v>
      </c>
      <c r="U61" s="4">
        <f t="shared" si="13"/>
        <v>0</v>
      </c>
      <c r="V61" s="4">
        <f t="shared" si="14"/>
        <v>0</v>
      </c>
      <c r="W61" s="4">
        <f>IFERROR(tbl_zawodnicy_sumy[[#This Row],[2pm]]/tbl_zawodnicy_sumy[[#This Row],[2pa]],0)</f>
        <v>0</v>
      </c>
      <c r="X61" s="4">
        <f t="shared" si="15"/>
        <v>0</v>
      </c>
      <c r="Y61" s="4">
        <f t="shared" si="16"/>
        <v>0</v>
      </c>
      <c r="Z61" s="11">
        <f t="shared" si="17"/>
        <v>1</v>
      </c>
      <c r="AA61" s="4">
        <f t="shared" si="18"/>
        <v>0</v>
      </c>
      <c r="AB61" s="4">
        <f t="shared" si="19"/>
        <v>0</v>
      </c>
      <c r="AC61" s="26">
        <f>IFERROR((SUMIF(tbl_główna_GRACZE[I. Nazwisko],tbl_zawodnicy_sumy[[#This Row],[I. Nazwisko]],tbl_główna_GRACZE[USG%]))/tbl_zawodnicy_sumy[[#This Row],[Played]],0)</f>
        <v>1.7618040873854827E-2</v>
      </c>
      <c r="AD61" s="25">
        <f>IFERROR(tbl_zawodnicy_sumy[[#This Row],[pts]]*(40/tbl_zawodnicy_sumy[[#This Row],[min]]),0)</f>
        <v>0</v>
      </c>
      <c r="AE61" s="30">
        <f>IFERROR(tbl_zawodnicy_sumy[[#This Row],[reb total]]*(40/tbl_zawodnicy_sumy[[#This Row],[min]]),0)</f>
        <v>8</v>
      </c>
      <c r="AF61" s="30">
        <f>IFERROR(tbl_zawodnicy_sumy[[#This Row],[asst]]*(40/tbl_zawodnicy_sumy[[#This Row],[min]]),0)</f>
        <v>0</v>
      </c>
      <c r="AG61" s="5">
        <f t="shared" si="20"/>
        <v>0</v>
      </c>
      <c r="AH61" s="5">
        <f>IFERROR((tbl_zawodnicy_sumy[[#This Row],[stl]]+tbl_zawodnicy_sumy[[#This Row],[blk]])*(40/tbl_zawodnicy_sumy[[#This Row],[min]]),0)</f>
        <v>0</v>
      </c>
      <c r="AI61" s="4">
        <f>IFERROR((SUMIF(tbl_główna_GRACZE[I. Nazwisko],tbl_zawodnicy_sumy[[#This Row],[I. Nazwisko]],tbl_główna_GRACZE[DI]))/tbl_zawodnicy_sumy[[#This Row],[Played]],0)</f>
        <v>0</v>
      </c>
      <c r="AJ61" s="25">
        <f>tbl_zawodnicy_sumy[[#This Row],[stl]]+tbl_zawodnicy_sumy[[#This Row],[blk]]+(tbl_zawodnicy_sumy[[#This Row],[dreb]]*0.5)</f>
        <v>1</v>
      </c>
      <c r="AK61" s="29">
        <f>IFERROR((tbl_zawodnicy_sumy[[#This Row],[stl]]+tbl_zawodnicy_sumy[[#This Row],[blk]]+0.5*tbl_zawodnicy_sumy[[#This Row],[dreb]])/tbl_zawodnicy_sumy[[#This Row],[min]],0)</f>
        <v>0.1</v>
      </c>
      <c r="AL61" s="6">
        <f t="shared" si="21"/>
        <v>-9.9999999999999978E-2</v>
      </c>
      <c r="AM61" s="6">
        <f>IFERROR(tbl_zawodnicy_sumy[[#This Row],[GmSc]]*(40/tbl_zawodnicy_sumy[[#This Row],[min]]),0)</f>
        <v>-0.39999999999999991</v>
      </c>
      <c r="AN61" s="6">
        <f>IFERROR(tbl_zawodnicy_sumy[[#This Row],[EVAL]]*(40/tbl_zawodnicy_sumy[[#This Row],[min]]),0)</f>
        <v>4</v>
      </c>
      <c r="AO61" s="11">
        <f>tbl_zawodnicy_sumy[[#This Row],[fgm]]-tbl_zawodnicy_sumy[[#This Row],[3pm]]</f>
        <v>0</v>
      </c>
      <c r="AP61" s="11">
        <f>tbl_zawodnicy_sumy[[#This Row],[fga]]-tbl_zawodnicy_sumy[[#This Row],[3pa]]</f>
        <v>1</v>
      </c>
      <c r="AQ61">
        <f>SUMIF(tbl_zawodnicy_średnie[I. Nazwisko],tbl_zawodnicy_sumy[[#This Row],[I. Nazwisko]],tbl_zawodnicy_średnie[ID])</f>
        <v>51</v>
      </c>
    </row>
    <row r="62" spans="1:43" x14ac:dyDescent="0.35">
      <c r="A62" s="58" t="s">
        <v>52</v>
      </c>
      <c r="B62" s="58" t="s">
        <v>209</v>
      </c>
      <c r="C62" s="9">
        <f>SUMIF(tbl_główna_GRACZE[I. Nazwisko],tbl_zawodnicy_sumy[[#This Row],[I. Nazwisko]],tbl_główna_GRACZE[Played?])</f>
        <v>0</v>
      </c>
      <c r="D62" s="10">
        <f>SUMIF(tbl_główna_GRACZE[I. Nazwisko],tbl_zawodnicy_sumy[[#This Row],[I. Nazwisko]],tbl_główna_GRACZE[fgm])</f>
        <v>0</v>
      </c>
      <c r="E62" s="10">
        <f>SUMIF(tbl_główna_GRACZE[I. Nazwisko],tbl_zawodnicy_sumy[[#This Row],[I. Nazwisko]],tbl_główna_GRACZE[fga])</f>
        <v>0</v>
      </c>
      <c r="F62" s="10">
        <f>SUMIF(tbl_główna_GRACZE[I. Nazwisko],tbl_zawodnicy_sumy[[#This Row],[I. Nazwisko]],tbl_główna_GRACZE[3pm])</f>
        <v>0</v>
      </c>
      <c r="G62" s="10">
        <f>SUMIF(tbl_główna_GRACZE[I. Nazwisko],tbl_zawodnicy_sumy[[#This Row],[I. Nazwisko]],tbl_główna_GRACZE[3pa])</f>
        <v>0</v>
      </c>
      <c r="H62" s="10">
        <f>SUMIF(tbl_główna_GRACZE[I. Nazwisko],tbl_zawodnicy_sumy[[#This Row],[I. Nazwisko]],tbl_główna_GRACZE[ftm])</f>
        <v>0</v>
      </c>
      <c r="I62" s="10">
        <f>SUMIF(tbl_główna_GRACZE[I. Nazwisko],tbl_zawodnicy_sumy[[#This Row],[I. Nazwisko]],tbl_główna_GRACZE[fta])</f>
        <v>0</v>
      </c>
      <c r="J62" s="10">
        <f>SUMIF(tbl_główna_GRACZE[I. Nazwisko],tbl_zawodnicy_sumy[[#This Row],[I. Nazwisko]],tbl_główna_GRACZE[oreb])</f>
        <v>0</v>
      </c>
      <c r="K62" s="10">
        <f>SUMIF(tbl_główna_GRACZE[I. Nazwisko],tbl_zawodnicy_sumy[[#This Row],[I. Nazwisko]],tbl_główna_GRACZE[dreb])</f>
        <v>0</v>
      </c>
      <c r="L62" s="10">
        <f>SUMIF(tbl_główna_GRACZE[I. Nazwisko],tbl_zawodnicy_sumy[[#This Row],[I. Nazwisko]],tbl_główna_GRACZE[foul])</f>
        <v>0</v>
      </c>
      <c r="M62" s="10">
        <f>SUMIF(tbl_główna_GRACZE[I. Nazwisko],tbl_zawodnicy_sumy[[#This Row],[I. Nazwisko]],tbl_główna_GRACZE[stl])</f>
        <v>0</v>
      </c>
      <c r="N62" s="10">
        <f>SUMIF(tbl_główna_GRACZE[I. Nazwisko],tbl_zawodnicy_sumy[[#This Row],[I. Nazwisko]],tbl_główna_GRACZE[to])</f>
        <v>0</v>
      </c>
      <c r="O62" s="10">
        <f>SUMIF(tbl_główna_GRACZE[I. Nazwisko],tbl_zawodnicy_sumy[[#This Row],[I. Nazwisko]],tbl_główna_GRACZE[blk])</f>
        <v>0</v>
      </c>
      <c r="P62" s="10">
        <f>SUMIF(tbl_główna_GRACZE[I. Nazwisko],tbl_zawodnicy_sumy[[#This Row],[I. Nazwisko]],tbl_główna_GRACZE[asst])</f>
        <v>0</v>
      </c>
      <c r="Q62" s="10">
        <f>SUMIF(tbl_główna_GRACZE[I. Nazwisko],tbl_zawodnicy_sumy[[#This Row],[I. Nazwisko]],tbl_główna_GRACZE[min])</f>
        <v>0</v>
      </c>
      <c r="R62" s="10">
        <f>SUMIF(tbl_główna_GRACZE[I. Nazwisko],tbl_zawodnicy_sumy[[#This Row],[I. Nazwisko]],tbl_główna_GRACZE[pts])</f>
        <v>0</v>
      </c>
      <c r="S62" s="11">
        <f t="shared" si="11"/>
        <v>0</v>
      </c>
      <c r="T62" s="4">
        <f t="shared" si="12"/>
        <v>0</v>
      </c>
      <c r="U62" s="4">
        <f t="shared" si="13"/>
        <v>0</v>
      </c>
      <c r="V62" s="4">
        <f t="shared" si="14"/>
        <v>0</v>
      </c>
      <c r="W62" s="4">
        <f>IFERROR(tbl_zawodnicy_sumy[[#This Row],[2pm]]/tbl_zawodnicy_sumy[[#This Row],[2pa]],0)</f>
        <v>0</v>
      </c>
      <c r="X62" s="4">
        <f t="shared" si="15"/>
        <v>0</v>
      </c>
      <c r="Y62" s="4">
        <f t="shared" si="16"/>
        <v>0</v>
      </c>
      <c r="Z62" s="11">
        <f t="shared" si="17"/>
        <v>0</v>
      </c>
      <c r="AA62" s="4">
        <f t="shared" si="18"/>
        <v>0</v>
      </c>
      <c r="AB62" s="4">
        <f t="shared" si="19"/>
        <v>0</v>
      </c>
      <c r="AC62" s="26">
        <f>IFERROR((SUMIF(tbl_główna_GRACZE[I. Nazwisko],tbl_zawodnicy_sumy[[#This Row],[I. Nazwisko]],tbl_główna_GRACZE[USG%]))/tbl_zawodnicy_sumy[[#This Row],[Played]],0)</f>
        <v>0</v>
      </c>
      <c r="AD62" s="25">
        <f>IFERROR(tbl_zawodnicy_sumy[[#This Row],[pts]]*(40/tbl_zawodnicy_sumy[[#This Row],[min]]),0)</f>
        <v>0</v>
      </c>
      <c r="AE62" s="30">
        <f>IFERROR(tbl_zawodnicy_sumy[[#This Row],[reb total]]*(40/tbl_zawodnicy_sumy[[#This Row],[min]]),0)</f>
        <v>0</v>
      </c>
      <c r="AF62" s="30">
        <f>IFERROR(tbl_zawodnicy_sumy[[#This Row],[asst]]*(40/tbl_zawodnicy_sumy[[#This Row],[min]]),0)</f>
        <v>0</v>
      </c>
      <c r="AG62" s="5">
        <f t="shared" si="20"/>
        <v>0</v>
      </c>
      <c r="AH62" s="5">
        <f>IFERROR((tbl_zawodnicy_sumy[[#This Row],[stl]]+tbl_zawodnicy_sumy[[#This Row],[blk]])*(40/tbl_zawodnicy_sumy[[#This Row],[min]]),0)</f>
        <v>0</v>
      </c>
      <c r="AI62" s="4">
        <f>IFERROR((SUMIF(tbl_główna_GRACZE[I. Nazwisko],tbl_zawodnicy_sumy[[#This Row],[I. Nazwisko]],tbl_główna_GRACZE[DI]))/tbl_zawodnicy_sumy[[#This Row],[Played]],0)</f>
        <v>0</v>
      </c>
      <c r="AJ62" s="25">
        <f>tbl_zawodnicy_sumy[[#This Row],[stl]]+tbl_zawodnicy_sumy[[#This Row],[blk]]+(tbl_zawodnicy_sumy[[#This Row],[dreb]]*0.5)</f>
        <v>0</v>
      </c>
      <c r="AK62" s="29">
        <f>IFERROR((tbl_zawodnicy_sumy[[#This Row],[stl]]+tbl_zawodnicy_sumy[[#This Row],[blk]]+0.5*tbl_zawodnicy_sumy[[#This Row],[dreb]])/tbl_zawodnicy_sumy[[#This Row],[min]],0)</f>
        <v>0</v>
      </c>
      <c r="AL62" s="6">
        <f t="shared" si="21"/>
        <v>0</v>
      </c>
      <c r="AM62" s="6">
        <f>IFERROR(tbl_zawodnicy_sumy[[#This Row],[GmSc]]*(40/tbl_zawodnicy_sumy[[#This Row],[min]]),0)</f>
        <v>0</v>
      </c>
      <c r="AN62" s="6">
        <f>IFERROR(tbl_zawodnicy_sumy[[#This Row],[EVAL]]*(40/tbl_zawodnicy_sumy[[#This Row],[min]]),0)</f>
        <v>0</v>
      </c>
      <c r="AO62" s="11">
        <f>tbl_zawodnicy_sumy[[#This Row],[fgm]]-tbl_zawodnicy_sumy[[#This Row],[3pm]]</f>
        <v>0</v>
      </c>
      <c r="AP62" s="11">
        <f>tbl_zawodnicy_sumy[[#This Row],[fga]]-tbl_zawodnicy_sumy[[#This Row],[3pa]]</f>
        <v>0</v>
      </c>
      <c r="AQ62">
        <f>SUMIF(tbl_zawodnicy_średnie[I. Nazwisko],tbl_zawodnicy_sumy[[#This Row],[I. Nazwisko]],tbl_zawodnicy_średnie[ID])</f>
        <v>0</v>
      </c>
    </row>
    <row r="63" spans="1:43" x14ac:dyDescent="0.35">
      <c r="A63" s="58" t="s">
        <v>52</v>
      </c>
      <c r="B63" s="58" t="s">
        <v>210</v>
      </c>
      <c r="C63" s="9">
        <f>SUMIF(tbl_główna_GRACZE[I. Nazwisko],tbl_zawodnicy_sumy[[#This Row],[I. Nazwisko]],tbl_główna_GRACZE[Played?])</f>
        <v>2</v>
      </c>
      <c r="D63" s="10">
        <f>SUMIF(tbl_główna_GRACZE[I. Nazwisko],tbl_zawodnicy_sumy[[#This Row],[I. Nazwisko]],tbl_główna_GRACZE[fgm])</f>
        <v>1</v>
      </c>
      <c r="E63" s="10">
        <f>SUMIF(tbl_główna_GRACZE[I. Nazwisko],tbl_zawodnicy_sumy[[#This Row],[I. Nazwisko]],tbl_główna_GRACZE[fga])</f>
        <v>1</v>
      </c>
      <c r="F63" s="10">
        <f>SUMIF(tbl_główna_GRACZE[I. Nazwisko],tbl_zawodnicy_sumy[[#This Row],[I. Nazwisko]],tbl_główna_GRACZE[3pm])</f>
        <v>0</v>
      </c>
      <c r="G63" s="10">
        <f>SUMIF(tbl_główna_GRACZE[I. Nazwisko],tbl_zawodnicy_sumy[[#This Row],[I. Nazwisko]],tbl_główna_GRACZE[3pa])</f>
        <v>0</v>
      </c>
      <c r="H63" s="10">
        <f>SUMIF(tbl_główna_GRACZE[I. Nazwisko],tbl_zawodnicy_sumy[[#This Row],[I. Nazwisko]],tbl_główna_GRACZE[ftm])</f>
        <v>0</v>
      </c>
      <c r="I63" s="10">
        <f>SUMIF(tbl_główna_GRACZE[I. Nazwisko],tbl_zawodnicy_sumy[[#This Row],[I. Nazwisko]],tbl_główna_GRACZE[fta])</f>
        <v>0</v>
      </c>
      <c r="J63" s="10">
        <f>SUMIF(tbl_główna_GRACZE[I. Nazwisko],tbl_zawodnicy_sumy[[#This Row],[I. Nazwisko]],tbl_główna_GRACZE[oreb])</f>
        <v>2</v>
      </c>
      <c r="K63" s="10">
        <f>SUMIF(tbl_główna_GRACZE[I. Nazwisko],tbl_zawodnicy_sumy[[#This Row],[I. Nazwisko]],tbl_główna_GRACZE[dreb])</f>
        <v>4</v>
      </c>
      <c r="L63" s="10">
        <f>SUMIF(tbl_główna_GRACZE[I. Nazwisko],tbl_zawodnicy_sumy[[#This Row],[I. Nazwisko]],tbl_główna_GRACZE[foul])</f>
        <v>1</v>
      </c>
      <c r="M63" s="10">
        <f>SUMIF(tbl_główna_GRACZE[I. Nazwisko],tbl_zawodnicy_sumy[[#This Row],[I. Nazwisko]],tbl_główna_GRACZE[stl])</f>
        <v>1</v>
      </c>
      <c r="N63" s="10">
        <f>SUMIF(tbl_główna_GRACZE[I. Nazwisko],tbl_zawodnicy_sumy[[#This Row],[I. Nazwisko]],tbl_główna_GRACZE[to])</f>
        <v>0</v>
      </c>
      <c r="O63" s="10">
        <f>SUMIF(tbl_główna_GRACZE[I. Nazwisko],tbl_zawodnicy_sumy[[#This Row],[I. Nazwisko]],tbl_główna_GRACZE[blk])</f>
        <v>0</v>
      </c>
      <c r="P63" s="10">
        <f>SUMIF(tbl_główna_GRACZE[I. Nazwisko],tbl_zawodnicy_sumy[[#This Row],[I. Nazwisko]],tbl_główna_GRACZE[asst])</f>
        <v>1</v>
      </c>
      <c r="Q63" s="10">
        <f>SUMIF(tbl_główna_GRACZE[I. Nazwisko],tbl_zawodnicy_sumy[[#This Row],[I. Nazwisko]],tbl_główna_GRACZE[min])</f>
        <v>30</v>
      </c>
      <c r="R63" s="10">
        <f>SUMIF(tbl_główna_GRACZE[I. Nazwisko],tbl_zawodnicy_sumy[[#This Row],[I. Nazwisko]],tbl_główna_GRACZE[pts])</f>
        <v>2</v>
      </c>
      <c r="S63" s="11">
        <f t="shared" si="11"/>
        <v>6</v>
      </c>
      <c r="T63" s="4">
        <f t="shared" si="12"/>
        <v>1</v>
      </c>
      <c r="U63" s="4">
        <f t="shared" si="13"/>
        <v>0</v>
      </c>
      <c r="V63" s="4">
        <f t="shared" si="14"/>
        <v>0</v>
      </c>
      <c r="W63" s="4">
        <f>IFERROR(tbl_zawodnicy_sumy[[#This Row],[2pm]]/tbl_zawodnicy_sumy[[#This Row],[2pa]],0)</f>
        <v>1</v>
      </c>
      <c r="X63" s="4">
        <f t="shared" si="15"/>
        <v>1</v>
      </c>
      <c r="Y63" s="4">
        <f t="shared" si="16"/>
        <v>1</v>
      </c>
      <c r="Z63" s="11">
        <f t="shared" si="17"/>
        <v>10</v>
      </c>
      <c r="AA63" s="4">
        <f t="shared" si="18"/>
        <v>0</v>
      </c>
      <c r="AB63" s="4">
        <f t="shared" si="19"/>
        <v>0</v>
      </c>
      <c r="AC63" s="26">
        <f>IFERROR((SUMIF(tbl_główna_GRACZE[I. Nazwisko],tbl_zawodnicy_sumy[[#This Row],[I. Nazwisko]],tbl_główna_GRACZE[USG%]))/tbl_zawodnicy_sumy[[#This Row],[Played]],0)</f>
        <v>6.0827250608272501E-3</v>
      </c>
      <c r="AD63" s="25">
        <f>IFERROR(tbl_zawodnicy_sumy[[#This Row],[pts]]*(40/tbl_zawodnicy_sumy[[#This Row],[min]]),0)</f>
        <v>2.6666666666666665</v>
      </c>
      <c r="AE63" s="30">
        <f>IFERROR(tbl_zawodnicy_sumy[[#This Row],[reb total]]*(40/tbl_zawodnicy_sumy[[#This Row],[min]]),0)</f>
        <v>8</v>
      </c>
      <c r="AF63" s="30">
        <f>IFERROR(tbl_zawodnicy_sumy[[#This Row],[asst]]*(40/tbl_zawodnicy_sumy[[#This Row],[min]]),0)</f>
        <v>1.3333333333333333</v>
      </c>
      <c r="AG63" s="5">
        <f t="shared" si="20"/>
        <v>2</v>
      </c>
      <c r="AH63" s="5">
        <f>IFERROR((tbl_zawodnicy_sumy[[#This Row],[stl]]+tbl_zawodnicy_sumy[[#This Row],[blk]])*(40/tbl_zawodnicy_sumy[[#This Row],[min]]),0)</f>
        <v>1.3333333333333333</v>
      </c>
      <c r="AI63" s="4">
        <f>IFERROR((SUMIF(tbl_główna_GRACZE[I. Nazwisko],tbl_zawodnicy_sumy[[#This Row],[I. Nazwisko]],tbl_główna_GRACZE[DI]))/tbl_zawodnicy_sumy[[#This Row],[Played]],0)</f>
        <v>3.5714285714285712E-2</v>
      </c>
      <c r="AJ63" s="25">
        <f>tbl_zawodnicy_sumy[[#This Row],[stl]]+tbl_zawodnicy_sumy[[#This Row],[blk]]+(tbl_zawodnicy_sumy[[#This Row],[dreb]]*0.5)</f>
        <v>3</v>
      </c>
      <c r="AK63" s="29">
        <f>IFERROR((tbl_zawodnicy_sumy[[#This Row],[stl]]+tbl_zawodnicy_sumy[[#This Row],[blk]]+0.5*tbl_zawodnicy_sumy[[#This Row],[dreb]])/tbl_zawodnicy_sumy[[#This Row],[min]],0)</f>
        <v>0.1</v>
      </c>
      <c r="AL63" s="6">
        <f t="shared" si="21"/>
        <v>6</v>
      </c>
      <c r="AM63" s="6">
        <f>IFERROR(tbl_zawodnicy_sumy[[#This Row],[GmSc]]*(40/tbl_zawodnicy_sumy[[#This Row],[min]]),0)</f>
        <v>8</v>
      </c>
      <c r="AN63" s="6">
        <f>IFERROR(tbl_zawodnicy_sumy[[#This Row],[EVAL]]*(40/tbl_zawodnicy_sumy[[#This Row],[min]]),0)</f>
        <v>13.333333333333332</v>
      </c>
      <c r="AO63" s="11">
        <f>tbl_zawodnicy_sumy[[#This Row],[fgm]]-tbl_zawodnicy_sumy[[#This Row],[3pm]]</f>
        <v>1</v>
      </c>
      <c r="AP63" s="11">
        <f>tbl_zawodnicy_sumy[[#This Row],[fga]]-tbl_zawodnicy_sumy[[#This Row],[3pa]]</f>
        <v>1</v>
      </c>
      <c r="AQ63">
        <f>SUMIF(tbl_zawodnicy_średnie[I. Nazwisko],tbl_zawodnicy_sumy[[#This Row],[I. Nazwisko]],tbl_zawodnicy_średnie[ID])</f>
        <v>53</v>
      </c>
    </row>
    <row r="64" spans="1:43" x14ac:dyDescent="0.35">
      <c r="A64" s="58" t="s">
        <v>46</v>
      </c>
      <c r="B64" s="58" t="s">
        <v>342</v>
      </c>
      <c r="C64" s="9">
        <f>SUMIF(tbl_główna_GRACZE[I. Nazwisko],tbl_zawodnicy_sumy[[#This Row],[I. Nazwisko]],tbl_główna_GRACZE[Played?])</f>
        <v>3</v>
      </c>
      <c r="D64" s="10">
        <f>SUMIF(tbl_główna_GRACZE[I. Nazwisko],tbl_zawodnicy_sumy[[#This Row],[I. Nazwisko]],tbl_główna_GRACZE[fgm])</f>
        <v>7</v>
      </c>
      <c r="E64" s="10">
        <f>SUMIF(tbl_główna_GRACZE[I. Nazwisko],tbl_zawodnicy_sumy[[#This Row],[I. Nazwisko]],tbl_główna_GRACZE[fga])</f>
        <v>20</v>
      </c>
      <c r="F64" s="10">
        <f>SUMIF(tbl_główna_GRACZE[I. Nazwisko],tbl_zawodnicy_sumy[[#This Row],[I. Nazwisko]],tbl_główna_GRACZE[3pm])</f>
        <v>1</v>
      </c>
      <c r="G64" s="10">
        <f>SUMIF(tbl_główna_GRACZE[I. Nazwisko],tbl_zawodnicy_sumy[[#This Row],[I. Nazwisko]],tbl_główna_GRACZE[3pa])</f>
        <v>2</v>
      </c>
      <c r="H64" s="10">
        <f>SUMIF(tbl_główna_GRACZE[I. Nazwisko],tbl_zawodnicy_sumy[[#This Row],[I. Nazwisko]],tbl_główna_GRACZE[ftm])</f>
        <v>3</v>
      </c>
      <c r="I64" s="10">
        <f>SUMIF(tbl_główna_GRACZE[I. Nazwisko],tbl_zawodnicy_sumy[[#This Row],[I. Nazwisko]],tbl_główna_GRACZE[fta])</f>
        <v>6</v>
      </c>
      <c r="J64" s="10">
        <f>SUMIF(tbl_główna_GRACZE[I. Nazwisko],tbl_zawodnicy_sumy[[#This Row],[I. Nazwisko]],tbl_główna_GRACZE[oreb])</f>
        <v>3</v>
      </c>
      <c r="K64" s="10">
        <f>SUMIF(tbl_główna_GRACZE[I. Nazwisko],tbl_zawodnicy_sumy[[#This Row],[I. Nazwisko]],tbl_główna_GRACZE[dreb])</f>
        <v>16</v>
      </c>
      <c r="L64" s="10">
        <f>SUMIF(tbl_główna_GRACZE[I. Nazwisko],tbl_zawodnicy_sumy[[#This Row],[I. Nazwisko]],tbl_główna_GRACZE[foul])</f>
        <v>0</v>
      </c>
      <c r="M64" s="10">
        <f>SUMIF(tbl_główna_GRACZE[I. Nazwisko],tbl_zawodnicy_sumy[[#This Row],[I. Nazwisko]],tbl_główna_GRACZE[stl])</f>
        <v>7</v>
      </c>
      <c r="N64" s="10">
        <f>SUMIF(tbl_główna_GRACZE[I. Nazwisko],tbl_zawodnicy_sumy[[#This Row],[I. Nazwisko]],tbl_główna_GRACZE[to])</f>
        <v>0</v>
      </c>
      <c r="O64" s="10">
        <f>SUMIF(tbl_główna_GRACZE[I. Nazwisko],tbl_zawodnicy_sumy[[#This Row],[I. Nazwisko]],tbl_główna_GRACZE[blk])</f>
        <v>4</v>
      </c>
      <c r="P64" s="10">
        <f>SUMIF(tbl_główna_GRACZE[I. Nazwisko],tbl_zawodnicy_sumy[[#This Row],[I. Nazwisko]],tbl_główna_GRACZE[asst])</f>
        <v>3</v>
      </c>
      <c r="Q64" s="10">
        <f>SUMIF(tbl_główna_GRACZE[I. Nazwisko],tbl_zawodnicy_sumy[[#This Row],[I. Nazwisko]],tbl_główna_GRACZE[min])</f>
        <v>74</v>
      </c>
      <c r="R64" s="10">
        <f>SUMIF(tbl_główna_GRACZE[I. Nazwisko],tbl_zawodnicy_sumy[[#This Row],[I. Nazwisko]],tbl_główna_GRACZE[pts])</f>
        <v>18</v>
      </c>
      <c r="S64" s="11">
        <f t="shared" si="11"/>
        <v>19</v>
      </c>
      <c r="T64" s="4">
        <f t="shared" si="12"/>
        <v>0.35</v>
      </c>
      <c r="U64" s="4">
        <f t="shared" si="13"/>
        <v>0.5</v>
      </c>
      <c r="V64" s="4">
        <f t="shared" si="14"/>
        <v>0.5</v>
      </c>
      <c r="W64" s="4">
        <f>IFERROR(tbl_zawodnicy_sumy[[#This Row],[2pm]]/tbl_zawodnicy_sumy[[#This Row],[2pa]],0)</f>
        <v>0.33333333333333331</v>
      </c>
      <c r="X64" s="4">
        <f t="shared" si="15"/>
        <v>0.39752650176678445</v>
      </c>
      <c r="Y64" s="4">
        <f t="shared" si="16"/>
        <v>0.375</v>
      </c>
      <c r="Z64" s="11">
        <f t="shared" si="17"/>
        <v>35</v>
      </c>
      <c r="AA64" s="4">
        <f t="shared" si="18"/>
        <v>0.3</v>
      </c>
      <c r="AB64" s="4">
        <f t="shared" si="19"/>
        <v>0.1</v>
      </c>
      <c r="AC64" s="26">
        <f>IFERROR((SUMIF(tbl_główna_GRACZE[I. Nazwisko],tbl_zawodnicy_sumy[[#This Row],[I. Nazwisko]],tbl_główna_GRACZE[USG%]))/tbl_zawodnicy_sumy[[#This Row],[Played]],0)</f>
        <v>0.1200127510428457</v>
      </c>
      <c r="AD64" s="25">
        <f>IFERROR(tbl_zawodnicy_sumy[[#This Row],[pts]]*(40/tbl_zawodnicy_sumy[[#This Row],[min]]),0)</f>
        <v>9.7297297297297298</v>
      </c>
      <c r="AE64" s="30">
        <f>IFERROR(tbl_zawodnicy_sumy[[#This Row],[reb total]]*(40/tbl_zawodnicy_sumy[[#This Row],[min]]),0)</f>
        <v>10.27027027027027</v>
      </c>
      <c r="AF64" s="30">
        <f>IFERROR(tbl_zawodnicy_sumy[[#This Row],[asst]]*(40/tbl_zawodnicy_sumy[[#This Row],[min]]),0)</f>
        <v>1.6216216216216217</v>
      </c>
      <c r="AG64" s="5">
        <f t="shared" si="20"/>
        <v>0.9</v>
      </c>
      <c r="AH64" s="5">
        <f>IFERROR((tbl_zawodnicy_sumy[[#This Row],[stl]]+tbl_zawodnicy_sumy[[#This Row],[blk]])*(40/tbl_zawodnicy_sumy[[#This Row],[min]]),0)</f>
        <v>5.9459459459459465</v>
      </c>
      <c r="AI64" s="4">
        <f>IFERROR((SUMIF(tbl_główna_GRACZE[I. Nazwisko],tbl_zawodnicy_sumy[[#This Row],[I. Nazwisko]],tbl_główna_GRACZE[DI]))/tbl_zawodnicy_sumy[[#This Row],[Played]],0)</f>
        <v>0.25898078529657476</v>
      </c>
      <c r="AJ64" s="25">
        <f>tbl_zawodnicy_sumy[[#This Row],[stl]]+tbl_zawodnicy_sumy[[#This Row],[blk]]+(tbl_zawodnicy_sumy[[#This Row],[dreb]]*0.5)</f>
        <v>19</v>
      </c>
      <c r="AK64" s="29">
        <f>IFERROR((tbl_zawodnicy_sumy[[#This Row],[stl]]+tbl_zawodnicy_sumy[[#This Row],[blk]]+0.5*tbl_zawodnicy_sumy[[#This Row],[dreb]])/tbl_zawodnicy_sumy[[#This Row],[min]],0)</f>
        <v>0.25675675675675674</v>
      </c>
      <c r="AL64" s="6">
        <f t="shared" si="21"/>
        <v>24.400000000000002</v>
      </c>
      <c r="AM64" s="6">
        <f>IFERROR(tbl_zawodnicy_sumy[[#This Row],[GmSc]]*(40/tbl_zawodnicy_sumy[[#This Row],[min]]),0)</f>
        <v>13.189189189189191</v>
      </c>
      <c r="AN64" s="6">
        <f>IFERROR(tbl_zawodnicy_sumy[[#This Row],[EVAL]]*(40/tbl_zawodnicy_sumy[[#This Row],[min]]),0)</f>
        <v>18.918918918918919</v>
      </c>
      <c r="AO64" s="11">
        <f>tbl_zawodnicy_sumy[[#This Row],[fgm]]-tbl_zawodnicy_sumy[[#This Row],[3pm]]</f>
        <v>6</v>
      </c>
      <c r="AP64" s="11">
        <f>tbl_zawodnicy_sumy[[#This Row],[fga]]-tbl_zawodnicy_sumy[[#This Row],[3pa]]</f>
        <v>18</v>
      </c>
      <c r="AQ64">
        <f>SUMIF(tbl_zawodnicy_średnie[I. Nazwisko],tbl_zawodnicy_sumy[[#This Row],[I. Nazwisko]],tbl_zawodnicy_średnie[ID])</f>
        <v>54</v>
      </c>
    </row>
    <row r="65" spans="1:43" x14ac:dyDescent="0.35">
      <c r="A65" s="58" t="s">
        <v>48</v>
      </c>
      <c r="B65" s="58" t="s">
        <v>211</v>
      </c>
      <c r="C65" s="9">
        <f>SUMIF(tbl_główna_GRACZE[I. Nazwisko],tbl_zawodnicy_sumy[[#This Row],[I. Nazwisko]],tbl_główna_GRACZE[Played?])</f>
        <v>2</v>
      </c>
      <c r="D65" s="10">
        <f>SUMIF(tbl_główna_GRACZE[I. Nazwisko],tbl_zawodnicy_sumy[[#This Row],[I. Nazwisko]],tbl_główna_GRACZE[fgm])</f>
        <v>1</v>
      </c>
      <c r="E65" s="10">
        <f>SUMIF(tbl_główna_GRACZE[I. Nazwisko],tbl_zawodnicy_sumy[[#This Row],[I. Nazwisko]],tbl_główna_GRACZE[fga])</f>
        <v>6</v>
      </c>
      <c r="F65" s="10">
        <f>SUMIF(tbl_główna_GRACZE[I. Nazwisko],tbl_zawodnicy_sumy[[#This Row],[I. Nazwisko]],tbl_główna_GRACZE[3pm])</f>
        <v>0</v>
      </c>
      <c r="G65" s="10">
        <f>SUMIF(tbl_główna_GRACZE[I. Nazwisko],tbl_zawodnicy_sumy[[#This Row],[I. Nazwisko]],tbl_główna_GRACZE[3pa])</f>
        <v>1</v>
      </c>
      <c r="H65" s="10">
        <f>SUMIF(tbl_główna_GRACZE[I. Nazwisko],tbl_zawodnicy_sumy[[#This Row],[I. Nazwisko]],tbl_główna_GRACZE[ftm])</f>
        <v>2</v>
      </c>
      <c r="I65" s="10">
        <f>SUMIF(tbl_główna_GRACZE[I. Nazwisko],tbl_zawodnicy_sumy[[#This Row],[I. Nazwisko]],tbl_główna_GRACZE[fta])</f>
        <v>2</v>
      </c>
      <c r="J65" s="10">
        <f>SUMIF(tbl_główna_GRACZE[I. Nazwisko],tbl_zawodnicy_sumy[[#This Row],[I. Nazwisko]],tbl_główna_GRACZE[oreb])</f>
        <v>1</v>
      </c>
      <c r="K65" s="10">
        <f>SUMIF(tbl_główna_GRACZE[I. Nazwisko],tbl_zawodnicy_sumy[[#This Row],[I. Nazwisko]],tbl_główna_GRACZE[dreb])</f>
        <v>3</v>
      </c>
      <c r="L65" s="10">
        <f>SUMIF(tbl_główna_GRACZE[I. Nazwisko],tbl_zawodnicy_sumy[[#This Row],[I. Nazwisko]],tbl_główna_GRACZE[foul])</f>
        <v>0</v>
      </c>
      <c r="M65" s="10">
        <f>SUMIF(tbl_główna_GRACZE[I. Nazwisko],tbl_zawodnicy_sumy[[#This Row],[I. Nazwisko]],tbl_główna_GRACZE[stl])</f>
        <v>2</v>
      </c>
      <c r="N65" s="10">
        <f>SUMIF(tbl_główna_GRACZE[I. Nazwisko],tbl_zawodnicy_sumy[[#This Row],[I. Nazwisko]],tbl_główna_GRACZE[to])</f>
        <v>0</v>
      </c>
      <c r="O65" s="10">
        <f>SUMIF(tbl_główna_GRACZE[I. Nazwisko],tbl_zawodnicy_sumy[[#This Row],[I. Nazwisko]],tbl_główna_GRACZE[blk])</f>
        <v>0</v>
      </c>
      <c r="P65" s="10">
        <f>SUMIF(tbl_główna_GRACZE[I. Nazwisko],tbl_zawodnicy_sumy[[#This Row],[I. Nazwisko]],tbl_główna_GRACZE[asst])</f>
        <v>2</v>
      </c>
      <c r="Q65" s="10">
        <f>SUMIF(tbl_główna_GRACZE[I. Nazwisko],tbl_zawodnicy_sumy[[#This Row],[I. Nazwisko]],tbl_główna_GRACZE[min])</f>
        <v>36</v>
      </c>
      <c r="R65" s="10">
        <f>SUMIF(tbl_główna_GRACZE[I. Nazwisko],tbl_zawodnicy_sumy[[#This Row],[I. Nazwisko]],tbl_główna_GRACZE[pts])</f>
        <v>4</v>
      </c>
      <c r="S65" s="11">
        <f t="shared" si="11"/>
        <v>4</v>
      </c>
      <c r="T65" s="4">
        <f t="shared" si="12"/>
        <v>0.16666666666666666</v>
      </c>
      <c r="U65" s="4">
        <f t="shared" si="13"/>
        <v>0</v>
      </c>
      <c r="V65" s="4">
        <f t="shared" si="14"/>
        <v>1</v>
      </c>
      <c r="W65" s="4">
        <f>IFERROR(tbl_zawodnicy_sumy[[#This Row],[2pm]]/tbl_zawodnicy_sumy[[#This Row],[2pa]],0)</f>
        <v>0.2</v>
      </c>
      <c r="X65" s="4">
        <f t="shared" si="15"/>
        <v>0.29069767441860467</v>
      </c>
      <c r="Y65" s="4">
        <f t="shared" si="16"/>
        <v>0.16666666666666666</v>
      </c>
      <c r="Z65" s="11">
        <f t="shared" si="17"/>
        <v>7</v>
      </c>
      <c r="AA65" s="4">
        <f t="shared" si="18"/>
        <v>0.33333333333333331</v>
      </c>
      <c r="AB65" s="4">
        <f t="shared" si="19"/>
        <v>0.16666666666666666</v>
      </c>
      <c r="AC65" s="26">
        <f>IFERROR((SUMIF(tbl_główna_GRACZE[I. Nazwisko],tbl_zawodnicy_sumy[[#This Row],[I. Nazwisko]],tbl_główna_GRACZE[USG%]))/tbl_zawodnicy_sumy[[#This Row],[Played]],0)</f>
        <v>4.6535495018092642E-2</v>
      </c>
      <c r="AD65" s="25">
        <f>IFERROR(tbl_zawodnicy_sumy[[#This Row],[pts]]*(40/tbl_zawodnicy_sumy[[#This Row],[min]]),0)</f>
        <v>4.4444444444444446</v>
      </c>
      <c r="AE65" s="30">
        <f>IFERROR(tbl_zawodnicy_sumy[[#This Row],[reb total]]*(40/tbl_zawodnicy_sumy[[#This Row],[min]]),0)</f>
        <v>4.4444444444444446</v>
      </c>
      <c r="AF65" s="30">
        <f>IFERROR(tbl_zawodnicy_sumy[[#This Row],[asst]]*(40/tbl_zawodnicy_sumy[[#This Row],[min]]),0)</f>
        <v>2.2222222222222223</v>
      </c>
      <c r="AG65" s="5">
        <f t="shared" si="20"/>
        <v>0.66666666666666663</v>
      </c>
      <c r="AH65" s="5">
        <f>IFERROR((tbl_zawodnicy_sumy[[#This Row],[stl]]+tbl_zawodnicy_sumy[[#This Row],[blk]])*(40/tbl_zawodnicy_sumy[[#This Row],[min]]),0)</f>
        <v>2.2222222222222223</v>
      </c>
      <c r="AI65" s="4">
        <f>IFERROR((SUMIF(tbl_główna_GRACZE[I. Nazwisko],tbl_zawodnicy_sumy[[#This Row],[I. Nazwisko]],tbl_główna_GRACZE[DI]))/tbl_zawodnicy_sumy[[#This Row],[Played]],0)</f>
        <v>5.2777777777777778E-2</v>
      </c>
      <c r="AJ65" s="25">
        <f>tbl_zawodnicy_sumy[[#This Row],[stl]]+tbl_zawodnicy_sumy[[#This Row],[blk]]+(tbl_zawodnicy_sumy[[#This Row],[dreb]]*0.5)</f>
        <v>3.5</v>
      </c>
      <c r="AK65" s="29">
        <f>IFERROR((tbl_zawodnicy_sumy[[#This Row],[stl]]+tbl_zawodnicy_sumy[[#This Row],[blk]]+0.5*tbl_zawodnicy_sumy[[#This Row],[dreb]])/tbl_zawodnicy_sumy[[#This Row],[min]],0)</f>
        <v>9.7222222222222224E-2</v>
      </c>
      <c r="AL65" s="6">
        <f t="shared" si="21"/>
        <v>5.2000000000000011</v>
      </c>
      <c r="AM65" s="6">
        <f>IFERROR(tbl_zawodnicy_sumy[[#This Row],[GmSc]]*(40/tbl_zawodnicy_sumy[[#This Row],[min]]),0)</f>
        <v>5.7777777777777795</v>
      </c>
      <c r="AN65" s="6">
        <f>IFERROR(tbl_zawodnicy_sumy[[#This Row],[EVAL]]*(40/tbl_zawodnicy_sumy[[#This Row],[min]]),0)</f>
        <v>7.7777777777777786</v>
      </c>
      <c r="AO65" s="11">
        <f>tbl_zawodnicy_sumy[[#This Row],[fgm]]-tbl_zawodnicy_sumy[[#This Row],[3pm]]</f>
        <v>1</v>
      </c>
      <c r="AP65" s="11">
        <f>tbl_zawodnicy_sumy[[#This Row],[fga]]-tbl_zawodnicy_sumy[[#This Row],[3pa]]</f>
        <v>5</v>
      </c>
      <c r="AQ65">
        <f>SUMIF(tbl_zawodnicy_średnie[I. Nazwisko],tbl_zawodnicy_sumy[[#This Row],[I. Nazwisko]],tbl_zawodnicy_średnie[ID])</f>
        <v>55</v>
      </c>
    </row>
    <row r="66" spans="1:43" x14ac:dyDescent="0.35">
      <c r="A66" s="58" t="s">
        <v>48</v>
      </c>
      <c r="B66" s="58" t="s">
        <v>212</v>
      </c>
      <c r="C66" s="9">
        <f>SUMIF(tbl_główna_GRACZE[I. Nazwisko],tbl_zawodnicy_sumy[[#This Row],[I. Nazwisko]],tbl_główna_GRACZE[Played?])</f>
        <v>1</v>
      </c>
      <c r="D66" s="10">
        <f>SUMIF(tbl_główna_GRACZE[I. Nazwisko],tbl_zawodnicy_sumy[[#This Row],[I. Nazwisko]],tbl_główna_GRACZE[fgm])</f>
        <v>1</v>
      </c>
      <c r="E66" s="10">
        <f>SUMIF(tbl_główna_GRACZE[I. Nazwisko],tbl_zawodnicy_sumy[[#This Row],[I. Nazwisko]],tbl_główna_GRACZE[fga])</f>
        <v>7</v>
      </c>
      <c r="F66" s="10">
        <f>SUMIF(tbl_główna_GRACZE[I. Nazwisko],tbl_zawodnicy_sumy[[#This Row],[I. Nazwisko]],tbl_główna_GRACZE[3pm])</f>
        <v>0</v>
      </c>
      <c r="G66" s="10">
        <f>SUMIF(tbl_główna_GRACZE[I. Nazwisko],tbl_zawodnicy_sumy[[#This Row],[I. Nazwisko]],tbl_główna_GRACZE[3pa])</f>
        <v>2</v>
      </c>
      <c r="H66" s="10">
        <f>SUMIF(tbl_główna_GRACZE[I. Nazwisko],tbl_zawodnicy_sumy[[#This Row],[I. Nazwisko]],tbl_główna_GRACZE[ftm])</f>
        <v>0</v>
      </c>
      <c r="I66" s="10">
        <f>SUMIF(tbl_główna_GRACZE[I. Nazwisko],tbl_zawodnicy_sumy[[#This Row],[I. Nazwisko]],tbl_główna_GRACZE[fta])</f>
        <v>0</v>
      </c>
      <c r="J66" s="10">
        <f>SUMIF(tbl_główna_GRACZE[I. Nazwisko],tbl_zawodnicy_sumy[[#This Row],[I. Nazwisko]],tbl_główna_GRACZE[oreb])</f>
        <v>1</v>
      </c>
      <c r="K66" s="10">
        <f>SUMIF(tbl_główna_GRACZE[I. Nazwisko],tbl_zawodnicy_sumy[[#This Row],[I. Nazwisko]],tbl_główna_GRACZE[dreb])</f>
        <v>1</v>
      </c>
      <c r="L66" s="10">
        <f>SUMIF(tbl_główna_GRACZE[I. Nazwisko],tbl_zawodnicy_sumy[[#This Row],[I. Nazwisko]],tbl_główna_GRACZE[foul])</f>
        <v>0</v>
      </c>
      <c r="M66" s="10">
        <f>SUMIF(tbl_główna_GRACZE[I. Nazwisko],tbl_zawodnicy_sumy[[#This Row],[I. Nazwisko]],tbl_główna_GRACZE[stl])</f>
        <v>3</v>
      </c>
      <c r="N66" s="10">
        <f>SUMIF(tbl_główna_GRACZE[I. Nazwisko],tbl_zawodnicy_sumy[[#This Row],[I. Nazwisko]],tbl_główna_GRACZE[to])</f>
        <v>0</v>
      </c>
      <c r="O66" s="10">
        <f>SUMIF(tbl_główna_GRACZE[I. Nazwisko],tbl_zawodnicy_sumy[[#This Row],[I. Nazwisko]],tbl_główna_GRACZE[blk])</f>
        <v>0</v>
      </c>
      <c r="P66" s="10">
        <f>SUMIF(tbl_główna_GRACZE[I. Nazwisko],tbl_zawodnicy_sumy[[#This Row],[I. Nazwisko]],tbl_główna_GRACZE[asst])</f>
        <v>0</v>
      </c>
      <c r="Q66" s="10">
        <f>SUMIF(tbl_główna_GRACZE[I. Nazwisko],tbl_zawodnicy_sumy[[#This Row],[I. Nazwisko]],tbl_główna_GRACZE[min])</f>
        <v>14</v>
      </c>
      <c r="R66" s="10">
        <f>SUMIF(tbl_główna_GRACZE[I. Nazwisko],tbl_zawodnicy_sumy[[#This Row],[I. Nazwisko]],tbl_główna_GRACZE[pts])</f>
        <v>2</v>
      </c>
      <c r="S66" s="11">
        <f t="shared" si="11"/>
        <v>2</v>
      </c>
      <c r="T66" s="4">
        <f t="shared" si="12"/>
        <v>0.14285714285714285</v>
      </c>
      <c r="U66" s="4">
        <f t="shared" si="13"/>
        <v>0</v>
      </c>
      <c r="V66" s="4">
        <f t="shared" si="14"/>
        <v>0</v>
      </c>
      <c r="W66" s="4">
        <f>IFERROR(tbl_zawodnicy_sumy[[#This Row],[2pm]]/tbl_zawodnicy_sumy[[#This Row],[2pa]],0)</f>
        <v>0.2</v>
      </c>
      <c r="X66" s="4">
        <f t="shared" si="15"/>
        <v>0.14285714285714285</v>
      </c>
      <c r="Y66" s="4">
        <f t="shared" si="16"/>
        <v>0.14285714285714285</v>
      </c>
      <c r="Z66" s="11">
        <f t="shared" si="17"/>
        <v>1</v>
      </c>
      <c r="AA66" s="4">
        <f t="shared" si="18"/>
        <v>0</v>
      </c>
      <c r="AB66" s="4">
        <f t="shared" si="19"/>
        <v>0.2857142857142857</v>
      </c>
      <c r="AC66" s="26">
        <f>IFERROR((SUMIF(tbl_główna_GRACZE[I. Nazwisko],tbl_zawodnicy_sumy[[#This Row],[I. Nazwisko]],tbl_główna_GRACZE[USG%]))/tbl_zawodnicy_sumy[[#This Row],[Played]],0)</f>
        <v>0.11047979797979798</v>
      </c>
      <c r="AD66" s="25">
        <f>IFERROR(tbl_zawodnicy_sumy[[#This Row],[pts]]*(40/tbl_zawodnicy_sumy[[#This Row],[min]]),0)</f>
        <v>5.7142857142857144</v>
      </c>
      <c r="AE66" s="30">
        <f>IFERROR(tbl_zawodnicy_sumy[[#This Row],[reb total]]*(40/tbl_zawodnicy_sumy[[#This Row],[min]]),0)</f>
        <v>5.7142857142857144</v>
      </c>
      <c r="AF66" s="30">
        <f>IFERROR(tbl_zawodnicy_sumy[[#This Row],[asst]]*(40/tbl_zawodnicy_sumy[[#This Row],[min]]),0)</f>
        <v>0</v>
      </c>
      <c r="AG66" s="5">
        <f t="shared" si="20"/>
        <v>0.2857142857142857</v>
      </c>
      <c r="AH66" s="5">
        <f>IFERROR((tbl_zawodnicy_sumy[[#This Row],[stl]]+tbl_zawodnicy_sumy[[#This Row],[blk]])*(40/tbl_zawodnicy_sumy[[#This Row],[min]]),0)</f>
        <v>8.5714285714285712</v>
      </c>
      <c r="AI66" s="4">
        <f>IFERROR((SUMIF(tbl_główna_GRACZE[I. Nazwisko],tbl_zawodnicy_sumy[[#This Row],[I. Nazwisko]],tbl_główna_GRACZE[DI]))/tbl_zawodnicy_sumy[[#This Row],[Played]],0)</f>
        <v>0.16666666666666666</v>
      </c>
      <c r="AJ66" s="25">
        <f>tbl_zawodnicy_sumy[[#This Row],[stl]]+tbl_zawodnicy_sumy[[#This Row],[blk]]+(tbl_zawodnicy_sumy[[#This Row],[dreb]]*0.5)</f>
        <v>3.5</v>
      </c>
      <c r="AK66" s="29">
        <f>IFERROR((tbl_zawodnicy_sumy[[#This Row],[stl]]+tbl_zawodnicy_sumy[[#This Row],[blk]]+0.5*tbl_zawodnicy_sumy[[#This Row],[dreb]])/tbl_zawodnicy_sumy[[#This Row],[min]],0)</f>
        <v>0.25</v>
      </c>
      <c r="AL66" s="6">
        <f t="shared" si="21"/>
        <v>1.5000000000000004</v>
      </c>
      <c r="AM66" s="6">
        <f>IFERROR(tbl_zawodnicy_sumy[[#This Row],[GmSc]]*(40/tbl_zawodnicy_sumy[[#This Row],[min]]),0)</f>
        <v>4.2857142857142874</v>
      </c>
      <c r="AN66" s="6">
        <f>IFERROR(tbl_zawodnicy_sumy[[#This Row],[EVAL]]*(40/tbl_zawodnicy_sumy[[#This Row],[min]]),0)</f>
        <v>2.8571428571428572</v>
      </c>
      <c r="AO66" s="11">
        <f>tbl_zawodnicy_sumy[[#This Row],[fgm]]-tbl_zawodnicy_sumy[[#This Row],[3pm]]</f>
        <v>1</v>
      </c>
      <c r="AP66" s="11">
        <f>tbl_zawodnicy_sumy[[#This Row],[fga]]-tbl_zawodnicy_sumy[[#This Row],[3pa]]</f>
        <v>5</v>
      </c>
      <c r="AQ66">
        <f>SUMIF(tbl_zawodnicy_średnie[I. Nazwisko],tbl_zawodnicy_sumy[[#This Row],[I. Nazwisko]],tbl_zawodnicy_średnie[ID])</f>
        <v>56</v>
      </c>
    </row>
    <row r="67" spans="1:43" x14ac:dyDescent="0.35">
      <c r="A67" s="58" t="s">
        <v>19</v>
      </c>
      <c r="B67" s="58" t="s">
        <v>213</v>
      </c>
      <c r="C67" s="9">
        <f>SUMIF(tbl_główna_GRACZE[I. Nazwisko],tbl_zawodnicy_sumy[[#This Row],[I. Nazwisko]],tbl_główna_GRACZE[Played?])</f>
        <v>0</v>
      </c>
      <c r="D67" s="10">
        <f>SUMIF(tbl_główna_GRACZE[I. Nazwisko],tbl_zawodnicy_sumy[[#This Row],[I. Nazwisko]],tbl_główna_GRACZE[fgm])</f>
        <v>0</v>
      </c>
      <c r="E67" s="10">
        <f>SUMIF(tbl_główna_GRACZE[I. Nazwisko],tbl_zawodnicy_sumy[[#This Row],[I. Nazwisko]],tbl_główna_GRACZE[fga])</f>
        <v>0</v>
      </c>
      <c r="F67" s="10">
        <f>SUMIF(tbl_główna_GRACZE[I. Nazwisko],tbl_zawodnicy_sumy[[#This Row],[I. Nazwisko]],tbl_główna_GRACZE[3pm])</f>
        <v>0</v>
      </c>
      <c r="G67" s="10">
        <f>SUMIF(tbl_główna_GRACZE[I. Nazwisko],tbl_zawodnicy_sumy[[#This Row],[I. Nazwisko]],tbl_główna_GRACZE[3pa])</f>
        <v>0</v>
      </c>
      <c r="H67" s="10">
        <f>SUMIF(tbl_główna_GRACZE[I. Nazwisko],tbl_zawodnicy_sumy[[#This Row],[I. Nazwisko]],tbl_główna_GRACZE[ftm])</f>
        <v>0</v>
      </c>
      <c r="I67" s="10">
        <f>SUMIF(tbl_główna_GRACZE[I. Nazwisko],tbl_zawodnicy_sumy[[#This Row],[I. Nazwisko]],tbl_główna_GRACZE[fta])</f>
        <v>0</v>
      </c>
      <c r="J67" s="10">
        <f>SUMIF(tbl_główna_GRACZE[I. Nazwisko],tbl_zawodnicy_sumy[[#This Row],[I. Nazwisko]],tbl_główna_GRACZE[oreb])</f>
        <v>0</v>
      </c>
      <c r="K67" s="10">
        <f>SUMIF(tbl_główna_GRACZE[I. Nazwisko],tbl_zawodnicy_sumy[[#This Row],[I. Nazwisko]],tbl_główna_GRACZE[dreb])</f>
        <v>0</v>
      </c>
      <c r="L67" s="10">
        <f>SUMIF(tbl_główna_GRACZE[I. Nazwisko],tbl_zawodnicy_sumy[[#This Row],[I. Nazwisko]],tbl_główna_GRACZE[foul])</f>
        <v>0</v>
      </c>
      <c r="M67" s="10">
        <f>SUMIF(tbl_główna_GRACZE[I. Nazwisko],tbl_zawodnicy_sumy[[#This Row],[I. Nazwisko]],tbl_główna_GRACZE[stl])</f>
        <v>0</v>
      </c>
      <c r="N67" s="10">
        <f>SUMIF(tbl_główna_GRACZE[I. Nazwisko],tbl_zawodnicy_sumy[[#This Row],[I. Nazwisko]],tbl_główna_GRACZE[to])</f>
        <v>0</v>
      </c>
      <c r="O67" s="10">
        <f>SUMIF(tbl_główna_GRACZE[I. Nazwisko],tbl_zawodnicy_sumy[[#This Row],[I. Nazwisko]],tbl_główna_GRACZE[blk])</f>
        <v>0</v>
      </c>
      <c r="P67" s="10">
        <f>SUMIF(tbl_główna_GRACZE[I. Nazwisko],tbl_zawodnicy_sumy[[#This Row],[I. Nazwisko]],tbl_główna_GRACZE[asst])</f>
        <v>0</v>
      </c>
      <c r="Q67" s="10">
        <f>SUMIF(tbl_główna_GRACZE[I. Nazwisko],tbl_zawodnicy_sumy[[#This Row],[I. Nazwisko]],tbl_główna_GRACZE[min])</f>
        <v>0</v>
      </c>
      <c r="R67" s="10">
        <f>SUMIF(tbl_główna_GRACZE[I. Nazwisko],tbl_zawodnicy_sumy[[#This Row],[I. Nazwisko]],tbl_główna_GRACZE[pts])</f>
        <v>0</v>
      </c>
      <c r="S67" s="11">
        <f t="shared" si="11"/>
        <v>0</v>
      </c>
      <c r="T67" s="4">
        <f t="shared" si="12"/>
        <v>0</v>
      </c>
      <c r="U67" s="4">
        <f t="shared" si="13"/>
        <v>0</v>
      </c>
      <c r="V67" s="4">
        <f t="shared" si="14"/>
        <v>0</v>
      </c>
      <c r="W67" s="4">
        <f>IFERROR(tbl_zawodnicy_sumy[[#This Row],[2pm]]/tbl_zawodnicy_sumy[[#This Row],[2pa]],0)</f>
        <v>0</v>
      </c>
      <c r="X67" s="4">
        <f t="shared" si="15"/>
        <v>0</v>
      </c>
      <c r="Y67" s="4">
        <f t="shared" si="16"/>
        <v>0</v>
      </c>
      <c r="Z67" s="11">
        <f t="shared" si="17"/>
        <v>0</v>
      </c>
      <c r="AA67" s="4">
        <f t="shared" si="18"/>
        <v>0</v>
      </c>
      <c r="AB67" s="4">
        <f t="shared" si="19"/>
        <v>0</v>
      </c>
      <c r="AC67" s="26">
        <f>IFERROR((SUMIF(tbl_główna_GRACZE[I. Nazwisko],tbl_zawodnicy_sumy[[#This Row],[I. Nazwisko]],tbl_główna_GRACZE[USG%]))/tbl_zawodnicy_sumy[[#This Row],[Played]],0)</f>
        <v>0</v>
      </c>
      <c r="AD67" s="25">
        <f>IFERROR(tbl_zawodnicy_sumy[[#This Row],[pts]]*(40/tbl_zawodnicy_sumy[[#This Row],[min]]),0)</f>
        <v>0</v>
      </c>
      <c r="AE67" s="30">
        <f>IFERROR(tbl_zawodnicy_sumy[[#This Row],[reb total]]*(40/tbl_zawodnicy_sumy[[#This Row],[min]]),0)</f>
        <v>0</v>
      </c>
      <c r="AF67" s="30">
        <f>IFERROR(tbl_zawodnicy_sumy[[#This Row],[asst]]*(40/tbl_zawodnicy_sumy[[#This Row],[min]]),0)</f>
        <v>0</v>
      </c>
      <c r="AG67" s="5">
        <f t="shared" si="20"/>
        <v>0</v>
      </c>
      <c r="AH67" s="5">
        <f>IFERROR((tbl_zawodnicy_sumy[[#This Row],[stl]]+tbl_zawodnicy_sumy[[#This Row],[blk]])*(40/tbl_zawodnicy_sumy[[#This Row],[min]]),0)</f>
        <v>0</v>
      </c>
      <c r="AI67" s="4">
        <f>IFERROR((SUMIF(tbl_główna_GRACZE[I. Nazwisko],tbl_zawodnicy_sumy[[#This Row],[I. Nazwisko]],tbl_główna_GRACZE[DI]))/tbl_zawodnicy_sumy[[#This Row],[Played]],0)</f>
        <v>0</v>
      </c>
      <c r="AJ67" s="25">
        <f>tbl_zawodnicy_sumy[[#This Row],[stl]]+tbl_zawodnicy_sumy[[#This Row],[blk]]+(tbl_zawodnicy_sumy[[#This Row],[dreb]]*0.5)</f>
        <v>0</v>
      </c>
      <c r="AK67" s="29">
        <f>IFERROR((tbl_zawodnicy_sumy[[#This Row],[stl]]+tbl_zawodnicy_sumy[[#This Row],[blk]]+0.5*tbl_zawodnicy_sumy[[#This Row],[dreb]])/tbl_zawodnicy_sumy[[#This Row],[min]],0)</f>
        <v>0</v>
      </c>
      <c r="AL67" s="6">
        <f t="shared" si="21"/>
        <v>0</v>
      </c>
      <c r="AM67" s="6">
        <f>IFERROR(tbl_zawodnicy_sumy[[#This Row],[GmSc]]*(40/tbl_zawodnicy_sumy[[#This Row],[min]]),0)</f>
        <v>0</v>
      </c>
      <c r="AN67" s="6">
        <f>IFERROR(tbl_zawodnicy_sumy[[#This Row],[EVAL]]*(40/tbl_zawodnicy_sumy[[#This Row],[min]]),0)</f>
        <v>0</v>
      </c>
      <c r="AO67" s="11">
        <f>tbl_zawodnicy_sumy[[#This Row],[fgm]]-tbl_zawodnicy_sumy[[#This Row],[3pm]]</f>
        <v>0</v>
      </c>
      <c r="AP67" s="11">
        <f>tbl_zawodnicy_sumy[[#This Row],[fga]]-tbl_zawodnicy_sumy[[#This Row],[3pa]]</f>
        <v>0</v>
      </c>
      <c r="AQ67">
        <f>SUMIF(tbl_zawodnicy_średnie[I. Nazwisko],tbl_zawodnicy_sumy[[#This Row],[I. Nazwisko]],tbl_zawodnicy_średnie[ID])</f>
        <v>0</v>
      </c>
    </row>
    <row r="68" spans="1:43" x14ac:dyDescent="0.35">
      <c r="A68" s="58" t="s">
        <v>25</v>
      </c>
      <c r="B68" s="58" t="s">
        <v>214</v>
      </c>
      <c r="C68" s="9">
        <f>SUMIF(tbl_główna_GRACZE[I. Nazwisko],tbl_zawodnicy_sumy[[#This Row],[I. Nazwisko]],tbl_główna_GRACZE[Played?])</f>
        <v>0</v>
      </c>
      <c r="D68" s="10">
        <f>SUMIF(tbl_główna_GRACZE[I. Nazwisko],tbl_zawodnicy_sumy[[#This Row],[I. Nazwisko]],tbl_główna_GRACZE[fgm])</f>
        <v>0</v>
      </c>
      <c r="E68" s="10">
        <f>SUMIF(tbl_główna_GRACZE[I. Nazwisko],tbl_zawodnicy_sumy[[#This Row],[I. Nazwisko]],tbl_główna_GRACZE[fga])</f>
        <v>0</v>
      </c>
      <c r="F68" s="10">
        <f>SUMIF(tbl_główna_GRACZE[I. Nazwisko],tbl_zawodnicy_sumy[[#This Row],[I. Nazwisko]],tbl_główna_GRACZE[3pm])</f>
        <v>0</v>
      </c>
      <c r="G68" s="10">
        <f>SUMIF(tbl_główna_GRACZE[I. Nazwisko],tbl_zawodnicy_sumy[[#This Row],[I. Nazwisko]],tbl_główna_GRACZE[3pa])</f>
        <v>0</v>
      </c>
      <c r="H68" s="10">
        <f>SUMIF(tbl_główna_GRACZE[I. Nazwisko],tbl_zawodnicy_sumy[[#This Row],[I. Nazwisko]],tbl_główna_GRACZE[ftm])</f>
        <v>0</v>
      </c>
      <c r="I68" s="10">
        <f>SUMIF(tbl_główna_GRACZE[I. Nazwisko],tbl_zawodnicy_sumy[[#This Row],[I. Nazwisko]],tbl_główna_GRACZE[fta])</f>
        <v>0</v>
      </c>
      <c r="J68" s="10">
        <f>SUMIF(tbl_główna_GRACZE[I. Nazwisko],tbl_zawodnicy_sumy[[#This Row],[I. Nazwisko]],tbl_główna_GRACZE[oreb])</f>
        <v>0</v>
      </c>
      <c r="K68" s="10">
        <f>SUMIF(tbl_główna_GRACZE[I. Nazwisko],tbl_zawodnicy_sumy[[#This Row],[I. Nazwisko]],tbl_główna_GRACZE[dreb])</f>
        <v>0</v>
      </c>
      <c r="L68" s="10">
        <f>SUMIF(tbl_główna_GRACZE[I. Nazwisko],tbl_zawodnicy_sumy[[#This Row],[I. Nazwisko]],tbl_główna_GRACZE[foul])</f>
        <v>0</v>
      </c>
      <c r="M68" s="10">
        <f>SUMIF(tbl_główna_GRACZE[I. Nazwisko],tbl_zawodnicy_sumy[[#This Row],[I. Nazwisko]],tbl_główna_GRACZE[stl])</f>
        <v>0</v>
      </c>
      <c r="N68" s="10">
        <f>SUMIF(tbl_główna_GRACZE[I. Nazwisko],tbl_zawodnicy_sumy[[#This Row],[I. Nazwisko]],tbl_główna_GRACZE[to])</f>
        <v>0</v>
      </c>
      <c r="O68" s="10">
        <f>SUMIF(tbl_główna_GRACZE[I. Nazwisko],tbl_zawodnicy_sumy[[#This Row],[I. Nazwisko]],tbl_główna_GRACZE[blk])</f>
        <v>0</v>
      </c>
      <c r="P68" s="10">
        <f>SUMIF(tbl_główna_GRACZE[I. Nazwisko],tbl_zawodnicy_sumy[[#This Row],[I. Nazwisko]],tbl_główna_GRACZE[asst])</f>
        <v>0</v>
      </c>
      <c r="Q68" s="10">
        <f>SUMIF(tbl_główna_GRACZE[I. Nazwisko],tbl_zawodnicy_sumy[[#This Row],[I. Nazwisko]],tbl_główna_GRACZE[min])</f>
        <v>0</v>
      </c>
      <c r="R68" s="10">
        <f>SUMIF(tbl_główna_GRACZE[I. Nazwisko],tbl_zawodnicy_sumy[[#This Row],[I. Nazwisko]],tbl_główna_GRACZE[pts])</f>
        <v>0</v>
      </c>
      <c r="S68" s="11">
        <f t="shared" si="11"/>
        <v>0</v>
      </c>
      <c r="T68" s="4">
        <f t="shared" si="12"/>
        <v>0</v>
      </c>
      <c r="U68" s="4">
        <f t="shared" si="13"/>
        <v>0</v>
      </c>
      <c r="V68" s="4">
        <f t="shared" si="14"/>
        <v>0</v>
      </c>
      <c r="W68" s="4">
        <f>IFERROR(tbl_zawodnicy_sumy[[#This Row],[2pm]]/tbl_zawodnicy_sumy[[#This Row],[2pa]],0)</f>
        <v>0</v>
      </c>
      <c r="X68" s="4">
        <f t="shared" si="15"/>
        <v>0</v>
      </c>
      <c r="Y68" s="4">
        <f t="shared" si="16"/>
        <v>0</v>
      </c>
      <c r="Z68" s="11">
        <f t="shared" si="17"/>
        <v>0</v>
      </c>
      <c r="AA68" s="4">
        <f t="shared" si="18"/>
        <v>0</v>
      </c>
      <c r="AB68" s="4">
        <f t="shared" si="19"/>
        <v>0</v>
      </c>
      <c r="AC68" s="26">
        <f>IFERROR((SUMIF(tbl_główna_GRACZE[I. Nazwisko],tbl_zawodnicy_sumy[[#This Row],[I. Nazwisko]],tbl_główna_GRACZE[USG%]))/tbl_zawodnicy_sumy[[#This Row],[Played]],0)</f>
        <v>0</v>
      </c>
      <c r="AD68" s="25">
        <f>IFERROR(tbl_zawodnicy_sumy[[#This Row],[pts]]*(40/tbl_zawodnicy_sumy[[#This Row],[min]]),0)</f>
        <v>0</v>
      </c>
      <c r="AE68" s="30">
        <f>IFERROR(tbl_zawodnicy_sumy[[#This Row],[reb total]]*(40/tbl_zawodnicy_sumy[[#This Row],[min]]),0)</f>
        <v>0</v>
      </c>
      <c r="AF68" s="30">
        <f>IFERROR(tbl_zawodnicy_sumy[[#This Row],[asst]]*(40/tbl_zawodnicy_sumy[[#This Row],[min]]),0)</f>
        <v>0</v>
      </c>
      <c r="AG68" s="5">
        <f t="shared" si="20"/>
        <v>0</v>
      </c>
      <c r="AH68" s="5">
        <f>IFERROR((tbl_zawodnicy_sumy[[#This Row],[stl]]+tbl_zawodnicy_sumy[[#This Row],[blk]])*(40/tbl_zawodnicy_sumy[[#This Row],[min]]),0)</f>
        <v>0</v>
      </c>
      <c r="AI68" s="4">
        <f>IFERROR((SUMIF(tbl_główna_GRACZE[I. Nazwisko],tbl_zawodnicy_sumy[[#This Row],[I. Nazwisko]],tbl_główna_GRACZE[DI]))/tbl_zawodnicy_sumy[[#This Row],[Played]],0)</f>
        <v>0</v>
      </c>
      <c r="AJ68" s="25">
        <f>tbl_zawodnicy_sumy[[#This Row],[stl]]+tbl_zawodnicy_sumy[[#This Row],[blk]]+(tbl_zawodnicy_sumy[[#This Row],[dreb]]*0.5)</f>
        <v>0</v>
      </c>
      <c r="AK68" s="29">
        <f>IFERROR((tbl_zawodnicy_sumy[[#This Row],[stl]]+tbl_zawodnicy_sumy[[#This Row],[blk]]+0.5*tbl_zawodnicy_sumy[[#This Row],[dreb]])/tbl_zawodnicy_sumy[[#This Row],[min]],0)</f>
        <v>0</v>
      </c>
      <c r="AL68" s="6">
        <f t="shared" si="21"/>
        <v>0</v>
      </c>
      <c r="AM68" s="6">
        <f>IFERROR(tbl_zawodnicy_sumy[[#This Row],[GmSc]]*(40/tbl_zawodnicy_sumy[[#This Row],[min]]),0)</f>
        <v>0</v>
      </c>
      <c r="AN68" s="6">
        <f>IFERROR(tbl_zawodnicy_sumy[[#This Row],[EVAL]]*(40/tbl_zawodnicy_sumy[[#This Row],[min]]),0)</f>
        <v>0</v>
      </c>
      <c r="AO68" s="11">
        <f>tbl_zawodnicy_sumy[[#This Row],[fgm]]-tbl_zawodnicy_sumy[[#This Row],[3pm]]</f>
        <v>0</v>
      </c>
      <c r="AP68" s="11">
        <f>tbl_zawodnicy_sumy[[#This Row],[fga]]-tbl_zawodnicy_sumy[[#This Row],[3pa]]</f>
        <v>0</v>
      </c>
      <c r="AQ68">
        <f>SUMIF(tbl_zawodnicy_średnie[I. Nazwisko],tbl_zawodnicy_sumy[[#This Row],[I. Nazwisko]],tbl_zawodnicy_średnie[ID])</f>
        <v>0</v>
      </c>
    </row>
    <row r="69" spans="1:43" x14ac:dyDescent="0.35">
      <c r="A69" s="58" t="s">
        <v>25</v>
      </c>
      <c r="B69" s="58" t="s">
        <v>215</v>
      </c>
      <c r="C69" s="9">
        <f>SUMIF(tbl_główna_GRACZE[I. Nazwisko],tbl_zawodnicy_sumy[[#This Row],[I. Nazwisko]],tbl_główna_GRACZE[Played?])</f>
        <v>0</v>
      </c>
      <c r="D69" s="10">
        <f>SUMIF(tbl_główna_GRACZE[I. Nazwisko],tbl_zawodnicy_sumy[[#This Row],[I. Nazwisko]],tbl_główna_GRACZE[fgm])</f>
        <v>0</v>
      </c>
      <c r="E69" s="10">
        <f>SUMIF(tbl_główna_GRACZE[I. Nazwisko],tbl_zawodnicy_sumy[[#This Row],[I. Nazwisko]],tbl_główna_GRACZE[fga])</f>
        <v>0</v>
      </c>
      <c r="F69" s="10">
        <f>SUMIF(tbl_główna_GRACZE[I. Nazwisko],tbl_zawodnicy_sumy[[#This Row],[I. Nazwisko]],tbl_główna_GRACZE[3pm])</f>
        <v>0</v>
      </c>
      <c r="G69" s="10">
        <f>SUMIF(tbl_główna_GRACZE[I. Nazwisko],tbl_zawodnicy_sumy[[#This Row],[I. Nazwisko]],tbl_główna_GRACZE[3pa])</f>
        <v>0</v>
      </c>
      <c r="H69" s="10">
        <f>SUMIF(tbl_główna_GRACZE[I. Nazwisko],tbl_zawodnicy_sumy[[#This Row],[I. Nazwisko]],tbl_główna_GRACZE[ftm])</f>
        <v>0</v>
      </c>
      <c r="I69" s="10">
        <f>SUMIF(tbl_główna_GRACZE[I. Nazwisko],tbl_zawodnicy_sumy[[#This Row],[I. Nazwisko]],tbl_główna_GRACZE[fta])</f>
        <v>0</v>
      </c>
      <c r="J69" s="10">
        <f>SUMIF(tbl_główna_GRACZE[I. Nazwisko],tbl_zawodnicy_sumy[[#This Row],[I. Nazwisko]],tbl_główna_GRACZE[oreb])</f>
        <v>0</v>
      </c>
      <c r="K69" s="10">
        <f>SUMIF(tbl_główna_GRACZE[I. Nazwisko],tbl_zawodnicy_sumy[[#This Row],[I. Nazwisko]],tbl_główna_GRACZE[dreb])</f>
        <v>0</v>
      </c>
      <c r="L69" s="10">
        <f>SUMIF(tbl_główna_GRACZE[I. Nazwisko],tbl_zawodnicy_sumy[[#This Row],[I. Nazwisko]],tbl_główna_GRACZE[foul])</f>
        <v>0</v>
      </c>
      <c r="M69" s="10">
        <f>SUMIF(tbl_główna_GRACZE[I. Nazwisko],tbl_zawodnicy_sumy[[#This Row],[I. Nazwisko]],tbl_główna_GRACZE[stl])</f>
        <v>0</v>
      </c>
      <c r="N69" s="10">
        <f>SUMIF(tbl_główna_GRACZE[I. Nazwisko],tbl_zawodnicy_sumy[[#This Row],[I. Nazwisko]],tbl_główna_GRACZE[to])</f>
        <v>0</v>
      </c>
      <c r="O69" s="10">
        <f>SUMIF(tbl_główna_GRACZE[I. Nazwisko],tbl_zawodnicy_sumy[[#This Row],[I. Nazwisko]],tbl_główna_GRACZE[blk])</f>
        <v>0</v>
      </c>
      <c r="P69" s="10">
        <f>SUMIF(tbl_główna_GRACZE[I. Nazwisko],tbl_zawodnicy_sumy[[#This Row],[I. Nazwisko]],tbl_główna_GRACZE[asst])</f>
        <v>0</v>
      </c>
      <c r="Q69" s="10">
        <f>SUMIF(tbl_główna_GRACZE[I. Nazwisko],tbl_zawodnicy_sumy[[#This Row],[I. Nazwisko]],tbl_główna_GRACZE[min])</f>
        <v>0</v>
      </c>
      <c r="R69" s="10">
        <f>SUMIF(tbl_główna_GRACZE[I. Nazwisko],tbl_zawodnicy_sumy[[#This Row],[I. Nazwisko]],tbl_główna_GRACZE[pts])</f>
        <v>0</v>
      </c>
      <c r="S69" s="11">
        <f t="shared" si="11"/>
        <v>0</v>
      </c>
      <c r="T69" s="4">
        <f t="shared" si="12"/>
        <v>0</v>
      </c>
      <c r="U69" s="4">
        <f t="shared" si="13"/>
        <v>0</v>
      </c>
      <c r="V69" s="4">
        <f t="shared" si="14"/>
        <v>0</v>
      </c>
      <c r="W69" s="4">
        <f>IFERROR(tbl_zawodnicy_sumy[[#This Row],[2pm]]/tbl_zawodnicy_sumy[[#This Row],[2pa]],0)</f>
        <v>0</v>
      </c>
      <c r="X69" s="4">
        <f t="shared" si="15"/>
        <v>0</v>
      </c>
      <c r="Y69" s="4">
        <f t="shared" si="16"/>
        <v>0</v>
      </c>
      <c r="Z69" s="11">
        <f t="shared" si="17"/>
        <v>0</v>
      </c>
      <c r="AA69" s="4">
        <f t="shared" si="18"/>
        <v>0</v>
      </c>
      <c r="AB69" s="4">
        <f t="shared" si="19"/>
        <v>0</v>
      </c>
      <c r="AC69" s="26">
        <f>IFERROR((SUMIF(tbl_główna_GRACZE[I. Nazwisko],tbl_zawodnicy_sumy[[#This Row],[I. Nazwisko]],tbl_główna_GRACZE[USG%]))/tbl_zawodnicy_sumy[[#This Row],[Played]],0)</f>
        <v>0</v>
      </c>
      <c r="AD69" s="25">
        <f>IFERROR(tbl_zawodnicy_sumy[[#This Row],[pts]]*(40/tbl_zawodnicy_sumy[[#This Row],[min]]),0)</f>
        <v>0</v>
      </c>
      <c r="AE69" s="30">
        <f>IFERROR(tbl_zawodnicy_sumy[[#This Row],[reb total]]*(40/tbl_zawodnicy_sumy[[#This Row],[min]]),0)</f>
        <v>0</v>
      </c>
      <c r="AF69" s="30">
        <f>IFERROR(tbl_zawodnicy_sumy[[#This Row],[asst]]*(40/tbl_zawodnicy_sumy[[#This Row],[min]]),0)</f>
        <v>0</v>
      </c>
      <c r="AG69" s="5">
        <f t="shared" si="20"/>
        <v>0</v>
      </c>
      <c r="AH69" s="5">
        <f>IFERROR((tbl_zawodnicy_sumy[[#This Row],[stl]]+tbl_zawodnicy_sumy[[#This Row],[blk]])*(40/tbl_zawodnicy_sumy[[#This Row],[min]]),0)</f>
        <v>0</v>
      </c>
      <c r="AI69" s="4">
        <f>IFERROR((SUMIF(tbl_główna_GRACZE[I. Nazwisko],tbl_zawodnicy_sumy[[#This Row],[I. Nazwisko]],tbl_główna_GRACZE[DI]))/tbl_zawodnicy_sumy[[#This Row],[Played]],0)</f>
        <v>0</v>
      </c>
      <c r="AJ69" s="25">
        <f>tbl_zawodnicy_sumy[[#This Row],[stl]]+tbl_zawodnicy_sumy[[#This Row],[blk]]+(tbl_zawodnicy_sumy[[#This Row],[dreb]]*0.5)</f>
        <v>0</v>
      </c>
      <c r="AK69" s="29">
        <f>IFERROR((tbl_zawodnicy_sumy[[#This Row],[stl]]+tbl_zawodnicy_sumy[[#This Row],[blk]]+0.5*tbl_zawodnicy_sumy[[#This Row],[dreb]])/tbl_zawodnicy_sumy[[#This Row],[min]],0)</f>
        <v>0</v>
      </c>
      <c r="AL69" s="6">
        <f t="shared" si="21"/>
        <v>0</v>
      </c>
      <c r="AM69" s="6">
        <f>IFERROR(tbl_zawodnicy_sumy[[#This Row],[GmSc]]*(40/tbl_zawodnicy_sumy[[#This Row],[min]]),0)</f>
        <v>0</v>
      </c>
      <c r="AN69" s="6">
        <f>IFERROR(tbl_zawodnicy_sumy[[#This Row],[EVAL]]*(40/tbl_zawodnicy_sumy[[#This Row],[min]]),0)</f>
        <v>0</v>
      </c>
      <c r="AO69" s="11">
        <f>tbl_zawodnicy_sumy[[#This Row],[fgm]]-tbl_zawodnicy_sumy[[#This Row],[3pm]]</f>
        <v>0</v>
      </c>
      <c r="AP69" s="11">
        <f>tbl_zawodnicy_sumy[[#This Row],[fga]]-tbl_zawodnicy_sumy[[#This Row],[3pa]]</f>
        <v>0</v>
      </c>
      <c r="AQ69">
        <f>SUMIF(tbl_zawodnicy_średnie[I. Nazwisko],tbl_zawodnicy_sumy[[#This Row],[I. Nazwisko]],tbl_zawodnicy_średnie[ID])</f>
        <v>0</v>
      </c>
    </row>
    <row r="70" spans="1:43" x14ac:dyDescent="0.35">
      <c r="A70" s="58" t="s">
        <v>25</v>
      </c>
      <c r="B70" s="58" t="s">
        <v>216</v>
      </c>
      <c r="C70" s="9">
        <f>SUMIF(tbl_główna_GRACZE[I. Nazwisko],tbl_zawodnicy_sumy[[#This Row],[I. Nazwisko]],tbl_główna_GRACZE[Played?])</f>
        <v>0</v>
      </c>
      <c r="D70" s="10">
        <f>SUMIF(tbl_główna_GRACZE[I. Nazwisko],tbl_zawodnicy_sumy[[#This Row],[I. Nazwisko]],tbl_główna_GRACZE[fgm])</f>
        <v>0</v>
      </c>
      <c r="E70" s="10">
        <f>SUMIF(tbl_główna_GRACZE[I. Nazwisko],tbl_zawodnicy_sumy[[#This Row],[I. Nazwisko]],tbl_główna_GRACZE[fga])</f>
        <v>0</v>
      </c>
      <c r="F70" s="10">
        <f>SUMIF(tbl_główna_GRACZE[I. Nazwisko],tbl_zawodnicy_sumy[[#This Row],[I. Nazwisko]],tbl_główna_GRACZE[3pm])</f>
        <v>0</v>
      </c>
      <c r="G70" s="10">
        <f>SUMIF(tbl_główna_GRACZE[I. Nazwisko],tbl_zawodnicy_sumy[[#This Row],[I. Nazwisko]],tbl_główna_GRACZE[3pa])</f>
        <v>0</v>
      </c>
      <c r="H70" s="10">
        <f>SUMIF(tbl_główna_GRACZE[I. Nazwisko],tbl_zawodnicy_sumy[[#This Row],[I. Nazwisko]],tbl_główna_GRACZE[ftm])</f>
        <v>0</v>
      </c>
      <c r="I70" s="10">
        <f>SUMIF(tbl_główna_GRACZE[I. Nazwisko],tbl_zawodnicy_sumy[[#This Row],[I. Nazwisko]],tbl_główna_GRACZE[fta])</f>
        <v>0</v>
      </c>
      <c r="J70" s="10">
        <f>SUMIF(tbl_główna_GRACZE[I. Nazwisko],tbl_zawodnicy_sumy[[#This Row],[I. Nazwisko]],tbl_główna_GRACZE[oreb])</f>
        <v>0</v>
      </c>
      <c r="K70" s="10">
        <f>SUMIF(tbl_główna_GRACZE[I. Nazwisko],tbl_zawodnicy_sumy[[#This Row],[I. Nazwisko]],tbl_główna_GRACZE[dreb])</f>
        <v>0</v>
      </c>
      <c r="L70" s="10">
        <f>SUMIF(tbl_główna_GRACZE[I. Nazwisko],tbl_zawodnicy_sumy[[#This Row],[I. Nazwisko]],tbl_główna_GRACZE[foul])</f>
        <v>0</v>
      </c>
      <c r="M70" s="10">
        <f>SUMIF(tbl_główna_GRACZE[I. Nazwisko],tbl_zawodnicy_sumy[[#This Row],[I. Nazwisko]],tbl_główna_GRACZE[stl])</f>
        <v>0</v>
      </c>
      <c r="N70" s="10">
        <f>SUMIF(tbl_główna_GRACZE[I. Nazwisko],tbl_zawodnicy_sumy[[#This Row],[I. Nazwisko]],tbl_główna_GRACZE[to])</f>
        <v>0</v>
      </c>
      <c r="O70" s="10">
        <f>SUMIF(tbl_główna_GRACZE[I. Nazwisko],tbl_zawodnicy_sumy[[#This Row],[I. Nazwisko]],tbl_główna_GRACZE[blk])</f>
        <v>0</v>
      </c>
      <c r="P70" s="10">
        <f>SUMIF(tbl_główna_GRACZE[I. Nazwisko],tbl_zawodnicy_sumy[[#This Row],[I. Nazwisko]],tbl_główna_GRACZE[asst])</f>
        <v>0</v>
      </c>
      <c r="Q70" s="10">
        <f>SUMIF(tbl_główna_GRACZE[I. Nazwisko],tbl_zawodnicy_sumy[[#This Row],[I. Nazwisko]],tbl_główna_GRACZE[min])</f>
        <v>0</v>
      </c>
      <c r="R70" s="10">
        <f>SUMIF(tbl_główna_GRACZE[I. Nazwisko],tbl_zawodnicy_sumy[[#This Row],[I. Nazwisko]],tbl_główna_GRACZE[pts])</f>
        <v>0</v>
      </c>
      <c r="S70" s="11">
        <f t="shared" si="11"/>
        <v>0</v>
      </c>
      <c r="T70" s="4">
        <f t="shared" si="12"/>
        <v>0</v>
      </c>
      <c r="U70" s="4">
        <f t="shared" si="13"/>
        <v>0</v>
      </c>
      <c r="V70" s="4">
        <f t="shared" si="14"/>
        <v>0</v>
      </c>
      <c r="W70" s="4">
        <f>IFERROR(tbl_zawodnicy_sumy[[#This Row],[2pm]]/tbl_zawodnicy_sumy[[#This Row],[2pa]],0)</f>
        <v>0</v>
      </c>
      <c r="X70" s="4">
        <f t="shared" si="15"/>
        <v>0</v>
      </c>
      <c r="Y70" s="4">
        <f t="shared" si="16"/>
        <v>0</v>
      </c>
      <c r="Z70" s="11">
        <f t="shared" si="17"/>
        <v>0</v>
      </c>
      <c r="AA70" s="4">
        <f t="shared" si="18"/>
        <v>0</v>
      </c>
      <c r="AB70" s="4">
        <f t="shared" si="19"/>
        <v>0</v>
      </c>
      <c r="AC70" s="26">
        <f>IFERROR((SUMIF(tbl_główna_GRACZE[I. Nazwisko],tbl_zawodnicy_sumy[[#This Row],[I. Nazwisko]],tbl_główna_GRACZE[USG%]))/tbl_zawodnicy_sumy[[#This Row],[Played]],0)</f>
        <v>0</v>
      </c>
      <c r="AD70" s="25">
        <f>IFERROR(tbl_zawodnicy_sumy[[#This Row],[pts]]*(40/tbl_zawodnicy_sumy[[#This Row],[min]]),0)</f>
        <v>0</v>
      </c>
      <c r="AE70" s="30">
        <f>IFERROR(tbl_zawodnicy_sumy[[#This Row],[reb total]]*(40/tbl_zawodnicy_sumy[[#This Row],[min]]),0)</f>
        <v>0</v>
      </c>
      <c r="AF70" s="30">
        <f>IFERROR(tbl_zawodnicy_sumy[[#This Row],[asst]]*(40/tbl_zawodnicy_sumy[[#This Row],[min]]),0)</f>
        <v>0</v>
      </c>
      <c r="AG70" s="5">
        <f t="shared" si="20"/>
        <v>0</v>
      </c>
      <c r="AH70" s="5">
        <f>IFERROR((tbl_zawodnicy_sumy[[#This Row],[stl]]+tbl_zawodnicy_sumy[[#This Row],[blk]])*(40/tbl_zawodnicy_sumy[[#This Row],[min]]),0)</f>
        <v>0</v>
      </c>
      <c r="AI70" s="4">
        <f>IFERROR((SUMIF(tbl_główna_GRACZE[I. Nazwisko],tbl_zawodnicy_sumy[[#This Row],[I. Nazwisko]],tbl_główna_GRACZE[DI]))/tbl_zawodnicy_sumy[[#This Row],[Played]],0)</f>
        <v>0</v>
      </c>
      <c r="AJ70" s="25">
        <f>tbl_zawodnicy_sumy[[#This Row],[stl]]+tbl_zawodnicy_sumy[[#This Row],[blk]]+(tbl_zawodnicy_sumy[[#This Row],[dreb]]*0.5)</f>
        <v>0</v>
      </c>
      <c r="AK70" s="29">
        <f>IFERROR((tbl_zawodnicy_sumy[[#This Row],[stl]]+tbl_zawodnicy_sumy[[#This Row],[blk]]+0.5*tbl_zawodnicy_sumy[[#This Row],[dreb]])/tbl_zawodnicy_sumy[[#This Row],[min]],0)</f>
        <v>0</v>
      </c>
      <c r="AL70" s="6">
        <f t="shared" si="21"/>
        <v>0</v>
      </c>
      <c r="AM70" s="6">
        <f>IFERROR(tbl_zawodnicy_sumy[[#This Row],[GmSc]]*(40/tbl_zawodnicy_sumy[[#This Row],[min]]),0)</f>
        <v>0</v>
      </c>
      <c r="AN70" s="6">
        <f>IFERROR(tbl_zawodnicy_sumy[[#This Row],[EVAL]]*(40/tbl_zawodnicy_sumy[[#This Row],[min]]),0)</f>
        <v>0</v>
      </c>
      <c r="AO70" s="11">
        <f>tbl_zawodnicy_sumy[[#This Row],[fgm]]-tbl_zawodnicy_sumy[[#This Row],[3pm]]</f>
        <v>0</v>
      </c>
      <c r="AP70" s="11">
        <f>tbl_zawodnicy_sumy[[#This Row],[fga]]-tbl_zawodnicy_sumy[[#This Row],[3pa]]</f>
        <v>0</v>
      </c>
      <c r="AQ70">
        <f>SUMIF(tbl_zawodnicy_średnie[I. Nazwisko],tbl_zawodnicy_sumy[[#This Row],[I. Nazwisko]],tbl_zawodnicy_średnie[ID])</f>
        <v>0</v>
      </c>
    </row>
    <row r="71" spans="1:43" x14ac:dyDescent="0.35">
      <c r="A71" s="58" t="s">
        <v>25</v>
      </c>
      <c r="B71" s="58" t="s">
        <v>217</v>
      </c>
      <c r="C71" s="9">
        <f>SUMIF(tbl_główna_GRACZE[I. Nazwisko],tbl_zawodnicy_sumy[[#This Row],[I. Nazwisko]],tbl_główna_GRACZE[Played?])</f>
        <v>1</v>
      </c>
      <c r="D71" s="10">
        <f>SUMIF(tbl_główna_GRACZE[I. Nazwisko],tbl_zawodnicy_sumy[[#This Row],[I. Nazwisko]],tbl_główna_GRACZE[fgm])</f>
        <v>3</v>
      </c>
      <c r="E71" s="10">
        <f>SUMIF(tbl_główna_GRACZE[I. Nazwisko],tbl_zawodnicy_sumy[[#This Row],[I. Nazwisko]],tbl_główna_GRACZE[fga])</f>
        <v>14</v>
      </c>
      <c r="F71" s="10">
        <f>SUMIF(tbl_główna_GRACZE[I. Nazwisko],tbl_zawodnicy_sumy[[#This Row],[I. Nazwisko]],tbl_główna_GRACZE[3pm])</f>
        <v>1</v>
      </c>
      <c r="G71" s="10">
        <f>SUMIF(tbl_główna_GRACZE[I. Nazwisko],tbl_zawodnicy_sumy[[#This Row],[I. Nazwisko]],tbl_główna_GRACZE[3pa])</f>
        <v>6</v>
      </c>
      <c r="H71" s="10">
        <f>SUMIF(tbl_główna_GRACZE[I. Nazwisko],tbl_zawodnicy_sumy[[#This Row],[I. Nazwisko]],tbl_główna_GRACZE[ftm])</f>
        <v>1</v>
      </c>
      <c r="I71" s="10">
        <f>SUMIF(tbl_główna_GRACZE[I. Nazwisko],tbl_zawodnicy_sumy[[#This Row],[I. Nazwisko]],tbl_główna_GRACZE[fta])</f>
        <v>1</v>
      </c>
      <c r="J71" s="10">
        <f>SUMIF(tbl_główna_GRACZE[I. Nazwisko],tbl_zawodnicy_sumy[[#This Row],[I. Nazwisko]],tbl_główna_GRACZE[oreb])</f>
        <v>3</v>
      </c>
      <c r="K71" s="10">
        <f>SUMIF(tbl_główna_GRACZE[I. Nazwisko],tbl_zawodnicy_sumy[[#This Row],[I. Nazwisko]],tbl_główna_GRACZE[dreb])</f>
        <v>3</v>
      </c>
      <c r="L71" s="10">
        <f>SUMIF(tbl_główna_GRACZE[I. Nazwisko],tbl_zawodnicy_sumy[[#This Row],[I. Nazwisko]],tbl_główna_GRACZE[foul])</f>
        <v>0</v>
      </c>
      <c r="M71" s="10">
        <f>SUMIF(tbl_główna_GRACZE[I. Nazwisko],tbl_zawodnicy_sumy[[#This Row],[I. Nazwisko]],tbl_główna_GRACZE[stl])</f>
        <v>0</v>
      </c>
      <c r="N71" s="10">
        <f>SUMIF(tbl_główna_GRACZE[I. Nazwisko],tbl_zawodnicy_sumy[[#This Row],[I. Nazwisko]],tbl_główna_GRACZE[to])</f>
        <v>0</v>
      </c>
      <c r="O71" s="10">
        <f>SUMIF(tbl_główna_GRACZE[I. Nazwisko],tbl_zawodnicy_sumy[[#This Row],[I. Nazwisko]],tbl_główna_GRACZE[blk])</f>
        <v>0</v>
      </c>
      <c r="P71" s="10">
        <f>SUMIF(tbl_główna_GRACZE[I. Nazwisko],tbl_zawodnicy_sumy[[#This Row],[I. Nazwisko]],tbl_główna_GRACZE[asst])</f>
        <v>2</v>
      </c>
      <c r="Q71" s="10">
        <f>SUMIF(tbl_główna_GRACZE[I. Nazwisko],tbl_zawodnicy_sumy[[#This Row],[I. Nazwisko]],tbl_główna_GRACZE[min])</f>
        <v>33</v>
      </c>
      <c r="R71" s="10">
        <f>SUMIF(tbl_główna_GRACZE[I. Nazwisko],tbl_zawodnicy_sumy[[#This Row],[I. Nazwisko]],tbl_główna_GRACZE[pts])</f>
        <v>8</v>
      </c>
      <c r="S71" s="11">
        <f t="shared" si="11"/>
        <v>6</v>
      </c>
      <c r="T71" s="4">
        <f t="shared" si="12"/>
        <v>0.21428571428571427</v>
      </c>
      <c r="U71" s="4">
        <f t="shared" si="13"/>
        <v>0.16666666666666666</v>
      </c>
      <c r="V71" s="4">
        <f t="shared" si="14"/>
        <v>1</v>
      </c>
      <c r="W71" s="4">
        <f>IFERROR(tbl_zawodnicy_sumy[[#This Row],[2pm]]/tbl_zawodnicy_sumy[[#This Row],[2pa]],0)</f>
        <v>0.25</v>
      </c>
      <c r="X71" s="4">
        <f t="shared" si="15"/>
        <v>0.2770083102493075</v>
      </c>
      <c r="Y71" s="4">
        <f t="shared" si="16"/>
        <v>0.25</v>
      </c>
      <c r="Z71" s="11">
        <f t="shared" si="17"/>
        <v>5</v>
      </c>
      <c r="AA71" s="4">
        <f t="shared" si="18"/>
        <v>7.1428571428571425E-2</v>
      </c>
      <c r="AB71" s="4">
        <f t="shared" si="19"/>
        <v>0.42857142857142855</v>
      </c>
      <c r="AC71" s="26">
        <f>IFERROR((SUMIF(tbl_główna_GRACZE[I. Nazwisko],tbl_zawodnicy_sumy[[#This Row],[I. Nazwisko]],tbl_główna_GRACZE[USG%]))/tbl_zawodnicy_sumy[[#This Row],[Played]],0)</f>
        <v>0.19966814159292037</v>
      </c>
      <c r="AD71" s="25">
        <f>IFERROR(tbl_zawodnicy_sumy[[#This Row],[pts]]*(40/tbl_zawodnicy_sumy[[#This Row],[min]]),0)</f>
        <v>9.6969696969696972</v>
      </c>
      <c r="AE71" s="30">
        <f>IFERROR(tbl_zawodnicy_sumy[[#This Row],[reb total]]*(40/tbl_zawodnicy_sumy[[#This Row],[min]]),0)</f>
        <v>7.2727272727272734</v>
      </c>
      <c r="AF71" s="30">
        <f>IFERROR(tbl_zawodnicy_sumy[[#This Row],[asst]]*(40/tbl_zawodnicy_sumy[[#This Row],[min]]),0)</f>
        <v>2.4242424242424243</v>
      </c>
      <c r="AG71" s="5">
        <f t="shared" si="20"/>
        <v>0.5714285714285714</v>
      </c>
      <c r="AH71" s="5">
        <f>IFERROR((tbl_zawodnicy_sumy[[#This Row],[stl]]+tbl_zawodnicy_sumy[[#This Row],[blk]])*(40/tbl_zawodnicy_sumy[[#This Row],[min]]),0)</f>
        <v>0</v>
      </c>
      <c r="AI71" s="4">
        <f>IFERROR((SUMIF(tbl_główna_GRACZE[I. Nazwisko],tbl_zawodnicy_sumy[[#This Row],[I. Nazwisko]],tbl_główna_GRACZE[DI]))/tbl_zawodnicy_sumy[[#This Row],[Played]],0)</f>
        <v>0</v>
      </c>
      <c r="AJ71" s="25">
        <f>tbl_zawodnicy_sumy[[#This Row],[stl]]+tbl_zawodnicy_sumy[[#This Row],[blk]]+(tbl_zawodnicy_sumy[[#This Row],[dreb]]*0.5)</f>
        <v>1.5</v>
      </c>
      <c r="AK71" s="29">
        <f>IFERROR((tbl_zawodnicy_sumy[[#This Row],[stl]]+tbl_zawodnicy_sumy[[#This Row],[blk]]+0.5*tbl_zawodnicy_sumy[[#This Row],[dreb]])/tbl_zawodnicy_sumy[[#This Row],[min]],0)</f>
        <v>4.5454545454545456E-2</v>
      </c>
      <c r="AL71" s="6">
        <f t="shared" si="21"/>
        <v>3.8</v>
      </c>
      <c r="AM71" s="6">
        <f>IFERROR(tbl_zawodnicy_sumy[[#This Row],[GmSc]]*(40/tbl_zawodnicy_sumy[[#This Row],[min]]),0)</f>
        <v>4.6060606060606064</v>
      </c>
      <c r="AN71" s="6">
        <f>IFERROR(tbl_zawodnicy_sumy[[#This Row],[EVAL]]*(40/tbl_zawodnicy_sumy[[#This Row],[min]]),0)</f>
        <v>6.0606060606060606</v>
      </c>
      <c r="AO71" s="11">
        <f>tbl_zawodnicy_sumy[[#This Row],[fgm]]-tbl_zawodnicy_sumy[[#This Row],[3pm]]</f>
        <v>2</v>
      </c>
      <c r="AP71" s="11">
        <f>tbl_zawodnicy_sumy[[#This Row],[fga]]-tbl_zawodnicy_sumy[[#This Row],[3pa]]</f>
        <v>8</v>
      </c>
      <c r="AQ71">
        <f>SUMIF(tbl_zawodnicy_średnie[I. Nazwisko],tbl_zawodnicy_sumy[[#This Row],[I. Nazwisko]],tbl_zawodnicy_średnie[ID])</f>
        <v>61</v>
      </c>
    </row>
    <row r="72" spans="1:43" x14ac:dyDescent="0.35">
      <c r="A72" s="58" t="s">
        <v>25</v>
      </c>
      <c r="B72" s="58" t="s">
        <v>218</v>
      </c>
      <c r="C72" s="9">
        <f>SUMIF(tbl_główna_GRACZE[I. Nazwisko],tbl_zawodnicy_sumy[[#This Row],[I. Nazwisko]],tbl_główna_GRACZE[Played?])</f>
        <v>0</v>
      </c>
      <c r="D72" s="10">
        <f>SUMIF(tbl_główna_GRACZE[I. Nazwisko],tbl_zawodnicy_sumy[[#This Row],[I. Nazwisko]],tbl_główna_GRACZE[fgm])</f>
        <v>0</v>
      </c>
      <c r="E72" s="10">
        <f>SUMIF(tbl_główna_GRACZE[I. Nazwisko],tbl_zawodnicy_sumy[[#This Row],[I. Nazwisko]],tbl_główna_GRACZE[fga])</f>
        <v>0</v>
      </c>
      <c r="F72" s="10">
        <f>SUMIF(tbl_główna_GRACZE[I. Nazwisko],tbl_zawodnicy_sumy[[#This Row],[I. Nazwisko]],tbl_główna_GRACZE[3pm])</f>
        <v>0</v>
      </c>
      <c r="G72" s="10">
        <f>SUMIF(tbl_główna_GRACZE[I. Nazwisko],tbl_zawodnicy_sumy[[#This Row],[I. Nazwisko]],tbl_główna_GRACZE[3pa])</f>
        <v>0</v>
      </c>
      <c r="H72" s="10">
        <f>SUMIF(tbl_główna_GRACZE[I. Nazwisko],tbl_zawodnicy_sumy[[#This Row],[I. Nazwisko]],tbl_główna_GRACZE[ftm])</f>
        <v>0</v>
      </c>
      <c r="I72" s="10">
        <f>SUMIF(tbl_główna_GRACZE[I. Nazwisko],tbl_zawodnicy_sumy[[#This Row],[I. Nazwisko]],tbl_główna_GRACZE[fta])</f>
        <v>0</v>
      </c>
      <c r="J72" s="10">
        <f>SUMIF(tbl_główna_GRACZE[I. Nazwisko],tbl_zawodnicy_sumy[[#This Row],[I. Nazwisko]],tbl_główna_GRACZE[oreb])</f>
        <v>0</v>
      </c>
      <c r="K72" s="10">
        <f>SUMIF(tbl_główna_GRACZE[I. Nazwisko],tbl_zawodnicy_sumy[[#This Row],[I. Nazwisko]],tbl_główna_GRACZE[dreb])</f>
        <v>0</v>
      </c>
      <c r="L72" s="10">
        <f>SUMIF(tbl_główna_GRACZE[I. Nazwisko],tbl_zawodnicy_sumy[[#This Row],[I. Nazwisko]],tbl_główna_GRACZE[foul])</f>
        <v>0</v>
      </c>
      <c r="M72" s="10">
        <f>SUMIF(tbl_główna_GRACZE[I. Nazwisko],tbl_zawodnicy_sumy[[#This Row],[I. Nazwisko]],tbl_główna_GRACZE[stl])</f>
        <v>0</v>
      </c>
      <c r="N72" s="10">
        <f>SUMIF(tbl_główna_GRACZE[I. Nazwisko],tbl_zawodnicy_sumy[[#This Row],[I. Nazwisko]],tbl_główna_GRACZE[to])</f>
        <v>0</v>
      </c>
      <c r="O72" s="10">
        <f>SUMIF(tbl_główna_GRACZE[I. Nazwisko],tbl_zawodnicy_sumy[[#This Row],[I. Nazwisko]],tbl_główna_GRACZE[blk])</f>
        <v>0</v>
      </c>
      <c r="P72" s="10">
        <f>SUMIF(tbl_główna_GRACZE[I. Nazwisko],tbl_zawodnicy_sumy[[#This Row],[I. Nazwisko]],tbl_główna_GRACZE[asst])</f>
        <v>0</v>
      </c>
      <c r="Q72" s="10">
        <f>SUMIF(tbl_główna_GRACZE[I. Nazwisko],tbl_zawodnicy_sumy[[#This Row],[I. Nazwisko]],tbl_główna_GRACZE[min])</f>
        <v>0</v>
      </c>
      <c r="R72" s="10">
        <f>SUMIF(tbl_główna_GRACZE[I. Nazwisko],tbl_zawodnicy_sumy[[#This Row],[I. Nazwisko]],tbl_główna_GRACZE[pts])</f>
        <v>0</v>
      </c>
      <c r="S72" s="11">
        <f t="shared" si="11"/>
        <v>0</v>
      </c>
      <c r="T72" s="4">
        <f t="shared" si="12"/>
        <v>0</v>
      </c>
      <c r="U72" s="4">
        <f t="shared" si="13"/>
        <v>0</v>
      </c>
      <c r="V72" s="4">
        <f t="shared" si="14"/>
        <v>0</v>
      </c>
      <c r="W72" s="4">
        <f>IFERROR(tbl_zawodnicy_sumy[[#This Row],[2pm]]/tbl_zawodnicy_sumy[[#This Row],[2pa]],0)</f>
        <v>0</v>
      </c>
      <c r="X72" s="4">
        <f t="shared" si="15"/>
        <v>0</v>
      </c>
      <c r="Y72" s="4">
        <f t="shared" si="16"/>
        <v>0</v>
      </c>
      <c r="Z72" s="11">
        <f t="shared" si="17"/>
        <v>0</v>
      </c>
      <c r="AA72" s="4">
        <f t="shared" si="18"/>
        <v>0</v>
      </c>
      <c r="AB72" s="4">
        <f t="shared" si="19"/>
        <v>0</v>
      </c>
      <c r="AC72" s="26">
        <f>IFERROR((SUMIF(tbl_główna_GRACZE[I. Nazwisko],tbl_zawodnicy_sumy[[#This Row],[I. Nazwisko]],tbl_główna_GRACZE[USG%]))/tbl_zawodnicy_sumy[[#This Row],[Played]],0)</f>
        <v>0</v>
      </c>
      <c r="AD72" s="25">
        <f>IFERROR(tbl_zawodnicy_sumy[[#This Row],[pts]]*(40/tbl_zawodnicy_sumy[[#This Row],[min]]),0)</f>
        <v>0</v>
      </c>
      <c r="AE72" s="30">
        <f>IFERROR(tbl_zawodnicy_sumy[[#This Row],[reb total]]*(40/tbl_zawodnicy_sumy[[#This Row],[min]]),0)</f>
        <v>0</v>
      </c>
      <c r="AF72" s="30">
        <f>IFERROR(tbl_zawodnicy_sumy[[#This Row],[asst]]*(40/tbl_zawodnicy_sumy[[#This Row],[min]]),0)</f>
        <v>0</v>
      </c>
      <c r="AG72" s="5">
        <f t="shared" si="20"/>
        <v>0</v>
      </c>
      <c r="AH72" s="5">
        <f>IFERROR((tbl_zawodnicy_sumy[[#This Row],[stl]]+tbl_zawodnicy_sumy[[#This Row],[blk]])*(40/tbl_zawodnicy_sumy[[#This Row],[min]]),0)</f>
        <v>0</v>
      </c>
      <c r="AI72" s="4">
        <f>IFERROR((SUMIF(tbl_główna_GRACZE[I. Nazwisko],tbl_zawodnicy_sumy[[#This Row],[I. Nazwisko]],tbl_główna_GRACZE[DI]))/tbl_zawodnicy_sumy[[#This Row],[Played]],0)</f>
        <v>0</v>
      </c>
      <c r="AJ72" s="25">
        <f>tbl_zawodnicy_sumy[[#This Row],[stl]]+tbl_zawodnicy_sumy[[#This Row],[blk]]+(tbl_zawodnicy_sumy[[#This Row],[dreb]]*0.5)</f>
        <v>0</v>
      </c>
      <c r="AK72" s="29">
        <f>IFERROR((tbl_zawodnicy_sumy[[#This Row],[stl]]+tbl_zawodnicy_sumy[[#This Row],[blk]]+0.5*tbl_zawodnicy_sumy[[#This Row],[dreb]])/tbl_zawodnicy_sumy[[#This Row],[min]],0)</f>
        <v>0</v>
      </c>
      <c r="AL72" s="6">
        <f t="shared" si="21"/>
        <v>0</v>
      </c>
      <c r="AM72" s="6">
        <f>IFERROR(tbl_zawodnicy_sumy[[#This Row],[GmSc]]*(40/tbl_zawodnicy_sumy[[#This Row],[min]]),0)</f>
        <v>0</v>
      </c>
      <c r="AN72" s="6">
        <f>IFERROR(tbl_zawodnicy_sumy[[#This Row],[EVAL]]*(40/tbl_zawodnicy_sumy[[#This Row],[min]]),0)</f>
        <v>0</v>
      </c>
      <c r="AO72" s="11">
        <f>tbl_zawodnicy_sumy[[#This Row],[fgm]]-tbl_zawodnicy_sumy[[#This Row],[3pm]]</f>
        <v>0</v>
      </c>
      <c r="AP72" s="11">
        <f>tbl_zawodnicy_sumy[[#This Row],[fga]]-tbl_zawodnicy_sumy[[#This Row],[3pa]]</f>
        <v>0</v>
      </c>
      <c r="AQ72">
        <f>SUMIF(tbl_zawodnicy_średnie[I. Nazwisko],tbl_zawodnicy_sumy[[#This Row],[I. Nazwisko]],tbl_zawodnicy_średnie[ID])</f>
        <v>0</v>
      </c>
    </row>
    <row r="73" spans="1:43" x14ac:dyDescent="0.35">
      <c r="A73" s="58" t="s">
        <v>25</v>
      </c>
      <c r="B73" s="58" t="s">
        <v>219</v>
      </c>
      <c r="C73" s="9">
        <f>SUMIF(tbl_główna_GRACZE[I. Nazwisko],tbl_zawodnicy_sumy[[#This Row],[I. Nazwisko]],tbl_główna_GRACZE[Played?])</f>
        <v>0</v>
      </c>
      <c r="D73" s="10">
        <f>SUMIF(tbl_główna_GRACZE[I. Nazwisko],tbl_zawodnicy_sumy[[#This Row],[I. Nazwisko]],tbl_główna_GRACZE[fgm])</f>
        <v>0</v>
      </c>
      <c r="E73" s="10">
        <f>SUMIF(tbl_główna_GRACZE[I. Nazwisko],tbl_zawodnicy_sumy[[#This Row],[I. Nazwisko]],tbl_główna_GRACZE[fga])</f>
        <v>0</v>
      </c>
      <c r="F73" s="10">
        <f>SUMIF(tbl_główna_GRACZE[I. Nazwisko],tbl_zawodnicy_sumy[[#This Row],[I. Nazwisko]],tbl_główna_GRACZE[3pm])</f>
        <v>0</v>
      </c>
      <c r="G73" s="10">
        <f>SUMIF(tbl_główna_GRACZE[I. Nazwisko],tbl_zawodnicy_sumy[[#This Row],[I. Nazwisko]],tbl_główna_GRACZE[3pa])</f>
        <v>0</v>
      </c>
      <c r="H73" s="10">
        <f>SUMIF(tbl_główna_GRACZE[I. Nazwisko],tbl_zawodnicy_sumy[[#This Row],[I. Nazwisko]],tbl_główna_GRACZE[ftm])</f>
        <v>0</v>
      </c>
      <c r="I73" s="10">
        <f>SUMIF(tbl_główna_GRACZE[I. Nazwisko],tbl_zawodnicy_sumy[[#This Row],[I. Nazwisko]],tbl_główna_GRACZE[fta])</f>
        <v>0</v>
      </c>
      <c r="J73" s="10">
        <f>SUMIF(tbl_główna_GRACZE[I. Nazwisko],tbl_zawodnicy_sumy[[#This Row],[I. Nazwisko]],tbl_główna_GRACZE[oreb])</f>
        <v>0</v>
      </c>
      <c r="K73" s="10">
        <f>SUMIF(tbl_główna_GRACZE[I. Nazwisko],tbl_zawodnicy_sumy[[#This Row],[I. Nazwisko]],tbl_główna_GRACZE[dreb])</f>
        <v>0</v>
      </c>
      <c r="L73" s="10">
        <f>SUMIF(tbl_główna_GRACZE[I. Nazwisko],tbl_zawodnicy_sumy[[#This Row],[I. Nazwisko]],tbl_główna_GRACZE[foul])</f>
        <v>0</v>
      </c>
      <c r="M73" s="10">
        <f>SUMIF(tbl_główna_GRACZE[I. Nazwisko],tbl_zawodnicy_sumy[[#This Row],[I. Nazwisko]],tbl_główna_GRACZE[stl])</f>
        <v>0</v>
      </c>
      <c r="N73" s="10">
        <f>SUMIF(tbl_główna_GRACZE[I. Nazwisko],tbl_zawodnicy_sumy[[#This Row],[I. Nazwisko]],tbl_główna_GRACZE[to])</f>
        <v>0</v>
      </c>
      <c r="O73" s="10">
        <f>SUMIF(tbl_główna_GRACZE[I. Nazwisko],tbl_zawodnicy_sumy[[#This Row],[I. Nazwisko]],tbl_główna_GRACZE[blk])</f>
        <v>0</v>
      </c>
      <c r="P73" s="10">
        <f>SUMIF(tbl_główna_GRACZE[I. Nazwisko],tbl_zawodnicy_sumy[[#This Row],[I. Nazwisko]],tbl_główna_GRACZE[asst])</f>
        <v>0</v>
      </c>
      <c r="Q73" s="10">
        <f>SUMIF(tbl_główna_GRACZE[I. Nazwisko],tbl_zawodnicy_sumy[[#This Row],[I. Nazwisko]],tbl_główna_GRACZE[min])</f>
        <v>0</v>
      </c>
      <c r="R73" s="10">
        <f>SUMIF(tbl_główna_GRACZE[I. Nazwisko],tbl_zawodnicy_sumy[[#This Row],[I. Nazwisko]],tbl_główna_GRACZE[pts])</f>
        <v>0</v>
      </c>
      <c r="S73" s="11">
        <f t="shared" si="11"/>
        <v>0</v>
      </c>
      <c r="T73" s="4">
        <f t="shared" si="12"/>
        <v>0</v>
      </c>
      <c r="U73" s="4">
        <f t="shared" si="13"/>
        <v>0</v>
      </c>
      <c r="V73" s="4">
        <f t="shared" si="14"/>
        <v>0</v>
      </c>
      <c r="W73" s="4">
        <f>IFERROR(tbl_zawodnicy_sumy[[#This Row],[2pm]]/tbl_zawodnicy_sumy[[#This Row],[2pa]],0)</f>
        <v>0</v>
      </c>
      <c r="X73" s="4">
        <f t="shared" si="15"/>
        <v>0</v>
      </c>
      <c r="Y73" s="4">
        <f t="shared" si="16"/>
        <v>0</v>
      </c>
      <c r="Z73" s="11">
        <f t="shared" si="17"/>
        <v>0</v>
      </c>
      <c r="AA73" s="4">
        <f t="shared" si="18"/>
        <v>0</v>
      </c>
      <c r="AB73" s="4">
        <f t="shared" si="19"/>
        <v>0</v>
      </c>
      <c r="AC73" s="26">
        <f>IFERROR((SUMIF(tbl_główna_GRACZE[I. Nazwisko],tbl_zawodnicy_sumy[[#This Row],[I. Nazwisko]],tbl_główna_GRACZE[USG%]))/tbl_zawodnicy_sumy[[#This Row],[Played]],0)</f>
        <v>0</v>
      </c>
      <c r="AD73" s="25">
        <f>IFERROR(tbl_zawodnicy_sumy[[#This Row],[pts]]*(40/tbl_zawodnicy_sumy[[#This Row],[min]]),0)</f>
        <v>0</v>
      </c>
      <c r="AE73" s="30">
        <f>IFERROR(tbl_zawodnicy_sumy[[#This Row],[reb total]]*(40/tbl_zawodnicy_sumy[[#This Row],[min]]),0)</f>
        <v>0</v>
      </c>
      <c r="AF73" s="30">
        <f>IFERROR(tbl_zawodnicy_sumy[[#This Row],[asst]]*(40/tbl_zawodnicy_sumy[[#This Row],[min]]),0)</f>
        <v>0</v>
      </c>
      <c r="AG73" s="5">
        <f t="shared" si="20"/>
        <v>0</v>
      </c>
      <c r="AH73" s="5">
        <f>IFERROR((tbl_zawodnicy_sumy[[#This Row],[stl]]+tbl_zawodnicy_sumy[[#This Row],[blk]])*(40/tbl_zawodnicy_sumy[[#This Row],[min]]),0)</f>
        <v>0</v>
      </c>
      <c r="AI73" s="4">
        <f>IFERROR((SUMIF(tbl_główna_GRACZE[I. Nazwisko],tbl_zawodnicy_sumy[[#This Row],[I. Nazwisko]],tbl_główna_GRACZE[DI]))/tbl_zawodnicy_sumy[[#This Row],[Played]],0)</f>
        <v>0</v>
      </c>
      <c r="AJ73" s="25">
        <f>tbl_zawodnicy_sumy[[#This Row],[stl]]+tbl_zawodnicy_sumy[[#This Row],[blk]]+(tbl_zawodnicy_sumy[[#This Row],[dreb]]*0.5)</f>
        <v>0</v>
      </c>
      <c r="AK73" s="29">
        <f>IFERROR((tbl_zawodnicy_sumy[[#This Row],[stl]]+tbl_zawodnicy_sumy[[#This Row],[blk]]+0.5*tbl_zawodnicy_sumy[[#This Row],[dreb]])/tbl_zawodnicy_sumy[[#This Row],[min]],0)</f>
        <v>0</v>
      </c>
      <c r="AL73" s="6">
        <f t="shared" si="21"/>
        <v>0</v>
      </c>
      <c r="AM73" s="6">
        <f>IFERROR(tbl_zawodnicy_sumy[[#This Row],[GmSc]]*(40/tbl_zawodnicy_sumy[[#This Row],[min]]),0)</f>
        <v>0</v>
      </c>
      <c r="AN73" s="6">
        <f>IFERROR(tbl_zawodnicy_sumy[[#This Row],[EVAL]]*(40/tbl_zawodnicy_sumy[[#This Row],[min]]),0)</f>
        <v>0</v>
      </c>
      <c r="AO73" s="11">
        <f>tbl_zawodnicy_sumy[[#This Row],[fgm]]-tbl_zawodnicy_sumy[[#This Row],[3pm]]</f>
        <v>0</v>
      </c>
      <c r="AP73" s="11">
        <f>tbl_zawodnicy_sumy[[#This Row],[fga]]-tbl_zawodnicy_sumy[[#This Row],[3pa]]</f>
        <v>0</v>
      </c>
      <c r="AQ73">
        <f>SUMIF(tbl_zawodnicy_średnie[I. Nazwisko],tbl_zawodnicy_sumy[[#This Row],[I. Nazwisko]],tbl_zawodnicy_średnie[ID])</f>
        <v>0</v>
      </c>
    </row>
    <row r="74" spans="1:43" x14ac:dyDescent="0.35">
      <c r="A74" s="58" t="s">
        <v>25</v>
      </c>
      <c r="B74" s="58" t="s">
        <v>220</v>
      </c>
      <c r="C74" s="9">
        <f>SUMIF(tbl_główna_GRACZE[I. Nazwisko],tbl_zawodnicy_sumy[[#This Row],[I. Nazwisko]],tbl_główna_GRACZE[Played?])</f>
        <v>2</v>
      </c>
      <c r="D74" s="10">
        <f>SUMIF(tbl_główna_GRACZE[I. Nazwisko],tbl_zawodnicy_sumy[[#This Row],[I. Nazwisko]],tbl_główna_GRACZE[fgm])</f>
        <v>7</v>
      </c>
      <c r="E74" s="10">
        <f>SUMIF(tbl_główna_GRACZE[I. Nazwisko],tbl_zawodnicy_sumy[[#This Row],[I. Nazwisko]],tbl_główna_GRACZE[fga])</f>
        <v>26</v>
      </c>
      <c r="F74" s="10">
        <f>SUMIF(tbl_główna_GRACZE[I. Nazwisko],tbl_zawodnicy_sumy[[#This Row],[I. Nazwisko]],tbl_główna_GRACZE[3pm])</f>
        <v>0</v>
      </c>
      <c r="G74" s="10">
        <f>SUMIF(tbl_główna_GRACZE[I. Nazwisko],tbl_zawodnicy_sumy[[#This Row],[I. Nazwisko]],tbl_główna_GRACZE[3pa])</f>
        <v>2</v>
      </c>
      <c r="H74" s="10">
        <f>SUMIF(tbl_główna_GRACZE[I. Nazwisko],tbl_zawodnicy_sumy[[#This Row],[I. Nazwisko]],tbl_główna_GRACZE[ftm])</f>
        <v>0</v>
      </c>
      <c r="I74" s="10">
        <f>SUMIF(tbl_główna_GRACZE[I. Nazwisko],tbl_zawodnicy_sumy[[#This Row],[I. Nazwisko]],tbl_główna_GRACZE[fta])</f>
        <v>0</v>
      </c>
      <c r="J74" s="10">
        <f>SUMIF(tbl_główna_GRACZE[I. Nazwisko],tbl_zawodnicy_sumy[[#This Row],[I. Nazwisko]],tbl_główna_GRACZE[oreb])</f>
        <v>8</v>
      </c>
      <c r="K74" s="10">
        <f>SUMIF(tbl_główna_GRACZE[I. Nazwisko],tbl_zawodnicy_sumy[[#This Row],[I. Nazwisko]],tbl_główna_GRACZE[dreb])</f>
        <v>6</v>
      </c>
      <c r="L74" s="10">
        <f>SUMIF(tbl_główna_GRACZE[I. Nazwisko],tbl_zawodnicy_sumy[[#This Row],[I. Nazwisko]],tbl_główna_GRACZE[foul])</f>
        <v>3</v>
      </c>
      <c r="M74" s="10">
        <f>SUMIF(tbl_główna_GRACZE[I. Nazwisko],tbl_zawodnicy_sumy[[#This Row],[I. Nazwisko]],tbl_główna_GRACZE[stl])</f>
        <v>4</v>
      </c>
      <c r="N74" s="10">
        <f>SUMIF(tbl_główna_GRACZE[I. Nazwisko],tbl_zawodnicy_sumy[[#This Row],[I. Nazwisko]],tbl_główna_GRACZE[to])</f>
        <v>0</v>
      </c>
      <c r="O74" s="10">
        <f>SUMIF(tbl_główna_GRACZE[I. Nazwisko],tbl_zawodnicy_sumy[[#This Row],[I. Nazwisko]],tbl_główna_GRACZE[blk])</f>
        <v>0</v>
      </c>
      <c r="P74" s="10">
        <f>SUMIF(tbl_główna_GRACZE[I. Nazwisko],tbl_zawodnicy_sumy[[#This Row],[I. Nazwisko]],tbl_główna_GRACZE[asst])</f>
        <v>9</v>
      </c>
      <c r="Q74" s="10">
        <f>SUMIF(tbl_główna_GRACZE[I. Nazwisko],tbl_zawodnicy_sumy[[#This Row],[I. Nazwisko]],tbl_główna_GRACZE[min])</f>
        <v>65</v>
      </c>
      <c r="R74" s="10">
        <f>SUMIF(tbl_główna_GRACZE[I. Nazwisko],tbl_zawodnicy_sumy[[#This Row],[I. Nazwisko]],tbl_główna_GRACZE[pts])</f>
        <v>14</v>
      </c>
      <c r="S74" s="11">
        <f t="shared" si="11"/>
        <v>14</v>
      </c>
      <c r="T74" s="4">
        <f t="shared" si="12"/>
        <v>0.26923076923076922</v>
      </c>
      <c r="U74" s="4">
        <f t="shared" si="13"/>
        <v>0</v>
      </c>
      <c r="V74" s="4">
        <f t="shared" si="14"/>
        <v>0</v>
      </c>
      <c r="W74" s="4">
        <f>IFERROR(tbl_zawodnicy_sumy[[#This Row],[2pm]]/tbl_zawodnicy_sumy[[#This Row],[2pa]],0)</f>
        <v>0.29166666666666669</v>
      </c>
      <c r="X74" s="4">
        <f t="shared" si="15"/>
        <v>0.26923076923076922</v>
      </c>
      <c r="Y74" s="4">
        <f t="shared" si="16"/>
        <v>0.26923076923076922</v>
      </c>
      <c r="Z74" s="11">
        <f t="shared" si="17"/>
        <v>22</v>
      </c>
      <c r="AA74" s="4">
        <f t="shared" si="18"/>
        <v>0</v>
      </c>
      <c r="AB74" s="4">
        <f t="shared" si="19"/>
        <v>7.6923076923076927E-2</v>
      </c>
      <c r="AC74" s="26">
        <f>IFERROR((SUMIF(tbl_główna_GRACZE[I. Nazwisko],tbl_zawodnicy_sumy[[#This Row],[I. Nazwisko]],tbl_główna_GRACZE[USG%]))/tbl_zawodnicy_sumy[[#This Row],[Played]],0)</f>
        <v>0.17948969829500805</v>
      </c>
      <c r="AD74" s="25">
        <f>IFERROR(tbl_zawodnicy_sumy[[#This Row],[pts]]*(40/tbl_zawodnicy_sumy[[#This Row],[min]]),0)</f>
        <v>8.6153846153846168</v>
      </c>
      <c r="AE74" s="30">
        <f>IFERROR(tbl_zawodnicy_sumy[[#This Row],[reb total]]*(40/tbl_zawodnicy_sumy[[#This Row],[min]]),0)</f>
        <v>8.6153846153846168</v>
      </c>
      <c r="AF74" s="30">
        <f>IFERROR(tbl_zawodnicy_sumy[[#This Row],[asst]]*(40/tbl_zawodnicy_sumy[[#This Row],[min]]),0)</f>
        <v>5.5384615384615383</v>
      </c>
      <c r="AG74" s="5">
        <f t="shared" si="20"/>
        <v>0.53846153846153844</v>
      </c>
      <c r="AH74" s="5">
        <f>IFERROR((tbl_zawodnicy_sumy[[#This Row],[stl]]+tbl_zawodnicy_sumy[[#This Row],[blk]])*(40/tbl_zawodnicy_sumy[[#This Row],[min]]),0)</f>
        <v>2.4615384615384617</v>
      </c>
      <c r="AI74" s="4">
        <f>IFERROR((SUMIF(tbl_główna_GRACZE[I. Nazwisko],tbl_zawodnicy_sumy[[#This Row],[I. Nazwisko]],tbl_główna_GRACZE[DI]))/tbl_zawodnicy_sumy[[#This Row],[Played]],0)</f>
        <v>0.11212121212121212</v>
      </c>
      <c r="AJ74" s="25">
        <f>tbl_zawodnicy_sumy[[#This Row],[stl]]+tbl_zawodnicy_sumy[[#This Row],[blk]]+(tbl_zawodnicy_sumy[[#This Row],[dreb]]*0.5)</f>
        <v>7</v>
      </c>
      <c r="AK74" s="29">
        <f>IFERROR((tbl_zawodnicy_sumy[[#This Row],[stl]]+tbl_zawodnicy_sumy[[#This Row],[blk]]+0.5*tbl_zawodnicy_sumy[[#This Row],[dreb]])/tbl_zawodnicy_sumy[[#This Row],[min]],0)</f>
        <v>0.1076923076923077</v>
      </c>
      <c r="AL74" s="6">
        <f t="shared" si="21"/>
        <v>16.3</v>
      </c>
      <c r="AM74" s="6">
        <f>IFERROR(tbl_zawodnicy_sumy[[#This Row],[GmSc]]*(40/tbl_zawodnicy_sumy[[#This Row],[min]]),0)</f>
        <v>10.030769230769232</v>
      </c>
      <c r="AN74" s="6">
        <f>IFERROR(tbl_zawodnicy_sumy[[#This Row],[EVAL]]*(40/tbl_zawodnicy_sumy[[#This Row],[min]]),0)</f>
        <v>13.53846153846154</v>
      </c>
      <c r="AO74" s="11">
        <f>tbl_zawodnicy_sumy[[#This Row],[fgm]]-tbl_zawodnicy_sumy[[#This Row],[3pm]]</f>
        <v>7</v>
      </c>
      <c r="AP74" s="11">
        <f>tbl_zawodnicy_sumy[[#This Row],[fga]]-tbl_zawodnicy_sumy[[#This Row],[3pa]]</f>
        <v>24</v>
      </c>
      <c r="AQ74">
        <f>SUMIF(tbl_zawodnicy_średnie[I. Nazwisko],tbl_zawodnicy_sumy[[#This Row],[I. Nazwisko]],tbl_zawodnicy_średnie[ID])</f>
        <v>64</v>
      </c>
    </row>
    <row r="75" spans="1:43" x14ac:dyDescent="0.35">
      <c r="A75" s="58" t="s">
        <v>19</v>
      </c>
      <c r="B75" s="58" t="s">
        <v>230</v>
      </c>
      <c r="C75" s="9">
        <f>SUMIF(tbl_główna_GRACZE[I. Nazwisko],tbl_zawodnicy_sumy[[#This Row],[I. Nazwisko]],tbl_główna_GRACZE[Played?])</f>
        <v>3</v>
      </c>
      <c r="D75" s="10">
        <f>SUMIF(tbl_główna_GRACZE[I. Nazwisko],tbl_zawodnicy_sumy[[#This Row],[I. Nazwisko]],tbl_główna_GRACZE[fgm])</f>
        <v>6</v>
      </c>
      <c r="E75" s="10">
        <f>SUMIF(tbl_główna_GRACZE[I. Nazwisko],tbl_zawodnicy_sumy[[#This Row],[I. Nazwisko]],tbl_główna_GRACZE[fga])</f>
        <v>25</v>
      </c>
      <c r="F75" s="10">
        <f>SUMIF(tbl_główna_GRACZE[I. Nazwisko],tbl_zawodnicy_sumy[[#This Row],[I. Nazwisko]],tbl_główna_GRACZE[3pm])</f>
        <v>0</v>
      </c>
      <c r="G75" s="10">
        <f>SUMIF(tbl_główna_GRACZE[I. Nazwisko],tbl_zawodnicy_sumy[[#This Row],[I. Nazwisko]],tbl_główna_GRACZE[3pa])</f>
        <v>5</v>
      </c>
      <c r="H75" s="10">
        <f>SUMIF(tbl_główna_GRACZE[I. Nazwisko],tbl_zawodnicy_sumy[[#This Row],[I. Nazwisko]],tbl_główna_GRACZE[ftm])</f>
        <v>4</v>
      </c>
      <c r="I75" s="10">
        <f>SUMIF(tbl_główna_GRACZE[I. Nazwisko],tbl_zawodnicy_sumy[[#This Row],[I. Nazwisko]],tbl_główna_GRACZE[fta])</f>
        <v>6</v>
      </c>
      <c r="J75" s="10">
        <f>SUMIF(tbl_główna_GRACZE[I. Nazwisko],tbl_zawodnicy_sumy[[#This Row],[I. Nazwisko]],tbl_główna_GRACZE[oreb])</f>
        <v>3</v>
      </c>
      <c r="K75" s="10">
        <f>SUMIF(tbl_główna_GRACZE[I. Nazwisko],tbl_zawodnicy_sumy[[#This Row],[I. Nazwisko]],tbl_główna_GRACZE[dreb])</f>
        <v>20</v>
      </c>
      <c r="L75" s="10">
        <f>SUMIF(tbl_główna_GRACZE[I. Nazwisko],tbl_zawodnicy_sumy[[#This Row],[I. Nazwisko]],tbl_główna_GRACZE[foul])</f>
        <v>5</v>
      </c>
      <c r="M75" s="10">
        <f>SUMIF(tbl_główna_GRACZE[I. Nazwisko],tbl_zawodnicy_sumy[[#This Row],[I. Nazwisko]],tbl_główna_GRACZE[stl])</f>
        <v>2</v>
      </c>
      <c r="N75" s="10">
        <f>SUMIF(tbl_główna_GRACZE[I. Nazwisko],tbl_zawodnicy_sumy[[#This Row],[I. Nazwisko]],tbl_główna_GRACZE[to])</f>
        <v>0</v>
      </c>
      <c r="O75" s="10">
        <f>SUMIF(tbl_główna_GRACZE[I. Nazwisko],tbl_zawodnicy_sumy[[#This Row],[I. Nazwisko]],tbl_główna_GRACZE[blk])</f>
        <v>2</v>
      </c>
      <c r="P75" s="10">
        <f>SUMIF(tbl_główna_GRACZE[I. Nazwisko],tbl_zawodnicy_sumy[[#This Row],[I. Nazwisko]],tbl_główna_GRACZE[asst])</f>
        <v>1</v>
      </c>
      <c r="Q75" s="10">
        <f>SUMIF(tbl_główna_GRACZE[I. Nazwisko],tbl_zawodnicy_sumy[[#This Row],[I. Nazwisko]],tbl_główna_GRACZE[min])</f>
        <v>68</v>
      </c>
      <c r="R75" s="10">
        <f>SUMIF(tbl_główna_GRACZE[I. Nazwisko],tbl_zawodnicy_sumy[[#This Row],[I. Nazwisko]],tbl_główna_GRACZE[pts])</f>
        <v>16</v>
      </c>
      <c r="S75" s="11">
        <f>J75+K75</f>
        <v>23</v>
      </c>
      <c r="T75" s="4">
        <f>IFERROR(D75/E75,0)</f>
        <v>0.24</v>
      </c>
      <c r="U75" s="4">
        <f>IFERROR(F75/G75,0)</f>
        <v>0</v>
      </c>
      <c r="V75" s="4">
        <f>IFERROR(H75/I75,0)</f>
        <v>0.66666666666666663</v>
      </c>
      <c r="W75" s="4">
        <f>IFERROR(tbl_zawodnicy_sumy[[#This Row],[2pm]]/tbl_zawodnicy_sumy[[#This Row],[2pa]],0)</f>
        <v>0.3</v>
      </c>
      <c r="X75" s="4">
        <f>IFERROR(R75/(2*(E75+0.44*I75)),0)</f>
        <v>0.28943560057887119</v>
      </c>
      <c r="Y75" s="4">
        <f>IFERROR((D75+0.5*F75)/E75,0)</f>
        <v>0.24</v>
      </c>
      <c r="Z75" s="11">
        <f>M75+O75+P75+R75+S75-(E75-D75)-(I75-H75)</f>
        <v>23</v>
      </c>
      <c r="AA75" s="4">
        <f>IFERROR(I75/E75,0)</f>
        <v>0.24</v>
      </c>
      <c r="AB75" s="4">
        <f>IFERROR(G75/E75,0)</f>
        <v>0.2</v>
      </c>
      <c r="AC75" s="26">
        <f>IFERROR((SUMIF(tbl_główna_GRACZE[I. Nazwisko],tbl_zawodnicy_sumy[[#This Row],[I. Nazwisko]],tbl_główna_GRACZE[USG%]))/tbl_zawodnicy_sumy[[#This Row],[Played]],0)</f>
        <v>0.13341993288179388</v>
      </c>
      <c r="AD75" s="25">
        <f>IFERROR(tbl_zawodnicy_sumy[[#This Row],[pts]]*(40/tbl_zawodnicy_sumy[[#This Row],[min]]),0)</f>
        <v>9.4117647058823533</v>
      </c>
      <c r="AE75" s="30">
        <f>IFERROR(tbl_zawodnicy_sumy[[#This Row],[reb total]]*(40/tbl_zawodnicy_sumy[[#This Row],[min]]),0)</f>
        <v>13.529411764705882</v>
      </c>
      <c r="AF75" s="30">
        <f>IFERROR(tbl_zawodnicy_sumy[[#This Row],[asst]]*(40/tbl_zawodnicy_sumy[[#This Row],[min]]),0)</f>
        <v>0.58823529411764708</v>
      </c>
      <c r="AG75" s="5">
        <f>IFERROR(R75/E75,0)</f>
        <v>0.64</v>
      </c>
      <c r="AH75" s="5">
        <f>IFERROR((tbl_zawodnicy_sumy[[#This Row],[stl]]+tbl_zawodnicy_sumy[[#This Row],[blk]])*(40/tbl_zawodnicy_sumy[[#This Row],[min]]),0)</f>
        <v>2.3529411764705883</v>
      </c>
      <c r="AI75" s="4">
        <f>IFERROR((SUMIF(tbl_główna_GRACZE[I. Nazwisko],tbl_zawodnicy_sumy[[#This Row],[I. Nazwisko]],tbl_główna_GRACZE[DI]))/tbl_zawodnicy_sumy[[#This Row],[Played]],0)</f>
        <v>8.8888888888888892E-2</v>
      </c>
      <c r="AJ75" s="25">
        <f>tbl_zawodnicy_sumy[[#This Row],[stl]]+tbl_zawodnicy_sumy[[#This Row],[blk]]+(tbl_zawodnicy_sumy[[#This Row],[dreb]]*0.5)</f>
        <v>14</v>
      </c>
      <c r="AK75" s="29">
        <f>IFERROR((tbl_zawodnicy_sumy[[#This Row],[stl]]+tbl_zawodnicy_sumy[[#This Row],[blk]]+0.5*tbl_zawodnicy_sumy[[#This Row],[dreb]])/tbl_zawodnicy_sumy[[#This Row],[min]],0)</f>
        <v>0.20588235294117646</v>
      </c>
      <c r="AL75" s="6">
        <f>R75+0.4*D75-0.7*E75-0.4*(I75-H75)+0.7*J75+0.3*K75+M75+0.7*P75+0.7*O75</f>
        <v>12.299999999999999</v>
      </c>
      <c r="AM75" s="6">
        <f>IFERROR(tbl_zawodnicy_sumy[[#This Row],[GmSc]]*(40/tbl_zawodnicy_sumy[[#This Row],[min]]),0)</f>
        <v>7.2352941176470589</v>
      </c>
      <c r="AN75" s="6">
        <f>IFERROR(tbl_zawodnicy_sumy[[#This Row],[EVAL]]*(40/tbl_zawodnicy_sumy[[#This Row],[min]]),0)</f>
        <v>13.529411764705882</v>
      </c>
      <c r="AO75" s="11">
        <f>tbl_zawodnicy_sumy[[#This Row],[fgm]]-tbl_zawodnicy_sumy[[#This Row],[3pm]]</f>
        <v>6</v>
      </c>
      <c r="AP75" s="11">
        <f>tbl_zawodnicy_sumy[[#This Row],[fga]]-tbl_zawodnicy_sumy[[#This Row],[3pa]]</f>
        <v>20</v>
      </c>
      <c r="AQ75">
        <f>SUMIF(tbl_zawodnicy_średnie[I. Nazwisko],tbl_zawodnicy_sumy[[#This Row],[I. Nazwisko]],tbl_zawodnicy_średnie[ID])</f>
        <v>0</v>
      </c>
    </row>
    <row r="76" spans="1:43" x14ac:dyDescent="0.35">
      <c r="A76" s="58" t="s">
        <v>25</v>
      </c>
      <c r="B76" s="58" t="s">
        <v>337</v>
      </c>
      <c r="C76" s="9">
        <f>SUMIF(tbl_główna_GRACZE[I. Nazwisko],tbl_zawodnicy_sumy[[#This Row],[I. Nazwisko]],tbl_główna_GRACZE[Played?])</f>
        <v>1</v>
      </c>
      <c r="D76" s="10">
        <f>SUMIF(tbl_główna_GRACZE[I. Nazwisko],tbl_zawodnicy_sumy[[#This Row],[I. Nazwisko]],tbl_główna_GRACZE[fgm])</f>
        <v>5</v>
      </c>
      <c r="E76" s="10">
        <f>SUMIF(tbl_główna_GRACZE[I. Nazwisko],tbl_zawodnicy_sumy[[#This Row],[I. Nazwisko]],tbl_główna_GRACZE[fga])</f>
        <v>8</v>
      </c>
      <c r="F76" s="10">
        <f>SUMIF(tbl_główna_GRACZE[I. Nazwisko],tbl_zawodnicy_sumy[[#This Row],[I. Nazwisko]],tbl_główna_GRACZE[3pm])</f>
        <v>0</v>
      </c>
      <c r="G76" s="10">
        <f>SUMIF(tbl_główna_GRACZE[I. Nazwisko],tbl_zawodnicy_sumy[[#This Row],[I. Nazwisko]],tbl_główna_GRACZE[3pa])</f>
        <v>0</v>
      </c>
      <c r="H76" s="10">
        <f>SUMIF(tbl_główna_GRACZE[I. Nazwisko],tbl_zawodnicy_sumy[[#This Row],[I. Nazwisko]],tbl_główna_GRACZE[ftm])</f>
        <v>0</v>
      </c>
      <c r="I76" s="10">
        <f>SUMIF(tbl_główna_GRACZE[I. Nazwisko],tbl_zawodnicy_sumy[[#This Row],[I. Nazwisko]],tbl_główna_GRACZE[fta])</f>
        <v>0</v>
      </c>
      <c r="J76" s="10">
        <f>SUMIF(tbl_główna_GRACZE[I. Nazwisko],tbl_zawodnicy_sumy[[#This Row],[I. Nazwisko]],tbl_główna_GRACZE[oreb])</f>
        <v>3</v>
      </c>
      <c r="K76" s="10">
        <f>SUMIF(tbl_główna_GRACZE[I. Nazwisko],tbl_zawodnicy_sumy[[#This Row],[I. Nazwisko]],tbl_główna_GRACZE[dreb])</f>
        <v>3</v>
      </c>
      <c r="L76" s="10">
        <f>SUMIF(tbl_główna_GRACZE[I. Nazwisko],tbl_zawodnicy_sumy[[#This Row],[I. Nazwisko]],tbl_główna_GRACZE[foul])</f>
        <v>4</v>
      </c>
      <c r="M76" s="10">
        <f>SUMIF(tbl_główna_GRACZE[I. Nazwisko],tbl_zawodnicy_sumy[[#This Row],[I. Nazwisko]],tbl_główna_GRACZE[stl])</f>
        <v>6</v>
      </c>
      <c r="N76" s="10">
        <f>SUMIF(tbl_główna_GRACZE[I. Nazwisko],tbl_zawodnicy_sumy[[#This Row],[I. Nazwisko]],tbl_główna_GRACZE[to])</f>
        <v>0</v>
      </c>
      <c r="O76" s="10">
        <f>SUMIF(tbl_główna_GRACZE[I. Nazwisko],tbl_zawodnicy_sumy[[#This Row],[I. Nazwisko]],tbl_główna_GRACZE[blk])</f>
        <v>1</v>
      </c>
      <c r="P76" s="10">
        <f>SUMIF(tbl_główna_GRACZE[I. Nazwisko],tbl_zawodnicy_sumy[[#This Row],[I. Nazwisko]],tbl_główna_GRACZE[asst])</f>
        <v>2</v>
      </c>
      <c r="Q76" s="10">
        <f>SUMIF(tbl_główna_GRACZE[I. Nazwisko],tbl_zawodnicy_sumy[[#This Row],[I. Nazwisko]],tbl_główna_GRACZE[min])</f>
        <v>31</v>
      </c>
      <c r="R76" s="10">
        <f>SUMIF(tbl_główna_GRACZE[I. Nazwisko],tbl_zawodnicy_sumy[[#This Row],[I. Nazwisko]],tbl_główna_GRACZE[pts])</f>
        <v>10</v>
      </c>
      <c r="S76" s="11">
        <f t="shared" ref="S76:S79" si="22">J76+K76</f>
        <v>6</v>
      </c>
      <c r="T76" s="4">
        <f t="shared" ref="T76:T79" si="23">IFERROR(D76/E76,0)</f>
        <v>0.625</v>
      </c>
      <c r="U76" s="4">
        <f t="shared" ref="U76:U79" si="24">IFERROR(F76/G76,0)</f>
        <v>0</v>
      </c>
      <c r="V76" s="4">
        <f t="shared" ref="V76:V79" si="25">IFERROR(H76/I76,0)</f>
        <v>0</v>
      </c>
      <c r="W76" s="4">
        <f>IFERROR(tbl_zawodnicy_sumy[[#This Row],[2pm]]/tbl_zawodnicy_sumy[[#This Row],[2pa]],0)</f>
        <v>0.625</v>
      </c>
      <c r="X76" s="4">
        <f t="shared" ref="X76:X79" si="26">IFERROR(R76/(2*(E76+0.44*I76)),0)</f>
        <v>0.625</v>
      </c>
      <c r="Y76" s="4">
        <f t="shared" ref="Y76:Y79" si="27">IFERROR((D76+0.5*F76)/E76,0)</f>
        <v>0.625</v>
      </c>
      <c r="Z76" s="11">
        <f t="shared" ref="Z76:Z79" si="28">M76+O76+P76+R76+S76-(E76-D76)-(I76-H76)</f>
        <v>22</v>
      </c>
      <c r="AA76" s="4">
        <f t="shared" ref="AA76:AA79" si="29">IFERROR(I76/E76,0)</f>
        <v>0</v>
      </c>
      <c r="AB76" s="4">
        <f t="shared" ref="AB76:AB79" si="30">IFERROR(G76/E76,0)</f>
        <v>0</v>
      </c>
      <c r="AC76" s="26">
        <f>IFERROR((SUMIF(tbl_główna_GRACZE[I. Nazwisko],tbl_zawodnicy_sumy[[#This Row],[I. Nazwisko]],tbl_główna_GRACZE[USG%]))/tbl_zawodnicy_sumy[[#This Row],[Played]],0)</f>
        <v>0.11061946902654868</v>
      </c>
      <c r="AD76" s="25">
        <f>IFERROR(tbl_zawodnicy_sumy[[#This Row],[pts]]*(40/tbl_zawodnicy_sumy[[#This Row],[min]]),0)</f>
        <v>12.903225806451612</v>
      </c>
      <c r="AE76" s="30">
        <f>IFERROR(tbl_zawodnicy_sumy[[#This Row],[reb total]]*(40/tbl_zawodnicy_sumy[[#This Row],[min]]),0)</f>
        <v>7.741935483870968</v>
      </c>
      <c r="AF76" s="30">
        <f>IFERROR(tbl_zawodnicy_sumy[[#This Row],[asst]]*(40/tbl_zawodnicy_sumy[[#This Row],[min]]),0)</f>
        <v>2.5806451612903225</v>
      </c>
      <c r="AG76" s="5">
        <f t="shared" ref="AG76:AG79" si="31">IFERROR(R76/E76,0)</f>
        <v>1.25</v>
      </c>
      <c r="AH76" s="5">
        <f>IFERROR((tbl_zawodnicy_sumy[[#This Row],[stl]]+tbl_zawodnicy_sumy[[#This Row],[blk]])*(40/tbl_zawodnicy_sumy[[#This Row],[min]]),0)</f>
        <v>9.0322580645161281</v>
      </c>
      <c r="AI76" s="4">
        <f>IFERROR((SUMIF(tbl_główna_GRACZE[I. Nazwisko],tbl_zawodnicy_sumy[[#This Row],[I. Nazwisko]],tbl_główna_GRACZE[DI]))/tbl_zawodnicy_sumy[[#This Row],[Played]],0)</f>
        <v>0.31818181818181818</v>
      </c>
      <c r="AJ76" s="25">
        <f>tbl_zawodnicy_sumy[[#This Row],[stl]]+tbl_zawodnicy_sumy[[#This Row],[blk]]+(tbl_zawodnicy_sumy[[#This Row],[dreb]]*0.5)</f>
        <v>8.5</v>
      </c>
      <c r="AK76" s="29">
        <f>IFERROR((tbl_zawodnicy_sumy[[#This Row],[stl]]+tbl_zawodnicy_sumy[[#This Row],[blk]]+0.5*tbl_zawodnicy_sumy[[#This Row],[dreb]])/tbl_zawodnicy_sumy[[#This Row],[min]],0)</f>
        <v>0.27419354838709675</v>
      </c>
      <c r="AL76" s="6">
        <f t="shared" ref="AL76:AL79" si="32">R76+0.4*D76-0.7*E76-0.4*(I76-H76)+0.7*J76+0.3*K76+M76+0.7*P76+0.7*O76</f>
        <v>17.5</v>
      </c>
      <c r="AM76" s="6">
        <f>IFERROR(tbl_zawodnicy_sumy[[#This Row],[GmSc]]*(40/tbl_zawodnicy_sumy[[#This Row],[min]]),0)</f>
        <v>22.58064516129032</v>
      </c>
      <c r="AN76" s="6">
        <f>IFERROR(tbl_zawodnicy_sumy[[#This Row],[EVAL]]*(40/tbl_zawodnicy_sumy[[#This Row],[min]]),0)</f>
        <v>28.387096774193548</v>
      </c>
      <c r="AO76" s="11">
        <f>tbl_zawodnicy_sumy[[#This Row],[fgm]]-tbl_zawodnicy_sumy[[#This Row],[3pm]]</f>
        <v>5</v>
      </c>
      <c r="AP76" s="11">
        <f>tbl_zawodnicy_sumy[[#This Row],[fga]]-tbl_zawodnicy_sumy[[#This Row],[3pa]]</f>
        <v>8</v>
      </c>
      <c r="AQ76">
        <f>SUMIF(tbl_zawodnicy_średnie[I. Nazwisko],tbl_zawodnicy_sumy[[#This Row],[I. Nazwisko]],tbl_zawodnicy_średnie[ID])</f>
        <v>0</v>
      </c>
    </row>
    <row r="77" spans="1:43" x14ac:dyDescent="0.35">
      <c r="A77" s="58" t="s">
        <v>25</v>
      </c>
      <c r="B77" s="58" t="s">
        <v>338</v>
      </c>
      <c r="C77" s="9">
        <f>SUMIF(tbl_główna_GRACZE[I. Nazwisko],tbl_zawodnicy_sumy[[#This Row],[I. Nazwisko]],tbl_główna_GRACZE[Played?])</f>
        <v>2</v>
      </c>
      <c r="D77" s="10">
        <f>SUMIF(tbl_główna_GRACZE[I. Nazwisko],tbl_zawodnicy_sumy[[#This Row],[I. Nazwisko]],tbl_główna_GRACZE[fgm])</f>
        <v>12</v>
      </c>
      <c r="E77" s="10">
        <f>SUMIF(tbl_główna_GRACZE[I. Nazwisko],tbl_zawodnicy_sumy[[#This Row],[I. Nazwisko]],tbl_główna_GRACZE[fga])</f>
        <v>31</v>
      </c>
      <c r="F77" s="10">
        <f>SUMIF(tbl_główna_GRACZE[I. Nazwisko],tbl_zawodnicy_sumy[[#This Row],[I. Nazwisko]],tbl_główna_GRACZE[3pm])</f>
        <v>2</v>
      </c>
      <c r="G77" s="10">
        <f>SUMIF(tbl_główna_GRACZE[I. Nazwisko],tbl_zawodnicy_sumy[[#This Row],[I. Nazwisko]],tbl_główna_GRACZE[3pa])</f>
        <v>8</v>
      </c>
      <c r="H77" s="10">
        <f>SUMIF(tbl_główna_GRACZE[I. Nazwisko],tbl_zawodnicy_sumy[[#This Row],[I. Nazwisko]],tbl_główna_GRACZE[ftm])</f>
        <v>2</v>
      </c>
      <c r="I77" s="10">
        <f>SUMIF(tbl_główna_GRACZE[I. Nazwisko],tbl_zawodnicy_sumy[[#This Row],[I. Nazwisko]],tbl_główna_GRACZE[fta])</f>
        <v>2</v>
      </c>
      <c r="J77" s="10">
        <f>SUMIF(tbl_główna_GRACZE[I. Nazwisko],tbl_zawodnicy_sumy[[#This Row],[I. Nazwisko]],tbl_główna_GRACZE[oreb])</f>
        <v>2</v>
      </c>
      <c r="K77" s="10">
        <f>SUMIF(tbl_główna_GRACZE[I. Nazwisko],tbl_zawodnicy_sumy[[#This Row],[I. Nazwisko]],tbl_główna_GRACZE[dreb])</f>
        <v>2</v>
      </c>
      <c r="L77" s="10">
        <f>SUMIF(tbl_główna_GRACZE[I. Nazwisko],tbl_zawodnicy_sumy[[#This Row],[I. Nazwisko]],tbl_główna_GRACZE[foul])</f>
        <v>0</v>
      </c>
      <c r="M77" s="10">
        <f>SUMIF(tbl_główna_GRACZE[I. Nazwisko],tbl_zawodnicy_sumy[[#This Row],[I. Nazwisko]],tbl_główna_GRACZE[stl])</f>
        <v>3</v>
      </c>
      <c r="N77" s="10">
        <f>SUMIF(tbl_główna_GRACZE[I. Nazwisko],tbl_zawodnicy_sumy[[#This Row],[I. Nazwisko]],tbl_główna_GRACZE[to])</f>
        <v>0</v>
      </c>
      <c r="O77" s="10">
        <f>SUMIF(tbl_główna_GRACZE[I. Nazwisko],tbl_zawodnicy_sumy[[#This Row],[I. Nazwisko]],tbl_główna_GRACZE[blk])</f>
        <v>0</v>
      </c>
      <c r="P77" s="10">
        <f>SUMIF(tbl_główna_GRACZE[I. Nazwisko],tbl_zawodnicy_sumy[[#This Row],[I. Nazwisko]],tbl_główna_GRACZE[asst])</f>
        <v>6</v>
      </c>
      <c r="Q77" s="10">
        <f>SUMIF(tbl_główna_GRACZE[I. Nazwisko],tbl_zawodnicy_sumy[[#This Row],[I. Nazwisko]],tbl_główna_GRACZE[min])</f>
        <v>64</v>
      </c>
      <c r="R77" s="10">
        <f>SUMIF(tbl_główna_GRACZE[I. Nazwisko],tbl_zawodnicy_sumy[[#This Row],[I. Nazwisko]],tbl_główna_GRACZE[pts])</f>
        <v>28</v>
      </c>
      <c r="S77" s="11">
        <f t="shared" si="22"/>
        <v>4</v>
      </c>
      <c r="T77" s="4">
        <f t="shared" si="23"/>
        <v>0.38709677419354838</v>
      </c>
      <c r="U77" s="4">
        <f t="shared" si="24"/>
        <v>0.25</v>
      </c>
      <c r="V77" s="4">
        <f t="shared" si="25"/>
        <v>1</v>
      </c>
      <c r="W77" s="4">
        <f>IFERROR(tbl_zawodnicy_sumy[[#This Row],[2pm]]/tbl_zawodnicy_sumy[[#This Row],[2pa]],0)</f>
        <v>0.43478260869565216</v>
      </c>
      <c r="X77" s="4">
        <f t="shared" si="26"/>
        <v>0.4391468005018821</v>
      </c>
      <c r="Y77" s="4">
        <f t="shared" si="27"/>
        <v>0.41935483870967744</v>
      </c>
      <c r="Z77" s="11">
        <f t="shared" si="28"/>
        <v>22</v>
      </c>
      <c r="AA77" s="4">
        <f t="shared" si="29"/>
        <v>6.4516129032258063E-2</v>
      </c>
      <c r="AB77" s="4">
        <f t="shared" si="30"/>
        <v>0.25806451612903225</v>
      </c>
      <c r="AC77" s="26">
        <f>IFERROR((SUMIF(tbl_główna_GRACZE[I. Nazwisko],tbl_zawodnicy_sumy[[#This Row],[I. Nazwisko]],tbl_główna_GRACZE[USG%]))/tbl_zawodnicy_sumy[[#This Row],[Played]],0)</f>
        <v>0.21997303764844856</v>
      </c>
      <c r="AD77" s="25">
        <f>IFERROR(tbl_zawodnicy_sumy[[#This Row],[pts]]*(40/tbl_zawodnicy_sumy[[#This Row],[min]]),0)</f>
        <v>17.5</v>
      </c>
      <c r="AE77" s="30">
        <f>IFERROR(tbl_zawodnicy_sumy[[#This Row],[reb total]]*(40/tbl_zawodnicy_sumy[[#This Row],[min]]),0)</f>
        <v>2.5</v>
      </c>
      <c r="AF77" s="30">
        <f>IFERROR(tbl_zawodnicy_sumy[[#This Row],[asst]]*(40/tbl_zawodnicy_sumy[[#This Row],[min]]),0)</f>
        <v>3.75</v>
      </c>
      <c r="AG77" s="5">
        <f t="shared" si="31"/>
        <v>0.90322580645161288</v>
      </c>
      <c r="AH77" s="5">
        <f>IFERROR((tbl_zawodnicy_sumy[[#This Row],[stl]]+tbl_zawodnicy_sumy[[#This Row],[blk]])*(40/tbl_zawodnicy_sumy[[#This Row],[min]]),0)</f>
        <v>1.875</v>
      </c>
      <c r="AI77" s="4">
        <f>IFERROR((SUMIF(tbl_główna_GRACZE[I. Nazwisko],tbl_zawodnicy_sumy[[#This Row],[I. Nazwisko]],tbl_główna_GRACZE[DI]))/tbl_zawodnicy_sumy[[#This Row],[Played]],0)</f>
        <v>7.8787878787878796E-2</v>
      </c>
      <c r="AJ77" s="25">
        <f>tbl_zawodnicy_sumy[[#This Row],[stl]]+tbl_zawodnicy_sumy[[#This Row],[blk]]+(tbl_zawodnicy_sumy[[#This Row],[dreb]]*0.5)</f>
        <v>4</v>
      </c>
      <c r="AK77" s="29">
        <f>IFERROR((tbl_zawodnicy_sumy[[#This Row],[stl]]+tbl_zawodnicy_sumy[[#This Row],[blk]]+0.5*tbl_zawodnicy_sumy[[#This Row],[dreb]])/tbl_zawodnicy_sumy[[#This Row],[min]],0)</f>
        <v>6.25E-2</v>
      </c>
      <c r="AL77" s="6">
        <f t="shared" si="32"/>
        <v>20.299999999999997</v>
      </c>
      <c r="AM77" s="6">
        <f>IFERROR(tbl_zawodnicy_sumy[[#This Row],[GmSc]]*(40/tbl_zawodnicy_sumy[[#This Row],[min]]),0)</f>
        <v>12.687499999999998</v>
      </c>
      <c r="AN77" s="6">
        <f>IFERROR(tbl_zawodnicy_sumy[[#This Row],[EVAL]]*(40/tbl_zawodnicy_sumy[[#This Row],[min]]),0)</f>
        <v>13.75</v>
      </c>
      <c r="AO77" s="11">
        <f>tbl_zawodnicy_sumy[[#This Row],[fgm]]-tbl_zawodnicy_sumy[[#This Row],[3pm]]</f>
        <v>10</v>
      </c>
      <c r="AP77" s="11">
        <f>tbl_zawodnicy_sumy[[#This Row],[fga]]-tbl_zawodnicy_sumy[[#This Row],[3pa]]</f>
        <v>23</v>
      </c>
      <c r="AQ77">
        <f>SUMIF(tbl_zawodnicy_średnie[I. Nazwisko],tbl_zawodnicy_sumy[[#This Row],[I. Nazwisko]],tbl_zawodnicy_średnie[ID])</f>
        <v>0</v>
      </c>
    </row>
    <row r="78" spans="1:43" x14ac:dyDescent="0.35">
      <c r="A78" s="58" t="s">
        <v>25</v>
      </c>
      <c r="B78" s="58" t="s">
        <v>339</v>
      </c>
      <c r="C78" s="9">
        <f>SUMIF(tbl_główna_GRACZE[I. Nazwisko],tbl_zawodnicy_sumy[[#This Row],[I. Nazwisko]],tbl_główna_GRACZE[Played?])</f>
        <v>1</v>
      </c>
      <c r="D78" s="10">
        <f>SUMIF(tbl_główna_GRACZE[I. Nazwisko],tbl_zawodnicy_sumy[[#This Row],[I. Nazwisko]],tbl_główna_GRACZE[fgm])</f>
        <v>3</v>
      </c>
      <c r="E78" s="10">
        <f>SUMIF(tbl_główna_GRACZE[I. Nazwisko],tbl_zawodnicy_sumy[[#This Row],[I. Nazwisko]],tbl_główna_GRACZE[fga])</f>
        <v>7</v>
      </c>
      <c r="F78" s="10">
        <f>SUMIF(tbl_główna_GRACZE[I. Nazwisko],tbl_zawodnicy_sumy[[#This Row],[I. Nazwisko]],tbl_główna_GRACZE[3pm])</f>
        <v>0</v>
      </c>
      <c r="G78" s="10">
        <f>SUMIF(tbl_główna_GRACZE[I. Nazwisko],tbl_zawodnicy_sumy[[#This Row],[I. Nazwisko]],tbl_główna_GRACZE[3pa])</f>
        <v>0</v>
      </c>
      <c r="H78" s="10">
        <f>SUMIF(tbl_główna_GRACZE[I. Nazwisko],tbl_zawodnicy_sumy[[#This Row],[I. Nazwisko]],tbl_główna_GRACZE[ftm])</f>
        <v>0</v>
      </c>
      <c r="I78" s="10">
        <f>SUMIF(tbl_główna_GRACZE[I. Nazwisko],tbl_zawodnicy_sumy[[#This Row],[I. Nazwisko]],tbl_główna_GRACZE[fta])</f>
        <v>0</v>
      </c>
      <c r="J78" s="10">
        <f>SUMIF(tbl_główna_GRACZE[I. Nazwisko],tbl_zawodnicy_sumy[[#This Row],[I. Nazwisko]],tbl_główna_GRACZE[oreb])</f>
        <v>2</v>
      </c>
      <c r="K78" s="10">
        <f>SUMIF(tbl_główna_GRACZE[I. Nazwisko],tbl_zawodnicy_sumy[[#This Row],[I. Nazwisko]],tbl_główna_GRACZE[dreb])</f>
        <v>4</v>
      </c>
      <c r="L78" s="10">
        <f>SUMIF(tbl_główna_GRACZE[I. Nazwisko],tbl_zawodnicy_sumy[[#This Row],[I. Nazwisko]],tbl_główna_GRACZE[foul])</f>
        <v>1</v>
      </c>
      <c r="M78" s="10">
        <f>SUMIF(tbl_główna_GRACZE[I. Nazwisko],tbl_zawodnicy_sumy[[#This Row],[I. Nazwisko]],tbl_główna_GRACZE[stl])</f>
        <v>1</v>
      </c>
      <c r="N78" s="10">
        <f>SUMIF(tbl_główna_GRACZE[I. Nazwisko],tbl_zawodnicy_sumy[[#This Row],[I. Nazwisko]],tbl_główna_GRACZE[to])</f>
        <v>0</v>
      </c>
      <c r="O78" s="10">
        <f>SUMIF(tbl_główna_GRACZE[I. Nazwisko],tbl_zawodnicy_sumy[[#This Row],[I. Nazwisko]],tbl_główna_GRACZE[blk])</f>
        <v>1</v>
      </c>
      <c r="P78" s="10">
        <f>SUMIF(tbl_główna_GRACZE[I. Nazwisko],tbl_zawodnicy_sumy[[#This Row],[I. Nazwisko]],tbl_główna_GRACZE[asst])</f>
        <v>1</v>
      </c>
      <c r="Q78" s="10">
        <f>SUMIF(tbl_główna_GRACZE[I. Nazwisko],tbl_zawodnicy_sumy[[#This Row],[I. Nazwisko]],tbl_główna_GRACZE[min])</f>
        <v>23</v>
      </c>
      <c r="R78" s="10">
        <f>SUMIF(tbl_główna_GRACZE[I. Nazwisko],tbl_zawodnicy_sumy[[#This Row],[I. Nazwisko]],tbl_główna_GRACZE[pts])</f>
        <v>6</v>
      </c>
      <c r="S78" s="11">
        <f t="shared" si="22"/>
        <v>6</v>
      </c>
      <c r="T78" s="4">
        <f t="shared" si="23"/>
        <v>0.42857142857142855</v>
      </c>
      <c r="U78" s="4">
        <f t="shared" si="24"/>
        <v>0</v>
      </c>
      <c r="V78" s="4">
        <f t="shared" si="25"/>
        <v>0</v>
      </c>
      <c r="W78" s="4">
        <f>IFERROR(tbl_zawodnicy_sumy[[#This Row],[2pm]]/tbl_zawodnicy_sumy[[#This Row],[2pa]],0)</f>
        <v>0.42857142857142855</v>
      </c>
      <c r="X78" s="4">
        <f t="shared" si="26"/>
        <v>0.42857142857142855</v>
      </c>
      <c r="Y78" s="4">
        <f t="shared" si="27"/>
        <v>0.42857142857142855</v>
      </c>
      <c r="Z78" s="11">
        <f t="shared" si="28"/>
        <v>11</v>
      </c>
      <c r="AA78" s="4">
        <f t="shared" si="29"/>
        <v>0</v>
      </c>
      <c r="AB78" s="4">
        <f t="shared" si="30"/>
        <v>0</v>
      </c>
      <c r="AC78" s="26">
        <f>IFERROR((SUMIF(tbl_główna_GRACZE[I. Nazwisko],tbl_zawodnicy_sumy[[#This Row],[I. Nazwisko]],tbl_główna_GRACZE[USG%]))/tbl_zawodnicy_sumy[[#This Row],[Played]],0)</f>
        <v>9.67920353982301E-2</v>
      </c>
      <c r="AD78" s="25">
        <f>IFERROR(tbl_zawodnicy_sumy[[#This Row],[pts]]*(40/tbl_zawodnicy_sumy[[#This Row],[min]]),0)</f>
        <v>10.434782608695652</v>
      </c>
      <c r="AE78" s="30">
        <f>IFERROR(tbl_zawodnicy_sumy[[#This Row],[reb total]]*(40/tbl_zawodnicy_sumy[[#This Row],[min]]),0)</f>
        <v>10.434782608695652</v>
      </c>
      <c r="AF78" s="30">
        <f>IFERROR(tbl_zawodnicy_sumy[[#This Row],[asst]]*(40/tbl_zawodnicy_sumy[[#This Row],[min]]),0)</f>
        <v>1.7391304347826086</v>
      </c>
      <c r="AG78" s="5">
        <f t="shared" si="31"/>
        <v>0.8571428571428571</v>
      </c>
      <c r="AH78" s="5">
        <f>IFERROR((tbl_zawodnicy_sumy[[#This Row],[stl]]+tbl_zawodnicy_sumy[[#This Row],[blk]])*(40/tbl_zawodnicy_sumy[[#This Row],[min]]),0)</f>
        <v>3.4782608695652173</v>
      </c>
      <c r="AI78" s="4">
        <f>IFERROR((SUMIF(tbl_główna_GRACZE[I. Nazwisko],tbl_zawodnicy_sumy[[#This Row],[I. Nazwisko]],tbl_główna_GRACZE[DI]))/tbl_zawodnicy_sumy[[#This Row],[Played]],0)</f>
        <v>9.0909090909090912E-2</v>
      </c>
      <c r="AJ78" s="25">
        <f>tbl_zawodnicy_sumy[[#This Row],[stl]]+tbl_zawodnicy_sumy[[#This Row],[blk]]+(tbl_zawodnicy_sumy[[#This Row],[dreb]]*0.5)</f>
        <v>4</v>
      </c>
      <c r="AK78" s="29">
        <f>IFERROR((tbl_zawodnicy_sumy[[#This Row],[stl]]+tbl_zawodnicy_sumy[[#This Row],[blk]]+0.5*tbl_zawodnicy_sumy[[#This Row],[dreb]])/tbl_zawodnicy_sumy[[#This Row],[min]],0)</f>
        <v>0.17391304347826086</v>
      </c>
      <c r="AL78" s="6">
        <f t="shared" si="32"/>
        <v>7.3000000000000007</v>
      </c>
      <c r="AM78" s="6">
        <f>IFERROR(tbl_zawodnicy_sumy[[#This Row],[GmSc]]*(40/tbl_zawodnicy_sumy[[#This Row],[min]]),0)</f>
        <v>12.695652173913045</v>
      </c>
      <c r="AN78" s="6">
        <f>IFERROR(tbl_zawodnicy_sumy[[#This Row],[EVAL]]*(40/tbl_zawodnicy_sumy[[#This Row],[min]]),0)</f>
        <v>19.130434782608695</v>
      </c>
      <c r="AO78" s="11">
        <f>tbl_zawodnicy_sumy[[#This Row],[fgm]]-tbl_zawodnicy_sumy[[#This Row],[3pm]]</f>
        <v>3</v>
      </c>
      <c r="AP78" s="11">
        <f>tbl_zawodnicy_sumy[[#This Row],[fga]]-tbl_zawodnicy_sumy[[#This Row],[3pa]]</f>
        <v>7</v>
      </c>
      <c r="AQ78">
        <f>SUMIF(tbl_zawodnicy_średnie[I. Nazwisko],tbl_zawodnicy_sumy[[#This Row],[I. Nazwisko]],tbl_zawodnicy_średnie[ID])</f>
        <v>0</v>
      </c>
    </row>
    <row r="79" spans="1:43" x14ac:dyDescent="0.35">
      <c r="A79" s="58" t="s">
        <v>25</v>
      </c>
      <c r="B79" s="58" t="s">
        <v>340</v>
      </c>
      <c r="C79" s="9">
        <f>SUMIF(tbl_główna_GRACZE[I. Nazwisko],tbl_zawodnicy_sumy[[#This Row],[I. Nazwisko]],tbl_główna_GRACZE[Played?])</f>
        <v>3</v>
      </c>
      <c r="D79" s="10">
        <f>SUMIF(tbl_główna_GRACZE[I. Nazwisko],tbl_zawodnicy_sumy[[#This Row],[I. Nazwisko]],tbl_główna_GRACZE[fgm])</f>
        <v>2</v>
      </c>
      <c r="E79" s="10">
        <f>SUMIF(tbl_główna_GRACZE[I. Nazwisko],tbl_zawodnicy_sumy[[#This Row],[I. Nazwisko]],tbl_główna_GRACZE[fga])</f>
        <v>9</v>
      </c>
      <c r="F79" s="10">
        <f>SUMIF(tbl_główna_GRACZE[I. Nazwisko],tbl_zawodnicy_sumy[[#This Row],[I. Nazwisko]],tbl_główna_GRACZE[3pm])</f>
        <v>1</v>
      </c>
      <c r="G79" s="10">
        <f>SUMIF(tbl_główna_GRACZE[I. Nazwisko],tbl_zawodnicy_sumy[[#This Row],[I. Nazwisko]],tbl_główna_GRACZE[3pa])</f>
        <v>4</v>
      </c>
      <c r="H79" s="10">
        <f>SUMIF(tbl_główna_GRACZE[I. Nazwisko],tbl_zawodnicy_sumy[[#This Row],[I. Nazwisko]],tbl_główna_GRACZE[ftm])</f>
        <v>2</v>
      </c>
      <c r="I79" s="10">
        <f>SUMIF(tbl_główna_GRACZE[I. Nazwisko],tbl_zawodnicy_sumy[[#This Row],[I. Nazwisko]],tbl_główna_GRACZE[fta])</f>
        <v>3</v>
      </c>
      <c r="J79" s="10">
        <f>SUMIF(tbl_główna_GRACZE[I. Nazwisko],tbl_zawodnicy_sumy[[#This Row],[I. Nazwisko]],tbl_główna_GRACZE[oreb])</f>
        <v>3</v>
      </c>
      <c r="K79" s="10">
        <f>SUMIF(tbl_główna_GRACZE[I. Nazwisko],tbl_zawodnicy_sumy[[#This Row],[I. Nazwisko]],tbl_główna_GRACZE[dreb])</f>
        <v>11</v>
      </c>
      <c r="L79" s="10">
        <f>SUMIF(tbl_główna_GRACZE[I. Nazwisko],tbl_zawodnicy_sumy[[#This Row],[I. Nazwisko]],tbl_główna_GRACZE[foul])</f>
        <v>2</v>
      </c>
      <c r="M79" s="10">
        <f>SUMIF(tbl_główna_GRACZE[I. Nazwisko],tbl_zawodnicy_sumy[[#This Row],[I. Nazwisko]],tbl_główna_GRACZE[stl])</f>
        <v>7</v>
      </c>
      <c r="N79" s="10">
        <f>SUMIF(tbl_główna_GRACZE[I. Nazwisko],tbl_zawodnicy_sumy[[#This Row],[I. Nazwisko]],tbl_główna_GRACZE[to])</f>
        <v>0</v>
      </c>
      <c r="O79" s="10">
        <f>SUMIF(tbl_główna_GRACZE[I. Nazwisko],tbl_zawodnicy_sumy[[#This Row],[I. Nazwisko]],tbl_główna_GRACZE[blk])</f>
        <v>2</v>
      </c>
      <c r="P79" s="10">
        <f>SUMIF(tbl_główna_GRACZE[I. Nazwisko],tbl_zawodnicy_sumy[[#This Row],[I. Nazwisko]],tbl_główna_GRACZE[asst])</f>
        <v>4</v>
      </c>
      <c r="Q79" s="10">
        <f>SUMIF(tbl_główna_GRACZE[I. Nazwisko],tbl_zawodnicy_sumy[[#This Row],[I. Nazwisko]],tbl_główna_GRACZE[min])</f>
        <v>79</v>
      </c>
      <c r="R79" s="10">
        <f>SUMIF(tbl_główna_GRACZE[I. Nazwisko],tbl_zawodnicy_sumy[[#This Row],[I. Nazwisko]],tbl_główna_GRACZE[pts])</f>
        <v>7</v>
      </c>
      <c r="S79" s="11">
        <f t="shared" si="22"/>
        <v>14</v>
      </c>
      <c r="T79" s="4">
        <f t="shared" si="23"/>
        <v>0.22222222222222221</v>
      </c>
      <c r="U79" s="4">
        <f t="shared" si="24"/>
        <v>0.25</v>
      </c>
      <c r="V79" s="4">
        <f t="shared" si="25"/>
        <v>0.66666666666666663</v>
      </c>
      <c r="W79" s="4">
        <f>IFERROR(tbl_zawodnicy_sumy[[#This Row],[2pm]]/tbl_zawodnicy_sumy[[#This Row],[2pa]],0)</f>
        <v>0.2</v>
      </c>
      <c r="X79" s="4">
        <f t="shared" si="26"/>
        <v>0.33914728682170542</v>
      </c>
      <c r="Y79" s="4">
        <f t="shared" si="27"/>
        <v>0.27777777777777779</v>
      </c>
      <c r="Z79" s="11">
        <f t="shared" si="28"/>
        <v>26</v>
      </c>
      <c r="AA79" s="4">
        <f t="shared" si="29"/>
        <v>0.33333333333333331</v>
      </c>
      <c r="AB79" s="4">
        <f t="shared" si="30"/>
        <v>0.44444444444444442</v>
      </c>
      <c r="AC79" s="26">
        <f>IFERROR((SUMIF(tbl_główna_GRACZE[I. Nazwisko],tbl_zawodnicy_sumy[[#This Row],[I. Nazwisko]],tbl_główna_GRACZE[USG%]))/tbl_zawodnicy_sumy[[#This Row],[Played]],0)</f>
        <v>4.8398341610053131E-2</v>
      </c>
      <c r="AD79" s="25">
        <f>IFERROR(tbl_zawodnicy_sumy[[#This Row],[pts]]*(40/tbl_zawodnicy_sumy[[#This Row],[min]]),0)</f>
        <v>3.5443037974683547</v>
      </c>
      <c r="AE79" s="30">
        <f>IFERROR(tbl_zawodnicy_sumy[[#This Row],[reb total]]*(40/tbl_zawodnicy_sumy[[#This Row],[min]]),0)</f>
        <v>7.0886075949367093</v>
      </c>
      <c r="AF79" s="30">
        <f>IFERROR(tbl_zawodnicy_sumy[[#This Row],[asst]]*(40/tbl_zawodnicy_sumy[[#This Row],[min]]),0)</f>
        <v>2.0253164556962027</v>
      </c>
      <c r="AG79" s="5">
        <f t="shared" si="31"/>
        <v>0.77777777777777779</v>
      </c>
      <c r="AH79" s="5">
        <f>IFERROR((tbl_zawodnicy_sumy[[#This Row],[stl]]+tbl_zawodnicy_sumy[[#This Row],[blk]])*(40/tbl_zawodnicy_sumy[[#This Row],[min]]),0)</f>
        <v>4.556962025316456</v>
      </c>
      <c r="AI79" s="4">
        <f>IFERROR((SUMIF(tbl_główna_GRACZE[I. Nazwisko],tbl_zawodnicy_sumy[[#This Row],[I. Nazwisko]],tbl_główna_GRACZE[DI]))/tbl_zawodnicy_sumy[[#This Row],[Played]],0)</f>
        <v>0.26204906204906203</v>
      </c>
      <c r="AJ79" s="25">
        <f>tbl_zawodnicy_sumy[[#This Row],[stl]]+tbl_zawodnicy_sumy[[#This Row],[blk]]+(tbl_zawodnicy_sumy[[#This Row],[dreb]]*0.5)</f>
        <v>14.5</v>
      </c>
      <c r="AK79" s="29">
        <f>IFERROR((tbl_zawodnicy_sumy[[#This Row],[stl]]+tbl_zawodnicy_sumy[[#This Row],[blk]]+0.5*tbl_zawodnicy_sumy[[#This Row],[dreb]])/tbl_zawodnicy_sumy[[#This Row],[min]],0)</f>
        <v>0.18354430379746836</v>
      </c>
      <c r="AL79" s="6">
        <f t="shared" si="32"/>
        <v>17.7</v>
      </c>
      <c r="AM79" s="6">
        <f>IFERROR(tbl_zawodnicy_sumy[[#This Row],[GmSc]]*(40/tbl_zawodnicy_sumy[[#This Row],[min]]),0)</f>
        <v>8.962025316455696</v>
      </c>
      <c r="AN79" s="6">
        <f>IFERROR(tbl_zawodnicy_sumy[[#This Row],[EVAL]]*(40/tbl_zawodnicy_sumy[[#This Row],[min]]),0)</f>
        <v>13.164556962025317</v>
      </c>
      <c r="AO79" s="11">
        <f>tbl_zawodnicy_sumy[[#This Row],[fgm]]-tbl_zawodnicy_sumy[[#This Row],[3pm]]</f>
        <v>1</v>
      </c>
      <c r="AP79" s="11">
        <f>tbl_zawodnicy_sumy[[#This Row],[fga]]-tbl_zawodnicy_sumy[[#This Row],[3pa]]</f>
        <v>5</v>
      </c>
      <c r="AQ79">
        <f>SUMIF(tbl_zawodnicy_średnie[I. Nazwisko],tbl_zawodnicy_sumy[[#This Row],[I. Nazwisko]],tbl_zawodnicy_średnie[ID])</f>
        <v>0</v>
      </c>
    </row>
    <row r="80" spans="1:43" x14ac:dyDescent="0.35">
      <c r="A80" s="58" t="s">
        <v>46</v>
      </c>
      <c r="B80" s="58" t="s">
        <v>395</v>
      </c>
      <c r="C80" s="9">
        <f>SUMIF(tbl_główna_GRACZE[I. Nazwisko],tbl_zawodnicy_sumy[[#This Row],[I. Nazwisko]],tbl_główna_GRACZE[Played?])</f>
        <v>2</v>
      </c>
      <c r="D80" s="10">
        <f>SUMIF(tbl_główna_GRACZE[I. Nazwisko],tbl_zawodnicy_sumy[[#This Row],[I. Nazwisko]],tbl_główna_GRACZE[fgm])</f>
        <v>6</v>
      </c>
      <c r="E80" s="10">
        <f>SUMIF(tbl_główna_GRACZE[I. Nazwisko],tbl_zawodnicy_sumy[[#This Row],[I. Nazwisko]],tbl_główna_GRACZE[fga])</f>
        <v>18</v>
      </c>
      <c r="F80" s="10">
        <f>SUMIF(tbl_główna_GRACZE[I. Nazwisko],tbl_zawodnicy_sumy[[#This Row],[I. Nazwisko]],tbl_główna_GRACZE[3pm])</f>
        <v>0</v>
      </c>
      <c r="G80" s="10">
        <f>SUMIF(tbl_główna_GRACZE[I. Nazwisko],tbl_zawodnicy_sumy[[#This Row],[I. Nazwisko]],tbl_główna_GRACZE[3pa])</f>
        <v>0</v>
      </c>
      <c r="H80" s="10">
        <f>SUMIF(tbl_główna_GRACZE[I. Nazwisko],tbl_zawodnicy_sumy[[#This Row],[I. Nazwisko]],tbl_główna_GRACZE[ftm])</f>
        <v>1</v>
      </c>
      <c r="I80" s="10">
        <f>SUMIF(tbl_główna_GRACZE[I. Nazwisko],tbl_zawodnicy_sumy[[#This Row],[I. Nazwisko]],tbl_główna_GRACZE[fta])</f>
        <v>4</v>
      </c>
      <c r="J80" s="10">
        <f>SUMIF(tbl_główna_GRACZE[I. Nazwisko],tbl_zawodnicy_sumy[[#This Row],[I. Nazwisko]],tbl_główna_GRACZE[oreb])</f>
        <v>9</v>
      </c>
      <c r="K80" s="10">
        <f>SUMIF(tbl_główna_GRACZE[I. Nazwisko],tbl_zawodnicy_sumy[[#This Row],[I. Nazwisko]],tbl_główna_GRACZE[dreb])</f>
        <v>18</v>
      </c>
      <c r="L80" s="10">
        <f>SUMIF(tbl_główna_GRACZE[I. Nazwisko],tbl_zawodnicy_sumy[[#This Row],[I. Nazwisko]],tbl_główna_GRACZE[foul])</f>
        <v>6</v>
      </c>
      <c r="M80" s="10">
        <f>SUMIF(tbl_główna_GRACZE[I. Nazwisko],tbl_zawodnicy_sumy[[#This Row],[I. Nazwisko]],tbl_główna_GRACZE[stl])</f>
        <v>3</v>
      </c>
      <c r="N80" s="10">
        <f>SUMIF(tbl_główna_GRACZE[I. Nazwisko],tbl_zawodnicy_sumy[[#This Row],[I. Nazwisko]],tbl_główna_GRACZE[to])</f>
        <v>0</v>
      </c>
      <c r="O80" s="10">
        <f>SUMIF(tbl_główna_GRACZE[I. Nazwisko],tbl_zawodnicy_sumy[[#This Row],[I. Nazwisko]],tbl_główna_GRACZE[blk])</f>
        <v>3</v>
      </c>
      <c r="P80" s="10">
        <f>SUMIF(tbl_główna_GRACZE[I. Nazwisko],tbl_zawodnicy_sumy[[#This Row],[I. Nazwisko]],tbl_główna_GRACZE[asst])</f>
        <v>2</v>
      </c>
      <c r="Q80" s="10">
        <f>SUMIF(tbl_główna_GRACZE[I. Nazwisko],tbl_zawodnicy_sumy[[#This Row],[I. Nazwisko]],tbl_główna_GRACZE[min])</f>
        <v>47</v>
      </c>
      <c r="R80" s="10">
        <f>SUMIF(tbl_główna_GRACZE[I. Nazwisko],tbl_zawodnicy_sumy[[#This Row],[I. Nazwisko]],tbl_główna_GRACZE[pts])</f>
        <v>13</v>
      </c>
      <c r="S80" s="11">
        <f t="shared" ref="S80:S85" si="33">J80+K80</f>
        <v>27</v>
      </c>
      <c r="T80" s="4">
        <f t="shared" ref="T80:T85" si="34">IFERROR(D80/E80,0)</f>
        <v>0.33333333333333331</v>
      </c>
      <c r="U80" s="4">
        <f t="shared" ref="U80:U85" si="35">IFERROR(F80/G80,0)</f>
        <v>0</v>
      </c>
      <c r="V80" s="4">
        <f t="shared" ref="V80:V85" si="36">IFERROR(H80/I80,0)</f>
        <v>0.25</v>
      </c>
      <c r="W80" s="4">
        <f>IFERROR(tbl_zawodnicy_sumy[[#This Row],[2pm]]/tbl_zawodnicy_sumy[[#This Row],[2pa]],0)</f>
        <v>0.33333333333333331</v>
      </c>
      <c r="X80" s="4">
        <f t="shared" ref="X80:X85" si="37">IFERROR(R80/(2*(E80+0.44*I80)),0)</f>
        <v>0.3289473684210526</v>
      </c>
      <c r="Y80" s="4">
        <f t="shared" ref="Y80:Y85" si="38">IFERROR((D80+0.5*F80)/E80,0)</f>
        <v>0.33333333333333331</v>
      </c>
      <c r="Z80" s="11">
        <f t="shared" ref="Z80:Z85" si="39">M80+O80+P80+R80+S80-(E80-D80)-(I80-H80)</f>
        <v>33</v>
      </c>
      <c r="AA80" s="4">
        <f t="shared" ref="AA80:AA85" si="40">IFERROR(I80/E80,0)</f>
        <v>0.22222222222222221</v>
      </c>
      <c r="AB80" s="4">
        <f t="shared" ref="AB80:AB85" si="41">IFERROR(G80/E80,0)</f>
        <v>0</v>
      </c>
      <c r="AC80" s="26">
        <f>IFERROR((SUMIF(tbl_główna_GRACZE[I. Nazwisko],tbl_zawodnicy_sumy[[#This Row],[I. Nazwisko]],tbl_główna_GRACZE[USG%]))/tbl_zawodnicy_sumy[[#This Row],[Played]],0)</f>
        <v>0.16245012896721819</v>
      </c>
      <c r="AD80" s="25">
        <f>IFERROR(tbl_zawodnicy_sumy[[#This Row],[pts]]*(40/tbl_zawodnicy_sumy[[#This Row],[min]]),0)</f>
        <v>11.063829787234043</v>
      </c>
      <c r="AE80" s="30">
        <f>IFERROR(tbl_zawodnicy_sumy[[#This Row],[reb total]]*(40/tbl_zawodnicy_sumy[[#This Row],[min]]),0)</f>
        <v>22.978723404255319</v>
      </c>
      <c r="AF80" s="30">
        <f>IFERROR(tbl_zawodnicy_sumy[[#This Row],[asst]]*(40/tbl_zawodnicy_sumy[[#This Row],[min]]),0)</f>
        <v>1.7021276595744681</v>
      </c>
      <c r="AG80" s="5">
        <f t="shared" ref="AG80:AG85" si="42">IFERROR(R80/E80,0)</f>
        <v>0.72222222222222221</v>
      </c>
      <c r="AH80" s="5">
        <f>IFERROR((tbl_zawodnicy_sumy[[#This Row],[stl]]+tbl_zawodnicy_sumy[[#This Row],[blk]])*(40/tbl_zawodnicy_sumy[[#This Row],[min]]),0)</f>
        <v>5.1063829787234045</v>
      </c>
      <c r="AI80" s="4">
        <f>IFERROR((SUMIF(tbl_główna_GRACZE[I. Nazwisko],tbl_zawodnicy_sumy[[#This Row],[I. Nazwisko]],tbl_główna_GRACZE[DI]))/tbl_zawodnicy_sumy[[#This Row],[Played]],0)</f>
        <v>0.1732456140350877</v>
      </c>
      <c r="AJ80" s="25">
        <f>tbl_zawodnicy_sumy[[#This Row],[stl]]+tbl_zawodnicy_sumy[[#This Row],[blk]]+(tbl_zawodnicy_sumy[[#This Row],[dreb]]*0.5)</f>
        <v>15</v>
      </c>
      <c r="AK80" s="29">
        <f>IFERROR((tbl_zawodnicy_sumy[[#This Row],[stl]]+tbl_zawodnicy_sumy[[#This Row],[blk]]+0.5*tbl_zawodnicy_sumy[[#This Row],[dreb]])/tbl_zawodnicy_sumy[[#This Row],[min]],0)</f>
        <v>0.31914893617021278</v>
      </c>
      <c r="AL80" s="6">
        <f t="shared" ref="AL80:AL85" si="43">R80+0.4*D80-0.7*E80-0.4*(I80-H80)+0.7*J80+0.3*K80+M80+0.7*P80+0.7*O80</f>
        <v>19.799999999999997</v>
      </c>
      <c r="AM80" s="6">
        <f>IFERROR(tbl_zawodnicy_sumy[[#This Row],[GmSc]]*(40/tbl_zawodnicy_sumy[[#This Row],[min]]),0)</f>
        <v>16.851063829787233</v>
      </c>
      <c r="AN80" s="6">
        <f>IFERROR(tbl_zawodnicy_sumy[[#This Row],[EVAL]]*(40/tbl_zawodnicy_sumy[[#This Row],[min]]),0)</f>
        <v>28.085106382978722</v>
      </c>
      <c r="AO80" s="11">
        <f>tbl_zawodnicy_sumy[[#This Row],[fgm]]-tbl_zawodnicy_sumy[[#This Row],[3pm]]</f>
        <v>6</v>
      </c>
      <c r="AP80" s="11">
        <f>tbl_zawodnicy_sumy[[#This Row],[fga]]-tbl_zawodnicy_sumy[[#This Row],[3pa]]</f>
        <v>18</v>
      </c>
      <c r="AQ80">
        <f>SUMIF(tbl_zawodnicy_średnie[I. Nazwisko],tbl_zawodnicy_sumy[[#This Row],[I. Nazwisko]],tbl_zawodnicy_średnie[ID])</f>
        <v>0</v>
      </c>
    </row>
    <row r="81" spans="1:43" x14ac:dyDescent="0.35">
      <c r="A81" s="58" t="s">
        <v>46</v>
      </c>
      <c r="B81" s="58" t="s">
        <v>396</v>
      </c>
      <c r="C81" s="9">
        <f>SUMIF(tbl_główna_GRACZE[I. Nazwisko],tbl_zawodnicy_sumy[[#This Row],[I. Nazwisko]],tbl_główna_GRACZE[Played?])</f>
        <v>1</v>
      </c>
      <c r="D81" s="10">
        <f>SUMIF(tbl_główna_GRACZE[I. Nazwisko],tbl_zawodnicy_sumy[[#This Row],[I. Nazwisko]],tbl_główna_GRACZE[fgm])</f>
        <v>0</v>
      </c>
      <c r="E81" s="10">
        <f>SUMIF(tbl_główna_GRACZE[I. Nazwisko],tbl_zawodnicy_sumy[[#This Row],[I. Nazwisko]],tbl_główna_GRACZE[fga])</f>
        <v>2</v>
      </c>
      <c r="F81" s="10">
        <f>SUMIF(tbl_główna_GRACZE[I. Nazwisko],tbl_zawodnicy_sumy[[#This Row],[I. Nazwisko]],tbl_główna_GRACZE[3pm])</f>
        <v>0</v>
      </c>
      <c r="G81" s="10">
        <f>SUMIF(tbl_główna_GRACZE[I. Nazwisko],tbl_zawodnicy_sumy[[#This Row],[I. Nazwisko]],tbl_główna_GRACZE[3pa])</f>
        <v>1</v>
      </c>
      <c r="H81" s="10">
        <f>SUMIF(tbl_główna_GRACZE[I. Nazwisko],tbl_zawodnicy_sumy[[#This Row],[I. Nazwisko]],tbl_główna_GRACZE[ftm])</f>
        <v>0</v>
      </c>
      <c r="I81" s="10">
        <f>SUMIF(tbl_główna_GRACZE[I. Nazwisko],tbl_zawodnicy_sumy[[#This Row],[I. Nazwisko]],tbl_główna_GRACZE[fta])</f>
        <v>0</v>
      </c>
      <c r="J81" s="10">
        <f>SUMIF(tbl_główna_GRACZE[I. Nazwisko],tbl_zawodnicy_sumy[[#This Row],[I. Nazwisko]],tbl_główna_GRACZE[oreb])</f>
        <v>0</v>
      </c>
      <c r="K81" s="10">
        <f>SUMIF(tbl_główna_GRACZE[I. Nazwisko],tbl_zawodnicy_sumy[[#This Row],[I. Nazwisko]],tbl_główna_GRACZE[dreb])</f>
        <v>3</v>
      </c>
      <c r="L81" s="10">
        <f>SUMIF(tbl_główna_GRACZE[I. Nazwisko],tbl_zawodnicy_sumy[[#This Row],[I. Nazwisko]],tbl_główna_GRACZE[foul])</f>
        <v>0</v>
      </c>
      <c r="M81" s="10">
        <f>SUMIF(tbl_główna_GRACZE[I. Nazwisko],tbl_zawodnicy_sumy[[#This Row],[I. Nazwisko]],tbl_główna_GRACZE[stl])</f>
        <v>2</v>
      </c>
      <c r="N81" s="10">
        <f>SUMIF(tbl_główna_GRACZE[I. Nazwisko],tbl_zawodnicy_sumy[[#This Row],[I. Nazwisko]],tbl_główna_GRACZE[to])</f>
        <v>0</v>
      </c>
      <c r="O81" s="10">
        <f>SUMIF(tbl_główna_GRACZE[I. Nazwisko],tbl_zawodnicy_sumy[[#This Row],[I. Nazwisko]],tbl_główna_GRACZE[blk])</f>
        <v>0</v>
      </c>
      <c r="P81" s="10">
        <f>SUMIF(tbl_główna_GRACZE[I. Nazwisko],tbl_zawodnicy_sumy[[#This Row],[I. Nazwisko]],tbl_główna_GRACZE[asst])</f>
        <v>2</v>
      </c>
      <c r="Q81" s="10">
        <f>SUMIF(tbl_główna_GRACZE[I. Nazwisko],tbl_zawodnicy_sumy[[#This Row],[I. Nazwisko]],tbl_główna_GRACZE[min])</f>
        <v>9</v>
      </c>
      <c r="R81" s="10">
        <f>SUMIF(tbl_główna_GRACZE[I. Nazwisko],tbl_zawodnicy_sumy[[#This Row],[I. Nazwisko]],tbl_główna_GRACZE[pts])</f>
        <v>0</v>
      </c>
      <c r="S81" s="11">
        <f t="shared" si="33"/>
        <v>3</v>
      </c>
      <c r="T81" s="4">
        <f t="shared" si="34"/>
        <v>0</v>
      </c>
      <c r="U81" s="4">
        <f t="shared" si="35"/>
        <v>0</v>
      </c>
      <c r="V81" s="4">
        <f t="shared" si="36"/>
        <v>0</v>
      </c>
      <c r="W81" s="4">
        <f>IFERROR(tbl_zawodnicy_sumy[[#This Row],[2pm]]/tbl_zawodnicy_sumy[[#This Row],[2pa]],0)</f>
        <v>0</v>
      </c>
      <c r="X81" s="4">
        <f t="shared" si="37"/>
        <v>0</v>
      </c>
      <c r="Y81" s="4">
        <f t="shared" si="38"/>
        <v>0</v>
      </c>
      <c r="Z81" s="11">
        <f t="shared" si="39"/>
        <v>5</v>
      </c>
      <c r="AA81" s="4">
        <f t="shared" si="40"/>
        <v>0</v>
      </c>
      <c r="AB81" s="4">
        <f t="shared" si="41"/>
        <v>0.5</v>
      </c>
      <c r="AC81" s="26">
        <f>IFERROR((SUMIF(tbl_główna_GRACZE[I. Nazwisko],tbl_zawodnicy_sumy[[#This Row],[I. Nazwisko]],tbl_główna_GRACZE[USG%]))/tbl_zawodnicy_sumy[[#This Row],[Played]],0)</f>
        <v>3.4317089910775568E-2</v>
      </c>
      <c r="AD81" s="25">
        <f>IFERROR(tbl_zawodnicy_sumy[[#This Row],[pts]]*(40/tbl_zawodnicy_sumy[[#This Row],[min]]),0)</f>
        <v>0</v>
      </c>
      <c r="AE81" s="30">
        <f>IFERROR(tbl_zawodnicy_sumy[[#This Row],[reb total]]*(40/tbl_zawodnicy_sumy[[#This Row],[min]]),0)</f>
        <v>13.333333333333334</v>
      </c>
      <c r="AF81" s="30">
        <f>IFERROR(tbl_zawodnicy_sumy[[#This Row],[asst]]*(40/tbl_zawodnicy_sumy[[#This Row],[min]]),0)</f>
        <v>8.8888888888888893</v>
      </c>
      <c r="AG81" s="5">
        <f t="shared" si="42"/>
        <v>0</v>
      </c>
      <c r="AH81" s="5">
        <f>IFERROR((tbl_zawodnicy_sumy[[#This Row],[stl]]+tbl_zawodnicy_sumy[[#This Row],[blk]])*(40/tbl_zawodnicy_sumy[[#This Row],[min]]),0)</f>
        <v>8.8888888888888893</v>
      </c>
      <c r="AI81" s="4">
        <f>IFERROR((SUMIF(tbl_główna_GRACZE[I. Nazwisko],tbl_zawodnicy_sumy[[#This Row],[I. Nazwisko]],tbl_główna_GRACZE[DI]))/tbl_zawodnicy_sumy[[#This Row],[Played]],0)</f>
        <v>0.10526315789473684</v>
      </c>
      <c r="AJ81" s="25">
        <f>tbl_zawodnicy_sumy[[#This Row],[stl]]+tbl_zawodnicy_sumy[[#This Row],[blk]]+(tbl_zawodnicy_sumy[[#This Row],[dreb]]*0.5)</f>
        <v>3.5</v>
      </c>
      <c r="AK81" s="29">
        <f>IFERROR((tbl_zawodnicy_sumy[[#This Row],[stl]]+tbl_zawodnicy_sumy[[#This Row],[blk]]+0.5*tbl_zawodnicy_sumy[[#This Row],[dreb]])/tbl_zawodnicy_sumy[[#This Row],[min]],0)</f>
        <v>0.3888888888888889</v>
      </c>
      <c r="AL81" s="6">
        <f t="shared" si="43"/>
        <v>2.9</v>
      </c>
      <c r="AM81" s="6">
        <f>IFERROR(tbl_zawodnicy_sumy[[#This Row],[GmSc]]*(40/tbl_zawodnicy_sumy[[#This Row],[min]]),0)</f>
        <v>12.888888888888889</v>
      </c>
      <c r="AN81" s="6">
        <f>IFERROR(tbl_zawodnicy_sumy[[#This Row],[EVAL]]*(40/tbl_zawodnicy_sumy[[#This Row],[min]]),0)</f>
        <v>22.222222222222221</v>
      </c>
      <c r="AO81" s="11">
        <f>tbl_zawodnicy_sumy[[#This Row],[fgm]]-tbl_zawodnicy_sumy[[#This Row],[3pm]]</f>
        <v>0</v>
      </c>
      <c r="AP81" s="11">
        <f>tbl_zawodnicy_sumy[[#This Row],[fga]]-tbl_zawodnicy_sumy[[#This Row],[3pa]]</f>
        <v>1</v>
      </c>
      <c r="AQ81">
        <f>SUMIF(tbl_zawodnicy_średnie[I. Nazwisko],tbl_zawodnicy_sumy[[#This Row],[I. Nazwisko]],tbl_zawodnicy_średnie[ID])</f>
        <v>0</v>
      </c>
    </row>
    <row r="82" spans="1:43" x14ac:dyDescent="0.35">
      <c r="A82" s="58" t="s">
        <v>48</v>
      </c>
      <c r="B82" s="58" t="s">
        <v>397</v>
      </c>
      <c r="C82" s="9">
        <f>SUMIF(tbl_główna_GRACZE[I. Nazwisko],tbl_zawodnicy_sumy[[#This Row],[I. Nazwisko]],tbl_główna_GRACZE[Played?])</f>
        <v>2</v>
      </c>
      <c r="D82" s="10">
        <f>SUMIF(tbl_główna_GRACZE[I. Nazwisko],tbl_zawodnicy_sumy[[#This Row],[I. Nazwisko]],tbl_główna_GRACZE[fgm])</f>
        <v>9</v>
      </c>
      <c r="E82" s="10">
        <f>SUMIF(tbl_główna_GRACZE[I. Nazwisko],tbl_zawodnicy_sumy[[#This Row],[I. Nazwisko]],tbl_główna_GRACZE[fga])</f>
        <v>28</v>
      </c>
      <c r="F82" s="10">
        <f>SUMIF(tbl_główna_GRACZE[I. Nazwisko],tbl_zawodnicy_sumy[[#This Row],[I. Nazwisko]],tbl_główna_GRACZE[3pm])</f>
        <v>2</v>
      </c>
      <c r="G82" s="10">
        <f>SUMIF(tbl_główna_GRACZE[I. Nazwisko],tbl_zawodnicy_sumy[[#This Row],[I. Nazwisko]],tbl_główna_GRACZE[3pa])</f>
        <v>10</v>
      </c>
      <c r="H82" s="10">
        <f>SUMIF(tbl_główna_GRACZE[I. Nazwisko],tbl_zawodnicy_sumy[[#This Row],[I. Nazwisko]],tbl_główna_GRACZE[ftm])</f>
        <v>2</v>
      </c>
      <c r="I82" s="10">
        <f>SUMIF(tbl_główna_GRACZE[I. Nazwisko],tbl_zawodnicy_sumy[[#This Row],[I. Nazwisko]],tbl_główna_GRACZE[fta])</f>
        <v>4</v>
      </c>
      <c r="J82" s="10">
        <f>SUMIF(tbl_główna_GRACZE[I. Nazwisko],tbl_zawodnicy_sumy[[#This Row],[I. Nazwisko]],tbl_główna_GRACZE[oreb])</f>
        <v>6</v>
      </c>
      <c r="K82" s="10">
        <f>SUMIF(tbl_główna_GRACZE[I. Nazwisko],tbl_zawodnicy_sumy[[#This Row],[I. Nazwisko]],tbl_główna_GRACZE[dreb])</f>
        <v>3</v>
      </c>
      <c r="L82" s="10">
        <f>SUMIF(tbl_główna_GRACZE[I. Nazwisko],tbl_zawodnicy_sumy[[#This Row],[I. Nazwisko]],tbl_główna_GRACZE[foul])</f>
        <v>3</v>
      </c>
      <c r="M82" s="10">
        <f>SUMIF(tbl_główna_GRACZE[I. Nazwisko],tbl_zawodnicy_sumy[[#This Row],[I. Nazwisko]],tbl_główna_GRACZE[stl])</f>
        <v>6</v>
      </c>
      <c r="N82" s="10">
        <f>SUMIF(tbl_główna_GRACZE[I. Nazwisko],tbl_zawodnicy_sumy[[#This Row],[I. Nazwisko]],tbl_główna_GRACZE[to])</f>
        <v>0</v>
      </c>
      <c r="O82" s="10">
        <f>SUMIF(tbl_główna_GRACZE[I. Nazwisko],tbl_zawodnicy_sumy[[#This Row],[I. Nazwisko]],tbl_główna_GRACZE[blk])</f>
        <v>1</v>
      </c>
      <c r="P82" s="10">
        <f>SUMIF(tbl_główna_GRACZE[I. Nazwisko],tbl_zawodnicy_sumy[[#This Row],[I. Nazwisko]],tbl_główna_GRACZE[asst])</f>
        <v>1</v>
      </c>
      <c r="Q82" s="10">
        <f>SUMIF(tbl_główna_GRACZE[I. Nazwisko],tbl_zawodnicy_sumy[[#This Row],[I. Nazwisko]],tbl_główna_GRACZE[min])</f>
        <v>59</v>
      </c>
      <c r="R82" s="10">
        <f>SUMIF(tbl_główna_GRACZE[I. Nazwisko],tbl_zawodnicy_sumy[[#This Row],[I. Nazwisko]],tbl_główna_GRACZE[pts])</f>
        <v>22</v>
      </c>
      <c r="S82" s="11">
        <f t="shared" si="33"/>
        <v>9</v>
      </c>
      <c r="T82" s="4">
        <f t="shared" si="34"/>
        <v>0.32142857142857145</v>
      </c>
      <c r="U82" s="4">
        <f t="shared" si="35"/>
        <v>0.2</v>
      </c>
      <c r="V82" s="4">
        <f t="shared" si="36"/>
        <v>0.5</v>
      </c>
      <c r="W82" s="4">
        <f>IFERROR(tbl_zawodnicy_sumy[[#This Row],[2pm]]/tbl_zawodnicy_sumy[[#This Row],[2pa]],0)</f>
        <v>0.3888888888888889</v>
      </c>
      <c r="X82" s="4">
        <f t="shared" si="37"/>
        <v>0.3696236559139785</v>
      </c>
      <c r="Y82" s="4">
        <f t="shared" si="38"/>
        <v>0.35714285714285715</v>
      </c>
      <c r="Z82" s="11">
        <f t="shared" si="39"/>
        <v>18</v>
      </c>
      <c r="AA82" s="4">
        <f t="shared" si="40"/>
        <v>0.14285714285714285</v>
      </c>
      <c r="AB82" s="4">
        <f t="shared" si="41"/>
        <v>0.35714285714285715</v>
      </c>
      <c r="AC82" s="26">
        <f>IFERROR((SUMIF(tbl_główna_GRACZE[I. Nazwisko],tbl_zawodnicy_sumy[[#This Row],[I. Nazwisko]],tbl_główna_GRACZE[USG%]))/tbl_zawodnicy_sumy[[#This Row],[Played]],0)</f>
        <v>0.17280573000704047</v>
      </c>
      <c r="AD82" s="25">
        <f>IFERROR(tbl_zawodnicy_sumy[[#This Row],[pts]]*(40/tbl_zawodnicy_sumy[[#This Row],[min]]),0)</f>
        <v>14.915254237288135</v>
      </c>
      <c r="AE82" s="30">
        <f>IFERROR(tbl_zawodnicy_sumy[[#This Row],[reb total]]*(40/tbl_zawodnicy_sumy[[#This Row],[min]]),0)</f>
        <v>6.101694915254237</v>
      </c>
      <c r="AF82" s="30">
        <f>IFERROR(tbl_zawodnicy_sumy[[#This Row],[asst]]*(40/tbl_zawodnicy_sumy[[#This Row],[min]]),0)</f>
        <v>0.67796610169491522</v>
      </c>
      <c r="AG82" s="5">
        <f t="shared" si="42"/>
        <v>0.7857142857142857</v>
      </c>
      <c r="AH82" s="5">
        <f>IFERROR((tbl_zawodnicy_sumy[[#This Row],[stl]]+tbl_zawodnicy_sumy[[#This Row],[blk]])*(40/tbl_zawodnicy_sumy[[#This Row],[min]]),0)</f>
        <v>4.7457627118644066</v>
      </c>
      <c r="AI82" s="4">
        <f>IFERROR((SUMIF(tbl_główna_GRACZE[I. Nazwisko],tbl_zawodnicy_sumy[[#This Row],[I. Nazwisko]],tbl_główna_GRACZE[DI]))/tbl_zawodnicy_sumy[[#This Row],[Played]],0)</f>
        <v>0.15869565217391304</v>
      </c>
      <c r="AJ82" s="25">
        <f>tbl_zawodnicy_sumy[[#This Row],[stl]]+tbl_zawodnicy_sumy[[#This Row],[blk]]+(tbl_zawodnicy_sumy[[#This Row],[dreb]]*0.5)</f>
        <v>8.5</v>
      </c>
      <c r="AK82" s="29">
        <f>IFERROR((tbl_zawodnicy_sumy[[#This Row],[stl]]+tbl_zawodnicy_sumy[[#This Row],[blk]]+0.5*tbl_zawodnicy_sumy[[#This Row],[dreb]])/tbl_zawodnicy_sumy[[#This Row],[min]],0)</f>
        <v>0.1440677966101695</v>
      </c>
      <c r="AL82" s="6">
        <f t="shared" si="43"/>
        <v>17.700000000000003</v>
      </c>
      <c r="AM82" s="6">
        <f>IFERROR(tbl_zawodnicy_sumy[[#This Row],[GmSc]]*(40/tbl_zawodnicy_sumy[[#This Row],[min]]),0)</f>
        <v>12.000000000000002</v>
      </c>
      <c r="AN82" s="6">
        <f>IFERROR(tbl_zawodnicy_sumy[[#This Row],[EVAL]]*(40/tbl_zawodnicy_sumy[[#This Row],[min]]),0)</f>
        <v>12.203389830508474</v>
      </c>
      <c r="AO82" s="11">
        <f>tbl_zawodnicy_sumy[[#This Row],[fgm]]-tbl_zawodnicy_sumy[[#This Row],[3pm]]</f>
        <v>7</v>
      </c>
      <c r="AP82" s="11">
        <f>tbl_zawodnicy_sumy[[#This Row],[fga]]-tbl_zawodnicy_sumy[[#This Row],[3pa]]</f>
        <v>18</v>
      </c>
      <c r="AQ82">
        <f>SUMIF(tbl_zawodnicy_średnie[I. Nazwisko],tbl_zawodnicy_sumy[[#This Row],[I. Nazwisko]],tbl_zawodnicy_średnie[ID])</f>
        <v>0</v>
      </c>
    </row>
    <row r="83" spans="1:43" x14ac:dyDescent="0.35">
      <c r="A83" s="58" t="s">
        <v>19</v>
      </c>
      <c r="B83" s="58" t="s">
        <v>398</v>
      </c>
      <c r="C83" s="9">
        <f>SUMIF(tbl_główna_GRACZE[I. Nazwisko],tbl_zawodnicy_sumy[[#This Row],[I. Nazwisko]],tbl_główna_GRACZE[Played?])</f>
        <v>1</v>
      </c>
      <c r="D83" s="10">
        <f>SUMIF(tbl_główna_GRACZE[I. Nazwisko],tbl_zawodnicy_sumy[[#This Row],[I. Nazwisko]],tbl_główna_GRACZE[fgm])</f>
        <v>5</v>
      </c>
      <c r="E83" s="10">
        <f>SUMIF(tbl_główna_GRACZE[I. Nazwisko],tbl_zawodnicy_sumy[[#This Row],[I. Nazwisko]],tbl_główna_GRACZE[fga])</f>
        <v>11</v>
      </c>
      <c r="F83" s="10">
        <f>SUMIF(tbl_główna_GRACZE[I. Nazwisko],tbl_zawodnicy_sumy[[#This Row],[I. Nazwisko]],tbl_główna_GRACZE[3pm])</f>
        <v>2</v>
      </c>
      <c r="G83" s="10">
        <f>SUMIF(tbl_główna_GRACZE[I. Nazwisko],tbl_zawodnicy_sumy[[#This Row],[I. Nazwisko]],tbl_główna_GRACZE[3pa])</f>
        <v>5</v>
      </c>
      <c r="H83" s="10">
        <f>SUMIF(tbl_główna_GRACZE[I. Nazwisko],tbl_zawodnicy_sumy[[#This Row],[I. Nazwisko]],tbl_główna_GRACZE[ftm])</f>
        <v>1</v>
      </c>
      <c r="I83" s="10">
        <f>SUMIF(tbl_główna_GRACZE[I. Nazwisko],tbl_zawodnicy_sumy[[#This Row],[I. Nazwisko]],tbl_główna_GRACZE[fta])</f>
        <v>2</v>
      </c>
      <c r="J83" s="10">
        <f>SUMIF(tbl_główna_GRACZE[I. Nazwisko],tbl_zawodnicy_sumy[[#This Row],[I. Nazwisko]],tbl_główna_GRACZE[oreb])</f>
        <v>1</v>
      </c>
      <c r="K83" s="10">
        <f>SUMIF(tbl_główna_GRACZE[I. Nazwisko],tbl_zawodnicy_sumy[[#This Row],[I. Nazwisko]],tbl_główna_GRACZE[dreb])</f>
        <v>5</v>
      </c>
      <c r="L83" s="10">
        <f>SUMIF(tbl_główna_GRACZE[I. Nazwisko],tbl_zawodnicy_sumy[[#This Row],[I. Nazwisko]],tbl_główna_GRACZE[foul])</f>
        <v>2</v>
      </c>
      <c r="M83" s="10">
        <f>SUMIF(tbl_główna_GRACZE[I. Nazwisko],tbl_zawodnicy_sumy[[#This Row],[I. Nazwisko]],tbl_główna_GRACZE[stl])</f>
        <v>3</v>
      </c>
      <c r="N83" s="10">
        <f>SUMIF(tbl_główna_GRACZE[I. Nazwisko],tbl_zawodnicy_sumy[[#This Row],[I. Nazwisko]],tbl_główna_GRACZE[to])</f>
        <v>0</v>
      </c>
      <c r="O83" s="10">
        <f>SUMIF(tbl_główna_GRACZE[I. Nazwisko],tbl_zawodnicy_sumy[[#This Row],[I. Nazwisko]],tbl_główna_GRACZE[blk])</f>
        <v>1</v>
      </c>
      <c r="P83" s="10">
        <f>SUMIF(tbl_główna_GRACZE[I. Nazwisko],tbl_zawodnicy_sumy[[#This Row],[I. Nazwisko]],tbl_główna_GRACZE[asst])</f>
        <v>4</v>
      </c>
      <c r="Q83" s="10">
        <f>SUMIF(tbl_główna_GRACZE[I. Nazwisko],tbl_zawodnicy_sumy[[#This Row],[I. Nazwisko]],tbl_główna_GRACZE[min])</f>
        <v>23</v>
      </c>
      <c r="R83" s="10">
        <f>SUMIF(tbl_główna_GRACZE[I. Nazwisko],tbl_zawodnicy_sumy[[#This Row],[I. Nazwisko]],tbl_główna_GRACZE[pts])</f>
        <v>13</v>
      </c>
      <c r="S83" s="11">
        <f t="shared" si="33"/>
        <v>6</v>
      </c>
      <c r="T83" s="4">
        <f t="shared" si="34"/>
        <v>0.45454545454545453</v>
      </c>
      <c r="U83" s="4">
        <f t="shared" si="35"/>
        <v>0.4</v>
      </c>
      <c r="V83" s="4">
        <f t="shared" si="36"/>
        <v>0.5</v>
      </c>
      <c r="W83" s="4">
        <f>IFERROR(tbl_zawodnicy_sumy[[#This Row],[2pm]]/tbl_zawodnicy_sumy[[#This Row],[2pa]],0)</f>
        <v>0.5</v>
      </c>
      <c r="X83" s="4">
        <f t="shared" si="37"/>
        <v>0.54713804713804715</v>
      </c>
      <c r="Y83" s="4">
        <f t="shared" si="38"/>
        <v>0.54545454545454541</v>
      </c>
      <c r="Z83" s="11">
        <f t="shared" si="39"/>
        <v>20</v>
      </c>
      <c r="AA83" s="4">
        <f t="shared" si="40"/>
        <v>0.18181818181818182</v>
      </c>
      <c r="AB83" s="4">
        <f t="shared" si="41"/>
        <v>0.45454545454545453</v>
      </c>
      <c r="AC83" s="26">
        <f>IFERROR((SUMIF(tbl_główna_GRACZE[I. Nazwisko],tbl_zawodnicy_sumy[[#This Row],[I. Nazwisko]],tbl_główna_GRACZE[USG%]))/tbl_zawodnicy_sumy[[#This Row],[Played]],0)</f>
        <v>0.167607223476298</v>
      </c>
      <c r="AD83" s="25">
        <f>IFERROR(tbl_zawodnicy_sumy[[#This Row],[pts]]*(40/tbl_zawodnicy_sumy[[#This Row],[min]]),0)</f>
        <v>22.608695652173914</v>
      </c>
      <c r="AE83" s="30">
        <f>IFERROR(tbl_zawodnicy_sumy[[#This Row],[reb total]]*(40/tbl_zawodnicy_sumy[[#This Row],[min]]),0)</f>
        <v>10.434782608695652</v>
      </c>
      <c r="AF83" s="30">
        <f>IFERROR(tbl_zawodnicy_sumy[[#This Row],[asst]]*(40/tbl_zawodnicy_sumy[[#This Row],[min]]),0)</f>
        <v>6.9565217391304346</v>
      </c>
      <c r="AG83" s="5">
        <f t="shared" si="42"/>
        <v>1.1818181818181819</v>
      </c>
      <c r="AH83" s="5">
        <f>IFERROR((tbl_zawodnicy_sumy[[#This Row],[stl]]+tbl_zawodnicy_sumy[[#This Row],[blk]])*(40/tbl_zawodnicy_sumy[[#This Row],[min]]),0)</f>
        <v>6.9565217391304346</v>
      </c>
      <c r="AI83" s="4">
        <f>IFERROR((SUMIF(tbl_główna_GRACZE[I. Nazwisko],tbl_zawodnicy_sumy[[#This Row],[I. Nazwisko]],tbl_główna_GRACZE[DI]))/tbl_zawodnicy_sumy[[#This Row],[Played]],0)</f>
        <v>0.26666666666666666</v>
      </c>
      <c r="AJ83" s="25">
        <f>tbl_zawodnicy_sumy[[#This Row],[stl]]+tbl_zawodnicy_sumy[[#This Row],[blk]]+(tbl_zawodnicy_sumy[[#This Row],[dreb]]*0.5)</f>
        <v>6.5</v>
      </c>
      <c r="AK83" s="29">
        <f>IFERROR((tbl_zawodnicy_sumy[[#This Row],[stl]]+tbl_zawodnicy_sumy[[#This Row],[blk]]+0.5*tbl_zawodnicy_sumy[[#This Row],[dreb]])/tbl_zawodnicy_sumy[[#This Row],[min]],0)</f>
        <v>0.28260869565217389</v>
      </c>
      <c r="AL83" s="6">
        <f t="shared" si="43"/>
        <v>15.600000000000001</v>
      </c>
      <c r="AM83" s="6">
        <f>IFERROR(tbl_zawodnicy_sumy[[#This Row],[GmSc]]*(40/tbl_zawodnicy_sumy[[#This Row],[min]]),0)</f>
        <v>27.130434782608699</v>
      </c>
      <c r="AN83" s="6">
        <f>IFERROR(tbl_zawodnicy_sumy[[#This Row],[EVAL]]*(40/tbl_zawodnicy_sumy[[#This Row],[min]]),0)</f>
        <v>34.782608695652172</v>
      </c>
      <c r="AO83" s="11">
        <f>tbl_zawodnicy_sumy[[#This Row],[fgm]]-tbl_zawodnicy_sumy[[#This Row],[3pm]]</f>
        <v>3</v>
      </c>
      <c r="AP83" s="11">
        <f>tbl_zawodnicy_sumy[[#This Row],[fga]]-tbl_zawodnicy_sumy[[#This Row],[3pa]]</f>
        <v>6</v>
      </c>
      <c r="AQ83">
        <f>SUMIF(tbl_zawodnicy_średnie[I. Nazwisko],tbl_zawodnicy_sumy[[#This Row],[I. Nazwisko]],tbl_zawodnicy_średnie[ID])</f>
        <v>0</v>
      </c>
    </row>
    <row r="84" spans="1:43" x14ac:dyDescent="0.35">
      <c r="A84" s="58" t="s">
        <v>25</v>
      </c>
      <c r="B84" s="58" t="s">
        <v>399</v>
      </c>
      <c r="C84" s="9">
        <f>SUMIF(tbl_główna_GRACZE[I. Nazwisko],tbl_zawodnicy_sumy[[#This Row],[I. Nazwisko]],tbl_główna_GRACZE[Played?])</f>
        <v>1</v>
      </c>
      <c r="D84" s="10">
        <f>SUMIF(tbl_główna_GRACZE[I. Nazwisko],tbl_zawodnicy_sumy[[#This Row],[I. Nazwisko]],tbl_główna_GRACZE[fgm])</f>
        <v>4</v>
      </c>
      <c r="E84" s="10">
        <f>SUMIF(tbl_główna_GRACZE[I. Nazwisko],tbl_zawodnicy_sumy[[#This Row],[I. Nazwisko]],tbl_główna_GRACZE[fga])</f>
        <v>13</v>
      </c>
      <c r="F84" s="10">
        <f>SUMIF(tbl_główna_GRACZE[I. Nazwisko],tbl_zawodnicy_sumy[[#This Row],[I. Nazwisko]],tbl_główna_GRACZE[3pm])</f>
        <v>0</v>
      </c>
      <c r="G84" s="10">
        <f>SUMIF(tbl_główna_GRACZE[I. Nazwisko],tbl_zawodnicy_sumy[[#This Row],[I. Nazwisko]],tbl_główna_GRACZE[3pa])</f>
        <v>0</v>
      </c>
      <c r="H84" s="10">
        <f>SUMIF(tbl_główna_GRACZE[I. Nazwisko],tbl_zawodnicy_sumy[[#This Row],[I. Nazwisko]],tbl_główna_GRACZE[ftm])</f>
        <v>0</v>
      </c>
      <c r="I84" s="10">
        <f>SUMIF(tbl_główna_GRACZE[I. Nazwisko],tbl_zawodnicy_sumy[[#This Row],[I. Nazwisko]],tbl_główna_GRACZE[fta])</f>
        <v>0</v>
      </c>
      <c r="J84" s="10">
        <f>SUMIF(tbl_główna_GRACZE[I. Nazwisko],tbl_zawodnicy_sumy[[#This Row],[I. Nazwisko]],tbl_główna_GRACZE[oreb])</f>
        <v>2</v>
      </c>
      <c r="K84" s="10">
        <f>SUMIF(tbl_główna_GRACZE[I. Nazwisko],tbl_zawodnicy_sumy[[#This Row],[I. Nazwisko]],tbl_główna_GRACZE[dreb])</f>
        <v>6</v>
      </c>
      <c r="L84" s="10">
        <f>SUMIF(tbl_główna_GRACZE[I. Nazwisko],tbl_zawodnicy_sumy[[#This Row],[I. Nazwisko]],tbl_główna_GRACZE[foul])</f>
        <v>2</v>
      </c>
      <c r="M84" s="10">
        <f>SUMIF(tbl_główna_GRACZE[I. Nazwisko],tbl_zawodnicy_sumy[[#This Row],[I. Nazwisko]],tbl_główna_GRACZE[stl])</f>
        <v>1</v>
      </c>
      <c r="N84" s="10">
        <f>SUMIF(tbl_główna_GRACZE[I. Nazwisko],tbl_zawodnicy_sumy[[#This Row],[I. Nazwisko]],tbl_główna_GRACZE[to])</f>
        <v>0</v>
      </c>
      <c r="O84" s="10">
        <f>SUMIF(tbl_główna_GRACZE[I. Nazwisko],tbl_zawodnicy_sumy[[#This Row],[I. Nazwisko]],tbl_główna_GRACZE[blk])</f>
        <v>2</v>
      </c>
      <c r="P84" s="10">
        <f>SUMIF(tbl_główna_GRACZE[I. Nazwisko],tbl_zawodnicy_sumy[[#This Row],[I. Nazwisko]],tbl_główna_GRACZE[asst])</f>
        <v>5</v>
      </c>
      <c r="Q84" s="10">
        <f>SUMIF(tbl_główna_GRACZE[I. Nazwisko],tbl_zawodnicy_sumy[[#This Row],[I. Nazwisko]],tbl_główna_GRACZE[min])</f>
        <v>40</v>
      </c>
      <c r="R84" s="10">
        <f>SUMIF(tbl_główna_GRACZE[I. Nazwisko],tbl_zawodnicy_sumy[[#This Row],[I. Nazwisko]],tbl_główna_GRACZE[pts])</f>
        <v>8</v>
      </c>
      <c r="S84" s="11">
        <f t="shared" si="33"/>
        <v>8</v>
      </c>
      <c r="T84" s="4">
        <f t="shared" si="34"/>
        <v>0.30769230769230771</v>
      </c>
      <c r="U84" s="4">
        <f t="shared" si="35"/>
        <v>0</v>
      </c>
      <c r="V84" s="4">
        <f t="shared" si="36"/>
        <v>0</v>
      </c>
      <c r="W84" s="4">
        <f>IFERROR(tbl_zawodnicy_sumy[[#This Row],[2pm]]/tbl_zawodnicy_sumy[[#This Row],[2pa]],0)</f>
        <v>0.30769230769230771</v>
      </c>
      <c r="X84" s="4">
        <f t="shared" si="37"/>
        <v>0.30769230769230771</v>
      </c>
      <c r="Y84" s="4">
        <f t="shared" si="38"/>
        <v>0.30769230769230771</v>
      </c>
      <c r="Z84" s="11">
        <f t="shared" si="39"/>
        <v>15</v>
      </c>
      <c r="AA84" s="4">
        <f t="shared" si="40"/>
        <v>0</v>
      </c>
      <c r="AB84" s="4">
        <f t="shared" si="41"/>
        <v>0</v>
      </c>
      <c r="AC84" s="26">
        <f>IFERROR((SUMIF(tbl_główna_GRACZE[I. Nazwisko],tbl_zawodnicy_sumy[[#This Row],[I. Nazwisko]],tbl_główna_GRACZE[USG%]))/tbl_zawodnicy_sumy[[#This Row],[Played]],0)</f>
        <v>0.17926089354660785</v>
      </c>
      <c r="AD84" s="25">
        <f>IFERROR(tbl_zawodnicy_sumy[[#This Row],[pts]]*(40/tbl_zawodnicy_sumy[[#This Row],[min]]),0)</f>
        <v>8</v>
      </c>
      <c r="AE84" s="30">
        <f>IFERROR(tbl_zawodnicy_sumy[[#This Row],[reb total]]*(40/tbl_zawodnicy_sumy[[#This Row],[min]]),0)</f>
        <v>8</v>
      </c>
      <c r="AF84" s="30">
        <f>IFERROR(tbl_zawodnicy_sumy[[#This Row],[asst]]*(40/tbl_zawodnicy_sumy[[#This Row],[min]]),0)</f>
        <v>5</v>
      </c>
      <c r="AG84" s="5">
        <f t="shared" si="42"/>
        <v>0.61538461538461542</v>
      </c>
      <c r="AH84" s="5">
        <f>IFERROR((tbl_zawodnicy_sumy[[#This Row],[stl]]+tbl_zawodnicy_sumy[[#This Row],[blk]])*(40/tbl_zawodnicy_sumy[[#This Row],[min]]),0)</f>
        <v>3</v>
      </c>
      <c r="AI84" s="4">
        <f>IFERROR((SUMIF(tbl_główna_GRACZE[I. Nazwisko],tbl_zawodnicy_sumy[[#This Row],[I. Nazwisko]],tbl_główna_GRACZE[DI]))/tbl_zawodnicy_sumy[[#This Row],[Played]],0)</f>
        <v>0.2</v>
      </c>
      <c r="AJ84" s="25">
        <f>tbl_zawodnicy_sumy[[#This Row],[stl]]+tbl_zawodnicy_sumy[[#This Row],[blk]]+(tbl_zawodnicy_sumy[[#This Row],[dreb]]*0.5)</f>
        <v>6</v>
      </c>
      <c r="AK84" s="29">
        <f>IFERROR((tbl_zawodnicy_sumy[[#This Row],[stl]]+tbl_zawodnicy_sumy[[#This Row],[blk]]+0.5*tbl_zawodnicy_sumy[[#This Row],[dreb]])/tbl_zawodnicy_sumy[[#This Row],[min]],0)</f>
        <v>0.15</v>
      </c>
      <c r="AL84" s="6">
        <f t="shared" si="43"/>
        <v>9.6</v>
      </c>
      <c r="AM84" s="6">
        <f>IFERROR(tbl_zawodnicy_sumy[[#This Row],[GmSc]]*(40/tbl_zawodnicy_sumy[[#This Row],[min]]),0)</f>
        <v>9.6</v>
      </c>
      <c r="AN84" s="6">
        <f>IFERROR(tbl_zawodnicy_sumy[[#This Row],[EVAL]]*(40/tbl_zawodnicy_sumy[[#This Row],[min]]),0)</f>
        <v>15</v>
      </c>
      <c r="AO84" s="11">
        <f>tbl_zawodnicy_sumy[[#This Row],[fgm]]-tbl_zawodnicy_sumy[[#This Row],[3pm]]</f>
        <v>4</v>
      </c>
      <c r="AP84" s="11">
        <f>tbl_zawodnicy_sumy[[#This Row],[fga]]-tbl_zawodnicy_sumy[[#This Row],[3pa]]</f>
        <v>13</v>
      </c>
      <c r="AQ84">
        <f>SUMIF(tbl_zawodnicy_średnie[I. Nazwisko],tbl_zawodnicy_sumy[[#This Row],[I. Nazwisko]],tbl_zawodnicy_średnie[ID])</f>
        <v>0</v>
      </c>
    </row>
    <row r="85" spans="1:43" x14ac:dyDescent="0.35">
      <c r="A85" s="58" t="s">
        <v>25</v>
      </c>
      <c r="B85" s="58" t="s">
        <v>400</v>
      </c>
      <c r="C85" s="9">
        <f>SUMIF(tbl_główna_GRACZE[I. Nazwisko],tbl_zawodnicy_sumy[[#This Row],[I. Nazwisko]],tbl_główna_GRACZE[Played?])</f>
        <v>1</v>
      </c>
      <c r="D85" s="10">
        <f>SUMIF(tbl_główna_GRACZE[I. Nazwisko],tbl_zawodnicy_sumy[[#This Row],[I. Nazwisko]],tbl_główna_GRACZE[fgm])</f>
        <v>0</v>
      </c>
      <c r="E85" s="10">
        <f>SUMIF(tbl_główna_GRACZE[I. Nazwisko],tbl_zawodnicy_sumy[[#This Row],[I. Nazwisko]],tbl_główna_GRACZE[fga])</f>
        <v>2</v>
      </c>
      <c r="F85" s="10">
        <f>SUMIF(tbl_główna_GRACZE[I. Nazwisko],tbl_zawodnicy_sumy[[#This Row],[I. Nazwisko]],tbl_główna_GRACZE[3pm])</f>
        <v>0</v>
      </c>
      <c r="G85" s="10">
        <f>SUMIF(tbl_główna_GRACZE[I. Nazwisko],tbl_zawodnicy_sumy[[#This Row],[I. Nazwisko]],tbl_główna_GRACZE[3pa])</f>
        <v>0</v>
      </c>
      <c r="H85" s="10">
        <f>SUMIF(tbl_główna_GRACZE[I. Nazwisko],tbl_zawodnicy_sumy[[#This Row],[I. Nazwisko]],tbl_główna_GRACZE[ftm])</f>
        <v>0</v>
      </c>
      <c r="I85" s="10">
        <f>SUMIF(tbl_główna_GRACZE[I. Nazwisko],tbl_zawodnicy_sumy[[#This Row],[I. Nazwisko]],tbl_główna_GRACZE[fta])</f>
        <v>0</v>
      </c>
      <c r="J85" s="10">
        <f>SUMIF(tbl_główna_GRACZE[I. Nazwisko],tbl_zawodnicy_sumy[[#This Row],[I. Nazwisko]],tbl_główna_GRACZE[oreb])</f>
        <v>1</v>
      </c>
      <c r="K85" s="10">
        <f>SUMIF(tbl_główna_GRACZE[I. Nazwisko],tbl_zawodnicy_sumy[[#This Row],[I. Nazwisko]],tbl_główna_GRACZE[dreb])</f>
        <v>5</v>
      </c>
      <c r="L85" s="10">
        <f>SUMIF(tbl_główna_GRACZE[I. Nazwisko],tbl_zawodnicy_sumy[[#This Row],[I. Nazwisko]],tbl_główna_GRACZE[foul])</f>
        <v>1</v>
      </c>
      <c r="M85" s="10">
        <f>SUMIF(tbl_główna_GRACZE[I. Nazwisko],tbl_zawodnicy_sumy[[#This Row],[I. Nazwisko]],tbl_główna_GRACZE[stl])</f>
        <v>1</v>
      </c>
      <c r="N85" s="10">
        <f>SUMIF(tbl_główna_GRACZE[I. Nazwisko],tbl_zawodnicy_sumy[[#This Row],[I. Nazwisko]],tbl_główna_GRACZE[to])</f>
        <v>0</v>
      </c>
      <c r="O85" s="10">
        <f>SUMIF(tbl_główna_GRACZE[I. Nazwisko],tbl_zawodnicy_sumy[[#This Row],[I. Nazwisko]],tbl_główna_GRACZE[blk])</f>
        <v>1</v>
      </c>
      <c r="P85" s="10">
        <f>SUMIF(tbl_główna_GRACZE[I. Nazwisko],tbl_zawodnicy_sumy[[#This Row],[I. Nazwisko]],tbl_główna_GRACZE[asst])</f>
        <v>1</v>
      </c>
      <c r="Q85" s="10">
        <f>SUMIF(tbl_główna_GRACZE[I. Nazwisko],tbl_zawodnicy_sumy[[#This Row],[I. Nazwisko]],tbl_główna_GRACZE[min])</f>
        <v>24</v>
      </c>
      <c r="R85" s="10">
        <f>SUMIF(tbl_główna_GRACZE[I. Nazwisko],tbl_zawodnicy_sumy[[#This Row],[I. Nazwisko]],tbl_główna_GRACZE[pts])</f>
        <v>0</v>
      </c>
      <c r="S85" s="11">
        <f t="shared" si="33"/>
        <v>6</v>
      </c>
      <c r="T85" s="4">
        <f t="shared" si="34"/>
        <v>0</v>
      </c>
      <c r="U85" s="4">
        <f t="shared" si="35"/>
        <v>0</v>
      </c>
      <c r="V85" s="4">
        <f t="shared" si="36"/>
        <v>0</v>
      </c>
      <c r="W85" s="4">
        <f>IFERROR(tbl_zawodnicy_sumy[[#This Row],[2pm]]/tbl_zawodnicy_sumy[[#This Row],[2pa]],0)</f>
        <v>0</v>
      </c>
      <c r="X85" s="4">
        <f t="shared" si="37"/>
        <v>0</v>
      </c>
      <c r="Y85" s="4">
        <f t="shared" si="38"/>
        <v>0</v>
      </c>
      <c r="Z85" s="11">
        <f t="shared" si="39"/>
        <v>7</v>
      </c>
      <c r="AA85" s="4">
        <f t="shared" si="40"/>
        <v>0</v>
      </c>
      <c r="AB85" s="4">
        <f t="shared" si="41"/>
        <v>0</v>
      </c>
      <c r="AC85" s="26">
        <f>IFERROR((SUMIF(tbl_główna_GRACZE[I. Nazwisko],tbl_zawodnicy_sumy[[#This Row],[I. Nazwisko]],tbl_główna_GRACZE[USG%]))/tbl_zawodnicy_sumy[[#This Row],[Played]],0)</f>
        <v>2.7578599007170437E-2</v>
      </c>
      <c r="AD85" s="25">
        <f>IFERROR(tbl_zawodnicy_sumy[[#This Row],[pts]]*(40/tbl_zawodnicy_sumy[[#This Row],[min]]),0)</f>
        <v>0</v>
      </c>
      <c r="AE85" s="30">
        <f>IFERROR(tbl_zawodnicy_sumy[[#This Row],[reb total]]*(40/tbl_zawodnicy_sumy[[#This Row],[min]]),0)</f>
        <v>10</v>
      </c>
      <c r="AF85" s="30">
        <f>IFERROR(tbl_zawodnicy_sumy[[#This Row],[asst]]*(40/tbl_zawodnicy_sumy[[#This Row],[min]]),0)</f>
        <v>1.6666666666666667</v>
      </c>
      <c r="AG85" s="5">
        <f t="shared" si="42"/>
        <v>0</v>
      </c>
      <c r="AH85" s="5">
        <f>IFERROR((tbl_zawodnicy_sumy[[#This Row],[stl]]+tbl_zawodnicy_sumy[[#This Row],[blk]])*(40/tbl_zawodnicy_sumy[[#This Row],[min]]),0)</f>
        <v>3.3333333333333335</v>
      </c>
      <c r="AI85" s="4">
        <f>IFERROR((SUMIF(tbl_główna_GRACZE[I. Nazwisko],tbl_zawodnicy_sumy[[#This Row],[I. Nazwisko]],tbl_główna_GRACZE[DI]))/tbl_zawodnicy_sumy[[#This Row],[Played]],0)</f>
        <v>0.13333333333333333</v>
      </c>
      <c r="AJ85" s="25">
        <f>tbl_zawodnicy_sumy[[#This Row],[stl]]+tbl_zawodnicy_sumy[[#This Row],[blk]]+(tbl_zawodnicy_sumy[[#This Row],[dreb]]*0.5)</f>
        <v>4.5</v>
      </c>
      <c r="AK85" s="29">
        <f>IFERROR((tbl_zawodnicy_sumy[[#This Row],[stl]]+tbl_zawodnicy_sumy[[#This Row],[blk]]+0.5*tbl_zawodnicy_sumy[[#This Row],[dreb]])/tbl_zawodnicy_sumy[[#This Row],[min]],0)</f>
        <v>0.1875</v>
      </c>
      <c r="AL85" s="6">
        <f t="shared" si="43"/>
        <v>3.2</v>
      </c>
      <c r="AM85" s="6">
        <f>IFERROR(tbl_zawodnicy_sumy[[#This Row],[GmSc]]*(40/tbl_zawodnicy_sumy[[#This Row],[min]]),0)</f>
        <v>5.3333333333333339</v>
      </c>
      <c r="AN85" s="6">
        <f>IFERROR(tbl_zawodnicy_sumy[[#This Row],[EVAL]]*(40/tbl_zawodnicy_sumy[[#This Row],[min]]),0)</f>
        <v>11.666666666666668</v>
      </c>
      <c r="AO85" s="11">
        <f>tbl_zawodnicy_sumy[[#This Row],[fgm]]-tbl_zawodnicy_sumy[[#This Row],[3pm]]</f>
        <v>0</v>
      </c>
      <c r="AP85" s="11">
        <f>tbl_zawodnicy_sumy[[#This Row],[fga]]-tbl_zawodnicy_sumy[[#This Row],[3pa]]</f>
        <v>2</v>
      </c>
      <c r="AQ85">
        <f>SUMIF(tbl_zawodnicy_średnie[I. Nazwisko],tbl_zawodnicy_sumy[[#This Row],[I. Nazwisko]],tbl_zawodnicy_średnie[ID])</f>
        <v>0</v>
      </c>
    </row>
    <row r="86" spans="1:43" x14ac:dyDescent="0.35">
      <c r="A86" s="58" t="s">
        <v>48</v>
      </c>
      <c r="B86" s="58" t="s">
        <v>406</v>
      </c>
      <c r="C86" s="9">
        <f>SUMIF(tbl_główna_GRACZE[I. Nazwisko],tbl_zawodnicy_sumy[[#This Row],[I. Nazwisko]],tbl_główna_GRACZE[Played?])</f>
        <v>1</v>
      </c>
      <c r="D86" s="10">
        <f>SUMIF(tbl_główna_GRACZE[I. Nazwisko],tbl_zawodnicy_sumy[[#This Row],[I. Nazwisko]],tbl_główna_GRACZE[fgm])</f>
        <v>3</v>
      </c>
      <c r="E86" s="10">
        <f>SUMIF(tbl_główna_GRACZE[I. Nazwisko],tbl_zawodnicy_sumy[[#This Row],[I. Nazwisko]],tbl_główna_GRACZE[fga])</f>
        <v>13</v>
      </c>
      <c r="F86" s="10">
        <f>SUMIF(tbl_główna_GRACZE[I. Nazwisko],tbl_zawodnicy_sumy[[#This Row],[I. Nazwisko]],tbl_główna_GRACZE[3pm])</f>
        <v>1</v>
      </c>
      <c r="G86" s="10">
        <f>SUMIF(tbl_główna_GRACZE[I. Nazwisko],tbl_zawodnicy_sumy[[#This Row],[I. Nazwisko]],tbl_główna_GRACZE[3pa])</f>
        <v>6</v>
      </c>
      <c r="H86" s="10">
        <f>SUMIF(tbl_główna_GRACZE[I. Nazwisko],tbl_zawodnicy_sumy[[#This Row],[I. Nazwisko]],tbl_główna_GRACZE[ftm])</f>
        <v>6</v>
      </c>
      <c r="I86" s="10">
        <f>SUMIF(tbl_główna_GRACZE[I. Nazwisko],tbl_zawodnicy_sumy[[#This Row],[I. Nazwisko]],tbl_główna_GRACZE[fta])</f>
        <v>9</v>
      </c>
      <c r="J86" s="10">
        <f>SUMIF(tbl_główna_GRACZE[I. Nazwisko],tbl_zawodnicy_sumy[[#This Row],[I. Nazwisko]],tbl_główna_GRACZE[oreb])</f>
        <v>7</v>
      </c>
      <c r="K86" s="10">
        <f>SUMIF(tbl_główna_GRACZE[I. Nazwisko],tbl_zawodnicy_sumy[[#This Row],[I. Nazwisko]],tbl_główna_GRACZE[dreb])</f>
        <v>13</v>
      </c>
      <c r="L86" s="10">
        <f>SUMIF(tbl_główna_GRACZE[I. Nazwisko],tbl_zawodnicy_sumy[[#This Row],[I. Nazwisko]],tbl_główna_GRACZE[foul])</f>
        <v>0</v>
      </c>
      <c r="M86" s="10">
        <f>SUMIF(tbl_główna_GRACZE[I. Nazwisko],tbl_zawodnicy_sumy[[#This Row],[I. Nazwisko]],tbl_główna_GRACZE[stl])</f>
        <v>4</v>
      </c>
      <c r="N86" s="10">
        <f>SUMIF(tbl_główna_GRACZE[I. Nazwisko],tbl_zawodnicy_sumy[[#This Row],[I. Nazwisko]],tbl_główna_GRACZE[to])</f>
        <v>0</v>
      </c>
      <c r="O86" s="10">
        <f>SUMIF(tbl_główna_GRACZE[I. Nazwisko],tbl_zawodnicy_sumy[[#This Row],[I. Nazwisko]],tbl_główna_GRACZE[blk])</f>
        <v>2</v>
      </c>
      <c r="P86" s="10">
        <f>SUMIF(tbl_główna_GRACZE[I. Nazwisko],tbl_zawodnicy_sumy[[#This Row],[I. Nazwisko]],tbl_główna_GRACZE[asst])</f>
        <v>2</v>
      </c>
      <c r="Q86" s="10">
        <f>SUMIF(tbl_główna_GRACZE[I. Nazwisko],tbl_zawodnicy_sumy[[#This Row],[I. Nazwisko]],tbl_główna_GRACZE[min])</f>
        <v>29</v>
      </c>
      <c r="R86" s="10">
        <f>SUMIF(tbl_główna_GRACZE[I. Nazwisko],tbl_zawodnicy_sumy[[#This Row],[I. Nazwisko]],tbl_główna_GRACZE[pts])</f>
        <v>13</v>
      </c>
      <c r="S86" s="11">
        <f>J86+K86</f>
        <v>20</v>
      </c>
      <c r="T86" s="4">
        <f>IFERROR(D86/E86,0)</f>
        <v>0.23076923076923078</v>
      </c>
      <c r="U86" s="4">
        <f>IFERROR(F86/G86,0)</f>
        <v>0.16666666666666666</v>
      </c>
      <c r="V86" s="4">
        <f>IFERROR(H86/I86,0)</f>
        <v>0.66666666666666663</v>
      </c>
      <c r="W86" s="4">
        <f>IFERROR(tbl_zawodnicy_sumy[[#This Row],[2pm]]/tbl_zawodnicy_sumy[[#This Row],[2pa]],0)</f>
        <v>0.2857142857142857</v>
      </c>
      <c r="X86" s="4">
        <f>IFERROR(R86/(2*(E86+0.44*I86)),0)</f>
        <v>0.38325471698113206</v>
      </c>
      <c r="Y86" s="4">
        <f>IFERROR((D86+0.5*F86)/E86,0)</f>
        <v>0.26923076923076922</v>
      </c>
      <c r="Z86" s="11">
        <f>M86+O86+P86+R86+S86-(E86-D86)-(I86-H86)</f>
        <v>28</v>
      </c>
      <c r="AA86" s="4">
        <f>IFERROR(I86/E86,0)</f>
        <v>0.69230769230769229</v>
      </c>
      <c r="AB86" s="4">
        <f>IFERROR(G86/E86,0)</f>
        <v>0.46153846153846156</v>
      </c>
      <c r="AC86" s="26">
        <f>IFERROR((SUMIF(tbl_główna_GRACZE[I. Nazwisko],tbl_zawodnicy_sumy[[#This Row],[I. Nazwisko]],tbl_główna_GRACZE[USG%]))/tbl_zawodnicy_sumy[[#This Row],[Played]],0)</f>
        <v>0.17996604414261461</v>
      </c>
      <c r="AD86" s="25">
        <f>IFERROR(tbl_zawodnicy_sumy[[#This Row],[pts]]*(40/tbl_zawodnicy_sumy[[#This Row],[min]]),0)</f>
        <v>17.931034482758623</v>
      </c>
      <c r="AE86" s="30">
        <f>IFERROR(tbl_zawodnicy_sumy[[#This Row],[reb total]]*(40/tbl_zawodnicy_sumy[[#This Row],[min]]),0)</f>
        <v>27.586206896551726</v>
      </c>
      <c r="AF86" s="30">
        <f>IFERROR(tbl_zawodnicy_sumy[[#This Row],[asst]]*(40/tbl_zawodnicy_sumy[[#This Row],[min]]),0)</f>
        <v>2.7586206896551726</v>
      </c>
      <c r="AG86" s="5">
        <f>IFERROR(R86/E86,0)</f>
        <v>1</v>
      </c>
      <c r="AH86" s="5">
        <f>IFERROR((tbl_zawodnicy_sumy[[#This Row],[stl]]+tbl_zawodnicy_sumy[[#This Row],[blk]])*(40/tbl_zawodnicy_sumy[[#This Row],[min]]),0)</f>
        <v>8.2758620689655178</v>
      </c>
      <c r="AI86" s="4">
        <f>IFERROR((SUMIF(tbl_główna_GRACZE[I. Nazwisko],tbl_zawodnicy_sumy[[#This Row],[I. Nazwisko]],tbl_główna_GRACZE[DI]))/tbl_zawodnicy_sumy[[#This Row],[Played]],0)</f>
        <v>0.3</v>
      </c>
      <c r="AJ86" s="25">
        <f>tbl_zawodnicy_sumy[[#This Row],[stl]]+tbl_zawodnicy_sumy[[#This Row],[blk]]+(tbl_zawodnicy_sumy[[#This Row],[dreb]]*0.5)</f>
        <v>12.5</v>
      </c>
      <c r="AK86" s="29">
        <f>IFERROR((tbl_zawodnicy_sumy[[#This Row],[stl]]+tbl_zawodnicy_sumy[[#This Row],[blk]]+0.5*tbl_zawodnicy_sumy[[#This Row],[dreb]])/tbl_zawodnicy_sumy[[#This Row],[min]],0)</f>
        <v>0.43103448275862066</v>
      </c>
      <c r="AL86" s="6">
        <f>R86+0.4*D86-0.7*E86-0.4*(I86-H86)+0.7*J86+0.3*K86+M86+0.7*P86+0.7*O86</f>
        <v>19.499999999999996</v>
      </c>
      <c r="AM86" s="6">
        <f>IFERROR(tbl_zawodnicy_sumy[[#This Row],[GmSc]]*(40/tbl_zawodnicy_sumy[[#This Row],[min]]),0)</f>
        <v>26.896551724137929</v>
      </c>
      <c r="AN86" s="6">
        <f>IFERROR(tbl_zawodnicy_sumy[[#This Row],[EVAL]]*(40/tbl_zawodnicy_sumy[[#This Row],[min]]),0)</f>
        <v>38.620689655172413</v>
      </c>
      <c r="AO86" s="11">
        <f>tbl_zawodnicy_sumy[[#This Row],[fgm]]-tbl_zawodnicy_sumy[[#This Row],[3pm]]</f>
        <v>2</v>
      </c>
      <c r="AP86" s="11">
        <f>tbl_zawodnicy_sumy[[#This Row],[fga]]-tbl_zawodnicy_sumy[[#This Row],[3pa]]</f>
        <v>7</v>
      </c>
      <c r="AQ86">
        <f>SUMIF(tbl_zawodnicy_średnie[I. Nazwisko],tbl_zawodnicy_sumy[[#This Row],[I. Nazwisko]],tbl_zawodnicy_średnie[ID])</f>
        <v>0</v>
      </c>
    </row>
  </sheetData>
  <sheetProtection algorithmName="SHA-512" hashValue="jnAMocaPPthQi7eV5nHMtDehLZyd8NZ0ddsryqYV+RpUa3Z5Bz2YkGnROH2wKj85B0ChbdwRpUl8swTjh6+sgQ==" saltValue="DabJhclTIe8TTKbpnN6pOg==" spinCount="100000" sheet="1" objects="1" scenarios="1"/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3E8F-4C95-44C5-82CC-B9E36B5370D8}">
  <dimension ref="A10:AR78"/>
  <sheetViews>
    <sheetView workbookViewId="0">
      <selection activeCell="AF52" sqref="AF52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4.7265625" customWidth="1"/>
    <col min="9" max="9" width="9.08984375" bestFit="1" customWidth="1"/>
    <col min="38" max="38" width="5.26953125" customWidth="1"/>
    <col min="40" max="40" width="8.1796875" bestFit="1" customWidth="1"/>
    <col min="41" max="41" width="9" customWidth="1"/>
  </cols>
  <sheetData>
    <row r="10" spans="1:44" ht="29" x14ac:dyDescent="0.35">
      <c r="A10" s="8" t="s">
        <v>38</v>
      </c>
      <c r="B10" s="8" t="s">
        <v>112</v>
      </c>
      <c r="C10" s="1" t="s">
        <v>149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2</v>
      </c>
      <c r="K10" s="1" t="s">
        <v>3</v>
      </c>
      <c r="L10" s="1" t="s">
        <v>4</v>
      </c>
      <c r="M10" s="1" t="s">
        <v>5</v>
      </c>
      <c r="N10" s="1" t="s">
        <v>6</v>
      </c>
      <c r="O10" s="1" t="s">
        <v>7</v>
      </c>
      <c r="P10" s="1" t="s">
        <v>8</v>
      </c>
      <c r="Q10" s="1" t="s">
        <v>9</v>
      </c>
      <c r="R10" s="1" t="s">
        <v>10</v>
      </c>
      <c r="S10" s="1" t="s">
        <v>32</v>
      </c>
      <c r="T10" s="3" t="s">
        <v>0</v>
      </c>
      <c r="U10" s="3" t="s">
        <v>33</v>
      </c>
      <c r="V10" s="3" t="s">
        <v>1</v>
      </c>
      <c r="W10" s="3" t="s">
        <v>289</v>
      </c>
      <c r="X10" s="3" t="s">
        <v>34</v>
      </c>
      <c r="Y10" s="3" t="s">
        <v>40</v>
      </c>
      <c r="Z10" s="3" t="s">
        <v>66</v>
      </c>
      <c r="AA10" s="3" t="s">
        <v>60</v>
      </c>
      <c r="AB10" s="3" t="s">
        <v>62</v>
      </c>
      <c r="AC10" s="3" t="s">
        <v>41</v>
      </c>
      <c r="AD10" s="3" t="s">
        <v>118</v>
      </c>
      <c r="AE10" s="3" t="s">
        <v>117</v>
      </c>
      <c r="AF10" s="3" t="s">
        <v>115</v>
      </c>
      <c r="AG10" s="3" t="s">
        <v>65</v>
      </c>
      <c r="AH10" s="3" t="s">
        <v>104</v>
      </c>
      <c r="AI10" s="3" t="s">
        <v>101</v>
      </c>
      <c r="AJ10" s="3" t="s">
        <v>102</v>
      </c>
      <c r="AK10" s="3" t="s">
        <v>107</v>
      </c>
      <c r="AL10" s="3" t="s">
        <v>64</v>
      </c>
      <c r="AM10" s="3" t="s">
        <v>228</v>
      </c>
      <c r="AN10" s="3" t="s">
        <v>229</v>
      </c>
      <c r="AO10" s="3" t="s">
        <v>290</v>
      </c>
      <c r="AP10" s="3" t="s">
        <v>291</v>
      </c>
      <c r="AQ10" s="3" t="s">
        <v>221</v>
      </c>
      <c r="AR10" s="3" t="s">
        <v>236</v>
      </c>
    </row>
    <row r="11" spans="1:44" ht="14.5" customHeight="1" x14ac:dyDescent="0.35">
      <c r="A11" t="s">
        <v>19</v>
      </c>
      <c r="B11" t="s">
        <v>160</v>
      </c>
      <c r="C11" s="9">
        <f>SUMIF(tbl_główna_GRACZE[I. Nazwisko],tbl_zawodnicy_średnie[[#This Row],[I. Nazwisko]],tbl_główna_GRACZE[Played?])</f>
        <v>4</v>
      </c>
      <c r="D11" s="55">
        <f>IFERROR((SUMIF(tbl_główna_GRACZE[I. Nazwisko],tbl_zawodnicy_średnie[[#This Row],[I. Nazwisko]],tbl_główna_GRACZE[fgm]))/tbl_zawodnicy_średnie[[#This Row],[Played]],0)</f>
        <v>5.75</v>
      </c>
      <c r="E11" s="55">
        <f>IFERROR((SUMIF(tbl_główna_GRACZE[I. Nazwisko],tbl_zawodnicy_średnie[[#This Row],[I. Nazwisko]],tbl_główna_GRACZE[fga]))/tbl_zawodnicy_średnie[[#This Row],[Played]],0)</f>
        <v>12.75</v>
      </c>
      <c r="F11" s="55">
        <f>IFERROR((SUMIF(tbl_główna_GRACZE[I. Nazwisko],tbl_zawodnicy_średnie[[#This Row],[I. Nazwisko]],tbl_główna_GRACZE[3pm]))/tbl_zawodnicy_średnie[[#This Row],[Played]],0)</f>
        <v>0.5</v>
      </c>
      <c r="G11" s="55">
        <f>IFERROR((SUMIF(tbl_główna_GRACZE[I. Nazwisko],tbl_zawodnicy_średnie[[#This Row],[I. Nazwisko]],tbl_główna_GRACZE[3pa]))/tbl_zawodnicy_średnie[[#This Row],[Played]],0)</f>
        <v>1.5</v>
      </c>
      <c r="H11" s="55">
        <f>IFERROR((SUMIF(tbl_główna_GRACZE[I. Nazwisko],tbl_zawodnicy_średnie[[#This Row],[I. Nazwisko]],tbl_główna_GRACZE[ftm]))/tbl_zawodnicy_średnie[[#This Row],[Played]],0)</f>
        <v>0.25</v>
      </c>
      <c r="I11" s="55">
        <f>IFERROR((SUMIF(tbl_główna_GRACZE[I. Nazwisko],tbl_zawodnicy_średnie[[#This Row],[I. Nazwisko]],tbl_główna_GRACZE[fta]))/tbl_zawodnicy_średnie[[#This Row],[Played]],0)</f>
        <v>0.5</v>
      </c>
      <c r="J11" s="55">
        <f>IFERROR((SUMIF(tbl_główna_GRACZE[I. Nazwisko],tbl_zawodnicy_średnie[[#This Row],[I. Nazwisko]],tbl_główna_GRACZE[oreb]))/tbl_zawodnicy_średnie[[#This Row],[Played]],0)</f>
        <v>3.75</v>
      </c>
      <c r="K11" s="55">
        <f>IFERROR((SUMIF(tbl_główna_GRACZE[I. Nazwisko],tbl_zawodnicy_średnie[[#This Row],[I. Nazwisko]],tbl_główna_GRACZE[dreb]))/tbl_zawodnicy_średnie[[#This Row],[Played]],0)</f>
        <v>6</v>
      </c>
      <c r="L11" s="55">
        <f>IFERROR((SUMIF(tbl_główna_GRACZE[I. Nazwisko],tbl_zawodnicy_średnie[[#This Row],[I. Nazwisko]],tbl_główna_GRACZE[foul]))/tbl_zawodnicy_średnie[[#This Row],[Played]],0)</f>
        <v>0.75</v>
      </c>
      <c r="M11" s="55">
        <f>IFERROR((SUMIF(tbl_główna_GRACZE[I. Nazwisko],tbl_zawodnicy_średnie[[#This Row],[I. Nazwisko]],tbl_główna_GRACZE[stl]))/tbl_zawodnicy_średnie[[#This Row],[Played]],0)</f>
        <v>0.25</v>
      </c>
      <c r="N11" s="55">
        <f>IFERROR((SUMIF(tbl_główna_GRACZE[I. Nazwisko],tbl_zawodnicy_średnie[[#This Row],[I. Nazwisko]],tbl_główna_GRACZE[to]))/tbl_zawodnicy_średnie[[#This Row],[Played]],0)</f>
        <v>0</v>
      </c>
      <c r="O11" s="55">
        <f>IFERROR((SUMIF(tbl_główna_GRACZE[I. Nazwisko],tbl_zawodnicy_średnie[[#This Row],[I. Nazwisko]],tbl_główna_GRACZE[blk]))/tbl_zawodnicy_średnie[[#This Row],[Played]],0)</f>
        <v>1.25</v>
      </c>
      <c r="P11" s="55">
        <f>IFERROR((SUMIF(tbl_główna_GRACZE[I. Nazwisko],tbl_zawodnicy_średnie[[#This Row],[I. Nazwisko]],tbl_główna_GRACZE[asst]))/tbl_zawodnicy_średnie[[#This Row],[Played]],0)</f>
        <v>0.25</v>
      </c>
      <c r="Q11" s="55">
        <f>IFERROR((SUMIF(tbl_główna_GRACZE[I. Nazwisko],tbl_zawodnicy_średnie[[#This Row],[I. Nazwisko]],tbl_główna_GRACZE[min]))/tbl_zawodnicy_średnie[[#This Row],[Played]],0)</f>
        <v>24</v>
      </c>
      <c r="R11" s="55">
        <f>IFERROR((SUMIF(tbl_główna_GRACZE[I. Nazwisko],tbl_zawodnicy_średnie[[#This Row],[I. Nazwisko]],tbl_główna_GRACZE[pts]))/tbl_zawodnicy_średnie[[#This Row],[Played]],0)</f>
        <v>12.25</v>
      </c>
      <c r="S11" s="6">
        <f>J11+K11</f>
        <v>9.75</v>
      </c>
      <c r="T11" s="4">
        <f t="shared" ref="T11:T42" si="0">IFERROR(D11/E11,0)</f>
        <v>0.45098039215686275</v>
      </c>
      <c r="U11" s="4">
        <f t="shared" ref="U11:U42" si="1">IFERROR(F11/G11,0)</f>
        <v>0.33333333333333331</v>
      </c>
      <c r="V11" s="4">
        <f t="shared" ref="V11:V42" si="2">IFERROR(H11/I11,0)</f>
        <v>0.5</v>
      </c>
      <c r="W11" s="4">
        <f>IFERROR(tbl_zawodnicy_średnie[[#This Row],[2pm]]/tbl_zawodnicy_średnie[[#This Row],[2pa]],0)</f>
        <v>0.46666666666666667</v>
      </c>
      <c r="X11" s="4">
        <f t="shared" ref="X11:X42" si="3">IFERROR(R11/(2*(E11+0.44*I11)),0)</f>
        <v>0.47224363916730916</v>
      </c>
      <c r="Y11" s="4">
        <f t="shared" ref="Y11:Y42" si="4">IFERROR((D11+0.5*F11)/E11,0)</f>
        <v>0.47058823529411764</v>
      </c>
      <c r="Z11" s="6">
        <f>M11+O11+P11+R11+S11-(E11-D11)-(I11-H11)</f>
        <v>16.5</v>
      </c>
      <c r="AA11" s="4">
        <f t="shared" ref="AA11:AA42" si="5">IFERROR(I11/E11,)</f>
        <v>3.9215686274509803E-2</v>
      </c>
      <c r="AB11" s="4">
        <f t="shared" ref="AB11:AB42" si="6">IFERROR(G11/E11,0)</f>
        <v>0.11764705882352941</v>
      </c>
      <c r="AC11" s="26">
        <f>IFERROR((SUMIF(tbl_główna_GRACZE[I. Nazwisko],tbl_zawodnicy_średnie[[#This Row],[I. Nazwisko]],tbl_główna_GRACZE[USG%]))/tbl_zawodnicy_średnie[[#This Row],[Played]],0)</f>
        <v>0.18502710084030766</v>
      </c>
      <c r="AD11" s="25">
        <f>IFERROR(tbl_zawodnicy_średnie[[#This Row],[pts]]*(40/tbl_zawodnicy_średnie[[#This Row],[min]]),0)</f>
        <v>20.416666666666668</v>
      </c>
      <c r="AE11" s="25">
        <f>IFERROR(tbl_zawodnicy_średnie[[#This Row],[reb total]]*(40/tbl_zawodnicy_średnie[[#This Row],[min]]),0)</f>
        <v>16.25</v>
      </c>
      <c r="AF11" s="30">
        <f>IFERROR(tbl_zawodnicy_średnie[[#This Row],[asst]]*(40/tbl_zawodnicy_średnie[[#This Row],[min]]),0)</f>
        <v>0.41666666666666669</v>
      </c>
      <c r="AG11" s="5">
        <f t="shared" ref="AG11:AG42" si="7">IFERROR(R11/E11,0)</f>
        <v>0.96078431372549022</v>
      </c>
      <c r="AH11" s="5">
        <f>IFERROR((tbl_zawodnicy_średnie[[#This Row],[stl]]+tbl_zawodnicy_średnie[[#This Row],[blk]])*(40/tbl_zawodnicy_średnie[[#This Row],[min]]),0)</f>
        <v>2.5</v>
      </c>
      <c r="AI11" s="4">
        <f>IFERROR((SUMIF(tbl_główna_GRACZE[I. Nazwisko],tbl_zawodnicy_średnie[[#This Row],[I. Nazwisko]],tbl_główna_GRACZE[DI]))/tbl_zawodnicy_średnie[[#This Row],[Played]],0)</f>
        <v>0.10833333333333334</v>
      </c>
      <c r="AJ11" s="25">
        <f>tbl_zawodnicy_średnie[[#This Row],[stl]]+tbl_zawodnicy_średnie[[#This Row],[blk]]+(tbl_zawodnicy_średnie[[#This Row],[dreb]]*0.5)</f>
        <v>4.5</v>
      </c>
      <c r="AK11" s="29">
        <f>IFERROR((tbl_zawodnicy_średnie[[#This Row],[stl]]+tbl_zawodnicy_średnie[[#This Row],[blk]]+0.5*tbl_zawodnicy_średnie[[#This Row],[dreb]])/tbl_zawodnicy_średnie[[#This Row],[min]],0)</f>
        <v>0.1875</v>
      </c>
      <c r="AL11" s="6">
        <f t="shared" ref="AL11:AL42" si="8">IFERROR(R11+0.4*D11-0.7*E11-0.4*(I11-H11)+0.7*J11+0.3*K11+M11+0.7*P11+0.7*O11,0)</f>
        <v>11.250000000000004</v>
      </c>
      <c r="AM11" s="6">
        <f>IFERROR(tbl_zawodnicy_średnie[[#This Row],[GmSc]]*(40/tbl_zawodnicy_średnie[[#This Row],[min]]),0)</f>
        <v>18.750000000000007</v>
      </c>
      <c r="AN11" s="6">
        <f>IFERROR(tbl_zawodnicy_średnie[[#This Row],[EVAL]]*(40/tbl_zawodnicy_średnie[[#This Row],[min]]),0)</f>
        <v>27.5</v>
      </c>
      <c r="AO11" s="6">
        <f>tbl_zawodnicy_średnie[[#This Row],[fgm]]-tbl_zawodnicy_średnie[[#This Row],[3pm]]</f>
        <v>5.25</v>
      </c>
      <c r="AP11" s="6">
        <f>tbl_zawodnicy_średnie[[#This Row],[fga]]-tbl_zawodnicy_średnie[[#This Row],[3pa]]</f>
        <v>11.25</v>
      </c>
      <c r="AQ11">
        <v>1</v>
      </c>
      <c r="AR11" s="6" t="str">
        <f>tbl_zawodnicy_średnie[[#This Row],[I. Nazwisko]]&amp;" ["&amp;VLOOKUP(tbl_zawodnicy_średnie[[#This Row],[zespół]],tab_nazwy_zespołów[],2,0)&amp;"]"</f>
        <v>G. Bańkowski [STA]</v>
      </c>
    </row>
    <row r="12" spans="1:44" ht="14.5" customHeight="1" x14ac:dyDescent="0.35">
      <c r="A12" t="s">
        <v>19</v>
      </c>
      <c r="B12" t="s">
        <v>161</v>
      </c>
      <c r="C12" s="9">
        <f>SUMIF(tbl_główna_GRACZE[I. Nazwisko],tbl_zawodnicy_średnie[[#This Row],[I. Nazwisko]],tbl_główna_GRACZE[Played?])</f>
        <v>3</v>
      </c>
      <c r="D12" s="55">
        <f>IFERROR((SUMIF(tbl_główna_GRACZE[I. Nazwisko],tbl_zawodnicy_średnie[[#This Row],[I. Nazwisko]],tbl_główna_GRACZE[fgm]))/tbl_zawodnicy_średnie[[#This Row],[Played]],0)</f>
        <v>2.6666666666666665</v>
      </c>
      <c r="E12" s="55">
        <f>IFERROR((SUMIF(tbl_główna_GRACZE[I. Nazwisko],tbl_zawodnicy_średnie[[#This Row],[I. Nazwisko]],tbl_główna_GRACZE[fga]))/tbl_zawodnicy_średnie[[#This Row],[Played]],0)</f>
        <v>8.6666666666666661</v>
      </c>
      <c r="F12" s="55">
        <f>IFERROR((SUMIF(tbl_główna_GRACZE[I. Nazwisko],tbl_zawodnicy_średnie[[#This Row],[I. Nazwisko]],tbl_główna_GRACZE[3pm]))/tbl_zawodnicy_średnie[[#This Row],[Played]],0)</f>
        <v>0.33333333333333331</v>
      </c>
      <c r="G12" s="55">
        <f>IFERROR((SUMIF(tbl_główna_GRACZE[I. Nazwisko],tbl_zawodnicy_średnie[[#This Row],[I. Nazwisko]],tbl_główna_GRACZE[3pa]))/tbl_zawodnicy_średnie[[#This Row],[Played]],0)</f>
        <v>2.3333333333333335</v>
      </c>
      <c r="H12" s="55">
        <f>IFERROR((SUMIF(tbl_główna_GRACZE[I. Nazwisko],tbl_zawodnicy_średnie[[#This Row],[I. Nazwisko]],tbl_główna_GRACZE[ftm]))/tbl_zawodnicy_średnie[[#This Row],[Played]],0)</f>
        <v>2.6666666666666665</v>
      </c>
      <c r="I12" s="55">
        <f>IFERROR((SUMIF(tbl_główna_GRACZE[I. Nazwisko],tbl_zawodnicy_średnie[[#This Row],[I. Nazwisko]],tbl_główna_GRACZE[fta]))/tbl_zawodnicy_średnie[[#This Row],[Played]],0)</f>
        <v>3.3333333333333335</v>
      </c>
      <c r="J12" s="55">
        <f>IFERROR((SUMIF(tbl_główna_GRACZE[I. Nazwisko],tbl_zawodnicy_średnie[[#This Row],[I. Nazwisko]],tbl_główna_GRACZE[oreb]))/tbl_zawodnicy_średnie[[#This Row],[Played]],0)</f>
        <v>0.66666666666666663</v>
      </c>
      <c r="K12" s="55">
        <f>IFERROR((SUMIF(tbl_główna_GRACZE[I. Nazwisko],tbl_zawodnicy_średnie[[#This Row],[I. Nazwisko]],tbl_główna_GRACZE[dreb]))/tbl_zawodnicy_średnie[[#This Row],[Played]],0)</f>
        <v>4</v>
      </c>
      <c r="L12" s="55">
        <f>IFERROR((SUMIF(tbl_główna_GRACZE[I. Nazwisko],tbl_zawodnicy_średnie[[#This Row],[I. Nazwisko]],tbl_główna_GRACZE[foul]))/tbl_zawodnicy_średnie[[#This Row],[Played]],0)</f>
        <v>0.33333333333333331</v>
      </c>
      <c r="M12" s="55">
        <f>IFERROR((SUMIF(tbl_główna_GRACZE[I. Nazwisko],tbl_zawodnicy_średnie[[#This Row],[I. Nazwisko]],tbl_główna_GRACZE[stl]))/tbl_zawodnicy_średnie[[#This Row],[Played]],0)</f>
        <v>1</v>
      </c>
      <c r="N12" s="55">
        <f>IFERROR((SUMIF(tbl_główna_GRACZE[I. Nazwisko],tbl_zawodnicy_średnie[[#This Row],[I. Nazwisko]],tbl_główna_GRACZE[to]))/tbl_zawodnicy_średnie[[#This Row],[Played]],0)</f>
        <v>0</v>
      </c>
      <c r="O12" s="55">
        <f>IFERROR((SUMIF(tbl_główna_GRACZE[I. Nazwisko],tbl_zawodnicy_średnie[[#This Row],[I. Nazwisko]],tbl_główna_GRACZE[blk]))/tbl_zawodnicy_średnie[[#This Row],[Played]],0)</f>
        <v>0</v>
      </c>
      <c r="P12" s="55">
        <f>IFERROR((SUMIF(tbl_główna_GRACZE[I. Nazwisko],tbl_zawodnicy_średnie[[#This Row],[I. Nazwisko]],tbl_główna_GRACZE[asst]))/tbl_zawodnicy_średnie[[#This Row],[Played]],0)</f>
        <v>3.3333333333333335</v>
      </c>
      <c r="Q12" s="55">
        <f>IFERROR((SUMIF(tbl_główna_GRACZE[I. Nazwisko],tbl_zawodnicy_średnie[[#This Row],[I. Nazwisko]],tbl_główna_GRACZE[min]))/tbl_zawodnicy_średnie[[#This Row],[Played]],0)</f>
        <v>18.666666666666668</v>
      </c>
      <c r="R12" s="55">
        <f>IFERROR((SUMIF(tbl_główna_GRACZE[I. Nazwisko],tbl_zawodnicy_średnie[[#This Row],[I. Nazwisko]],tbl_główna_GRACZE[pts]))/tbl_zawodnicy_średnie[[#This Row],[Played]],0)</f>
        <v>8.3333333333333339</v>
      </c>
      <c r="S12" s="6">
        <f t="shared" ref="S12:S42" si="9">J12+K12</f>
        <v>4.666666666666667</v>
      </c>
      <c r="T12" s="4">
        <f t="shared" si="0"/>
        <v>0.30769230769230771</v>
      </c>
      <c r="U12" s="4">
        <f t="shared" si="1"/>
        <v>0.14285714285714285</v>
      </c>
      <c r="V12" s="4">
        <f t="shared" si="2"/>
        <v>0.79999999999999993</v>
      </c>
      <c r="W12" s="4">
        <f>IFERROR(tbl_zawodnicy_średnie[[#This Row],[2pm]]/tbl_zawodnicy_średnie[[#This Row],[2pa]],0)</f>
        <v>0.36842105263157898</v>
      </c>
      <c r="X12" s="4">
        <f t="shared" si="3"/>
        <v>0.41118421052631582</v>
      </c>
      <c r="Y12" s="4">
        <f t="shared" si="4"/>
        <v>0.32692307692307693</v>
      </c>
      <c r="Z12" s="6">
        <f t="shared" ref="Z12:Z42" si="10">M12+O12+P12+R12+S12-(E12-D12)-(I12-H12)</f>
        <v>10.666666666666668</v>
      </c>
      <c r="AA12" s="4">
        <f t="shared" si="5"/>
        <v>0.38461538461538464</v>
      </c>
      <c r="AB12" s="4">
        <f t="shared" si="6"/>
        <v>0.26923076923076927</v>
      </c>
      <c r="AC12" s="26">
        <f>IFERROR((SUMIF(tbl_główna_GRACZE[I. Nazwisko],tbl_zawodnicy_średnie[[#This Row],[I. Nazwisko]],tbl_główna_GRACZE[USG%]))/tbl_zawodnicy_średnie[[#This Row],[Played]],0)</f>
        <v>0.14458450255435604</v>
      </c>
      <c r="AD12" s="25">
        <f>IFERROR(tbl_zawodnicy_średnie[[#This Row],[pts]]*(40/tbl_zawodnicy_średnie[[#This Row],[min]]),0)</f>
        <v>17.857142857142858</v>
      </c>
      <c r="AE12" s="25">
        <f>IFERROR(tbl_zawodnicy_średnie[[#This Row],[reb total]]*(40/tbl_zawodnicy_średnie[[#This Row],[min]]),0)</f>
        <v>10</v>
      </c>
      <c r="AF12" s="30">
        <f>IFERROR(tbl_zawodnicy_średnie[[#This Row],[asst]]*(40/tbl_zawodnicy_średnie[[#This Row],[min]]),0)</f>
        <v>7.1428571428571432</v>
      </c>
      <c r="AG12" s="5">
        <f t="shared" si="7"/>
        <v>0.96153846153846168</v>
      </c>
      <c r="AH12" s="5">
        <f>IFERROR((tbl_zawodnicy_średnie[[#This Row],[stl]]+tbl_zawodnicy_średnie[[#This Row],[blk]])*(40/tbl_zawodnicy_średnie[[#This Row],[min]]),0)</f>
        <v>2.1428571428571428</v>
      </c>
      <c r="AI12" s="4">
        <f>IFERROR((SUMIF(tbl_główna_GRACZE[I. Nazwisko],tbl_zawodnicy_średnie[[#This Row],[I. Nazwisko]],tbl_główna_GRACZE[DI]))/tbl_zawodnicy_średnie[[#This Row],[Played]],0)</f>
        <v>7.2222222222222229E-2</v>
      </c>
      <c r="AJ12" s="25">
        <f>tbl_zawodnicy_średnie[[#This Row],[stl]]+tbl_zawodnicy_średnie[[#This Row],[blk]]+(tbl_zawodnicy_średnie[[#This Row],[dreb]]*0.5)</f>
        <v>3</v>
      </c>
      <c r="AK12" s="29">
        <f>IFERROR((tbl_zawodnicy_średnie[[#This Row],[stl]]+tbl_zawodnicy_średnie[[#This Row],[blk]]+0.5*tbl_zawodnicy_średnie[[#This Row],[dreb]])/tbl_zawodnicy_średnie[[#This Row],[min]],0)</f>
        <v>0.1607142857142857</v>
      </c>
      <c r="AL12" s="6">
        <f t="shared" si="8"/>
        <v>8.0666666666666682</v>
      </c>
      <c r="AM12" s="6">
        <f>IFERROR(tbl_zawodnicy_średnie[[#This Row],[GmSc]]*(40/tbl_zawodnicy_średnie[[#This Row],[min]]),0)</f>
        <v>17.285714285714288</v>
      </c>
      <c r="AN12" s="6">
        <f>IFERROR(tbl_zawodnicy_średnie[[#This Row],[EVAL]]*(40/tbl_zawodnicy_średnie[[#This Row],[min]]),0)</f>
        <v>22.857142857142858</v>
      </c>
      <c r="AO12" s="6">
        <f>tbl_zawodnicy_średnie[[#This Row],[fgm]]-tbl_zawodnicy_średnie[[#This Row],[3pm]]</f>
        <v>2.333333333333333</v>
      </c>
      <c r="AP12" s="6">
        <f>tbl_zawodnicy_średnie[[#This Row],[fga]]-tbl_zawodnicy_średnie[[#This Row],[3pa]]</f>
        <v>6.3333333333333321</v>
      </c>
      <c r="AQ12">
        <v>2</v>
      </c>
      <c r="AR12" s="6" t="str">
        <f>tbl_zawodnicy_średnie[[#This Row],[I. Nazwisko]]&amp;" ["&amp;VLOOKUP(tbl_zawodnicy_średnie[[#This Row],[zespół]],tab_nazwy_zespołów[],2,0)&amp;"]"</f>
        <v>B. Okaczuk [STA]</v>
      </c>
    </row>
    <row r="13" spans="1:44" ht="14.5" customHeight="1" x14ac:dyDescent="0.35">
      <c r="A13" t="s">
        <v>19</v>
      </c>
      <c r="B13" t="s">
        <v>162</v>
      </c>
      <c r="C13" s="9">
        <f>SUMIF(tbl_główna_GRACZE[I. Nazwisko],tbl_zawodnicy_średnie[[#This Row],[I. Nazwisko]],tbl_główna_GRACZE[Played?])</f>
        <v>4</v>
      </c>
      <c r="D13" s="55">
        <f>IFERROR((SUMIF(tbl_główna_GRACZE[I. Nazwisko],tbl_zawodnicy_średnie[[#This Row],[I. Nazwisko]],tbl_główna_GRACZE[fgm]))/tbl_zawodnicy_średnie[[#This Row],[Played]],0)</f>
        <v>2.75</v>
      </c>
      <c r="E13" s="55">
        <f>IFERROR((SUMIF(tbl_główna_GRACZE[I. Nazwisko],tbl_zawodnicy_średnie[[#This Row],[I. Nazwisko]],tbl_główna_GRACZE[fga]))/tbl_zawodnicy_średnie[[#This Row],[Played]],0)</f>
        <v>11.75</v>
      </c>
      <c r="F13" s="55">
        <f>IFERROR((SUMIF(tbl_główna_GRACZE[I. Nazwisko],tbl_zawodnicy_średnie[[#This Row],[I. Nazwisko]],tbl_główna_GRACZE[3pm]))/tbl_zawodnicy_średnie[[#This Row],[Played]],0)</f>
        <v>1.25</v>
      </c>
      <c r="G13" s="55">
        <f>IFERROR((SUMIF(tbl_główna_GRACZE[I. Nazwisko],tbl_zawodnicy_średnie[[#This Row],[I. Nazwisko]],tbl_główna_GRACZE[3pa]))/tbl_zawodnicy_średnie[[#This Row],[Played]],0)</f>
        <v>6.5</v>
      </c>
      <c r="H13" s="55">
        <f>IFERROR((SUMIF(tbl_główna_GRACZE[I. Nazwisko],tbl_zawodnicy_średnie[[#This Row],[I. Nazwisko]],tbl_główna_GRACZE[ftm]))/tbl_zawodnicy_średnie[[#This Row],[Played]],0)</f>
        <v>0</v>
      </c>
      <c r="I13" s="55">
        <f>IFERROR((SUMIF(tbl_główna_GRACZE[I. Nazwisko],tbl_zawodnicy_średnie[[#This Row],[I. Nazwisko]],tbl_główna_GRACZE[fta]))/tbl_zawodnicy_średnie[[#This Row],[Played]],0)</f>
        <v>0.75</v>
      </c>
      <c r="J13" s="55">
        <f>IFERROR((SUMIF(tbl_główna_GRACZE[I. Nazwisko],tbl_zawodnicy_średnie[[#This Row],[I. Nazwisko]],tbl_główna_GRACZE[oreb]))/tbl_zawodnicy_średnie[[#This Row],[Played]],0)</f>
        <v>2.25</v>
      </c>
      <c r="K13" s="55">
        <f>IFERROR((SUMIF(tbl_główna_GRACZE[I. Nazwisko],tbl_zawodnicy_średnie[[#This Row],[I. Nazwisko]],tbl_główna_GRACZE[dreb]))/tbl_zawodnicy_średnie[[#This Row],[Played]],0)</f>
        <v>4.5</v>
      </c>
      <c r="L13" s="55">
        <f>IFERROR((SUMIF(tbl_główna_GRACZE[I. Nazwisko],tbl_zawodnicy_średnie[[#This Row],[I. Nazwisko]],tbl_główna_GRACZE[foul]))/tbl_zawodnicy_średnie[[#This Row],[Played]],0)</f>
        <v>1.5</v>
      </c>
      <c r="M13" s="55">
        <f>IFERROR((SUMIF(tbl_główna_GRACZE[I. Nazwisko],tbl_zawodnicy_średnie[[#This Row],[I. Nazwisko]],tbl_główna_GRACZE[stl]))/tbl_zawodnicy_średnie[[#This Row],[Played]],0)</f>
        <v>1.5</v>
      </c>
      <c r="N13" s="55">
        <f>IFERROR((SUMIF(tbl_główna_GRACZE[I. Nazwisko],tbl_zawodnicy_średnie[[#This Row],[I. Nazwisko]],tbl_główna_GRACZE[to]))/tbl_zawodnicy_średnie[[#This Row],[Played]],0)</f>
        <v>0</v>
      </c>
      <c r="O13" s="55">
        <f>IFERROR((SUMIF(tbl_główna_GRACZE[I. Nazwisko],tbl_zawodnicy_średnie[[#This Row],[I. Nazwisko]],tbl_główna_GRACZE[blk]))/tbl_zawodnicy_średnie[[#This Row],[Played]],0)</f>
        <v>0.5</v>
      </c>
      <c r="P13" s="55">
        <f>IFERROR((SUMIF(tbl_główna_GRACZE[I. Nazwisko],tbl_zawodnicy_średnie[[#This Row],[I. Nazwisko]],tbl_główna_GRACZE[asst]))/tbl_zawodnicy_średnie[[#This Row],[Played]],0)</f>
        <v>1.75</v>
      </c>
      <c r="Q13" s="55">
        <f>IFERROR((SUMIF(tbl_główna_GRACZE[I. Nazwisko],tbl_zawodnicy_średnie[[#This Row],[I. Nazwisko]],tbl_główna_GRACZE[min]))/tbl_zawodnicy_średnie[[#This Row],[Played]],0)</f>
        <v>25.75</v>
      </c>
      <c r="R13" s="55">
        <f>IFERROR((SUMIF(tbl_główna_GRACZE[I. Nazwisko],tbl_zawodnicy_średnie[[#This Row],[I. Nazwisko]],tbl_główna_GRACZE[pts]))/tbl_zawodnicy_średnie[[#This Row],[Played]],0)</f>
        <v>6.75</v>
      </c>
      <c r="S13" s="6">
        <f t="shared" si="9"/>
        <v>6.75</v>
      </c>
      <c r="T13" s="4">
        <f t="shared" si="0"/>
        <v>0.23404255319148937</v>
      </c>
      <c r="U13" s="4">
        <f t="shared" si="1"/>
        <v>0.19230769230769232</v>
      </c>
      <c r="V13" s="4">
        <f t="shared" si="2"/>
        <v>0</v>
      </c>
      <c r="W13" s="4">
        <f>IFERROR(tbl_zawodnicy_średnie[[#This Row],[2pm]]/tbl_zawodnicy_średnie[[#This Row],[2pa]],0)</f>
        <v>0.2857142857142857</v>
      </c>
      <c r="X13" s="4">
        <f t="shared" si="3"/>
        <v>0.27938741721854304</v>
      </c>
      <c r="Y13" s="4">
        <f t="shared" si="4"/>
        <v>0.28723404255319152</v>
      </c>
      <c r="Z13" s="6">
        <f t="shared" si="10"/>
        <v>7.5</v>
      </c>
      <c r="AA13" s="4">
        <f>IFERROR(I13/E13,)</f>
        <v>6.3829787234042548E-2</v>
      </c>
      <c r="AB13" s="4">
        <f t="shared" si="6"/>
        <v>0.55319148936170215</v>
      </c>
      <c r="AC13" s="26">
        <f>IFERROR((SUMIF(tbl_główna_GRACZE[I. Nazwisko],tbl_zawodnicy_średnie[[#This Row],[I. Nazwisko]],tbl_główna_GRACZE[USG%]))/tbl_zawodnicy_średnie[[#This Row],[Played]],0)</f>
        <v>0.17323318394314144</v>
      </c>
      <c r="AD13" s="25">
        <f>IFERROR(tbl_zawodnicy_średnie[[#This Row],[pts]]*(40/tbl_zawodnicy_średnie[[#This Row],[min]]),0)</f>
        <v>10.485436893203884</v>
      </c>
      <c r="AE13" s="25">
        <f>IFERROR(tbl_zawodnicy_średnie[[#This Row],[reb total]]*(40/tbl_zawodnicy_średnie[[#This Row],[min]]),0)</f>
        <v>10.485436893203884</v>
      </c>
      <c r="AF13" s="30">
        <f>IFERROR(tbl_zawodnicy_średnie[[#This Row],[asst]]*(40/tbl_zawodnicy_średnie[[#This Row],[min]]),0)</f>
        <v>2.7184466019417477</v>
      </c>
      <c r="AG13" s="5">
        <f t="shared" si="7"/>
        <v>0.57446808510638303</v>
      </c>
      <c r="AH13" s="5">
        <f>IFERROR((tbl_zawodnicy_średnie[[#This Row],[stl]]+tbl_zawodnicy_średnie[[#This Row],[blk]])*(40/tbl_zawodnicy_średnie[[#This Row],[min]]),0)</f>
        <v>3.1067961165048543</v>
      </c>
      <c r="AI13" s="4">
        <f>IFERROR((SUMIF(tbl_główna_GRACZE[I. Nazwisko],tbl_zawodnicy_średnie[[#This Row],[I. Nazwisko]],tbl_główna_GRACZE[DI]))/tbl_zawodnicy_średnie[[#This Row],[Played]],0)</f>
        <v>0.16666666666666666</v>
      </c>
      <c r="AJ13" s="25">
        <f>tbl_zawodnicy_średnie[[#This Row],[stl]]+tbl_zawodnicy_średnie[[#This Row],[blk]]+(tbl_zawodnicy_średnie[[#This Row],[dreb]]*0.5)</f>
        <v>4.25</v>
      </c>
      <c r="AK13" s="29">
        <f>IFERROR((tbl_zawodnicy_średnie[[#This Row],[stl]]+tbl_zawodnicy_średnie[[#This Row],[blk]]+0.5*tbl_zawodnicy_średnie[[#This Row],[dreb]])/tbl_zawodnicy_średnie[[#This Row],[min]],0)</f>
        <v>0.1650485436893204</v>
      </c>
      <c r="AL13" s="6">
        <f t="shared" si="8"/>
        <v>5.3249999999999993</v>
      </c>
      <c r="AM13" s="6">
        <f>IFERROR(tbl_zawodnicy_średnie[[#This Row],[GmSc]]*(40/tbl_zawodnicy_średnie[[#This Row],[min]]),0)</f>
        <v>8.2718446601941729</v>
      </c>
      <c r="AN13" s="6">
        <f>IFERROR(tbl_zawodnicy_średnie[[#This Row],[EVAL]]*(40/tbl_zawodnicy_średnie[[#This Row],[min]]),0)</f>
        <v>11.650485436893204</v>
      </c>
      <c r="AO13" s="6">
        <f>tbl_zawodnicy_średnie[[#This Row],[fgm]]-tbl_zawodnicy_średnie[[#This Row],[3pm]]</f>
        <v>1.5</v>
      </c>
      <c r="AP13" s="6">
        <f>tbl_zawodnicy_średnie[[#This Row],[fga]]-tbl_zawodnicy_średnie[[#This Row],[3pa]]</f>
        <v>5.25</v>
      </c>
      <c r="AQ13">
        <v>3</v>
      </c>
      <c r="AR13" s="6" t="str">
        <f>tbl_zawodnicy_średnie[[#This Row],[I. Nazwisko]]&amp;" ["&amp;VLOOKUP(tbl_zawodnicy_średnie[[#This Row],[zespół]],tab_nazwy_zespołów[],2,0)&amp;"]"</f>
        <v>K. Walaszczyk [STA]</v>
      </c>
    </row>
    <row r="14" spans="1:44" ht="14.5" customHeight="1" x14ac:dyDescent="0.35">
      <c r="A14" t="s">
        <v>19</v>
      </c>
      <c r="B14" t="s">
        <v>163</v>
      </c>
      <c r="C14" s="9">
        <f>SUMIF(tbl_główna_GRACZE[I. Nazwisko],tbl_zawodnicy_średnie[[#This Row],[I. Nazwisko]],tbl_główna_GRACZE[Played?])</f>
        <v>4</v>
      </c>
      <c r="D14" s="55">
        <f>IFERROR((SUMIF(tbl_główna_GRACZE[I. Nazwisko],tbl_zawodnicy_średnie[[#This Row],[I. Nazwisko]],tbl_główna_GRACZE[fgm]))/tbl_zawodnicy_średnie[[#This Row],[Played]],0)</f>
        <v>1</v>
      </c>
      <c r="E14" s="55">
        <f>IFERROR((SUMIF(tbl_główna_GRACZE[I. Nazwisko],tbl_zawodnicy_średnie[[#This Row],[I. Nazwisko]],tbl_główna_GRACZE[fga]))/tbl_zawodnicy_średnie[[#This Row],[Played]],0)</f>
        <v>5.75</v>
      </c>
      <c r="F14" s="55">
        <f>IFERROR((SUMIF(tbl_główna_GRACZE[I. Nazwisko],tbl_zawodnicy_średnie[[#This Row],[I. Nazwisko]],tbl_główna_GRACZE[3pm]))/tbl_zawodnicy_średnie[[#This Row],[Played]],0)</f>
        <v>0.25</v>
      </c>
      <c r="G14" s="55">
        <f>IFERROR((SUMIF(tbl_główna_GRACZE[I. Nazwisko],tbl_zawodnicy_średnie[[#This Row],[I. Nazwisko]],tbl_główna_GRACZE[3pa]))/tbl_zawodnicy_średnie[[#This Row],[Played]],0)</f>
        <v>1.5</v>
      </c>
      <c r="H14" s="55">
        <f>IFERROR((SUMIF(tbl_główna_GRACZE[I. Nazwisko],tbl_zawodnicy_średnie[[#This Row],[I. Nazwisko]],tbl_główna_GRACZE[ftm]))/tbl_zawodnicy_średnie[[#This Row],[Played]],0)</f>
        <v>0</v>
      </c>
      <c r="I14" s="55">
        <f>IFERROR((SUMIF(tbl_główna_GRACZE[I. Nazwisko],tbl_zawodnicy_średnie[[#This Row],[I. Nazwisko]],tbl_główna_GRACZE[fta]))/tbl_zawodnicy_średnie[[#This Row],[Played]],0)</f>
        <v>0.25</v>
      </c>
      <c r="J14" s="55">
        <f>IFERROR((SUMIF(tbl_główna_GRACZE[I. Nazwisko],tbl_zawodnicy_średnie[[#This Row],[I. Nazwisko]],tbl_główna_GRACZE[oreb]))/tbl_zawodnicy_średnie[[#This Row],[Played]],0)</f>
        <v>0</v>
      </c>
      <c r="K14" s="55">
        <f>IFERROR((SUMIF(tbl_główna_GRACZE[I. Nazwisko],tbl_zawodnicy_średnie[[#This Row],[I. Nazwisko]],tbl_główna_GRACZE[dreb]))/tbl_zawodnicy_średnie[[#This Row],[Played]],0)</f>
        <v>1.75</v>
      </c>
      <c r="L14" s="55">
        <f>IFERROR((SUMIF(tbl_główna_GRACZE[I. Nazwisko],tbl_zawodnicy_średnie[[#This Row],[I. Nazwisko]],tbl_główna_GRACZE[foul]))/tbl_zawodnicy_średnie[[#This Row],[Played]],0)</f>
        <v>2</v>
      </c>
      <c r="M14" s="55">
        <f>IFERROR((SUMIF(tbl_główna_GRACZE[I. Nazwisko],tbl_zawodnicy_średnie[[#This Row],[I. Nazwisko]],tbl_główna_GRACZE[stl]))/tbl_zawodnicy_średnie[[#This Row],[Played]],0)</f>
        <v>1.5</v>
      </c>
      <c r="N14" s="55">
        <f>IFERROR((SUMIF(tbl_główna_GRACZE[I. Nazwisko],tbl_zawodnicy_średnie[[#This Row],[I. Nazwisko]],tbl_główna_GRACZE[to]))/tbl_zawodnicy_średnie[[#This Row],[Played]],0)</f>
        <v>0</v>
      </c>
      <c r="O14" s="55">
        <f>IFERROR((SUMIF(tbl_główna_GRACZE[I. Nazwisko],tbl_zawodnicy_średnie[[#This Row],[I. Nazwisko]],tbl_główna_GRACZE[blk]))/tbl_zawodnicy_średnie[[#This Row],[Played]],0)</f>
        <v>0</v>
      </c>
      <c r="P14" s="55">
        <f>IFERROR((SUMIF(tbl_główna_GRACZE[I. Nazwisko],tbl_zawodnicy_średnie[[#This Row],[I. Nazwisko]],tbl_główna_GRACZE[asst]))/tbl_zawodnicy_średnie[[#This Row],[Played]],0)</f>
        <v>2.25</v>
      </c>
      <c r="Q14" s="55">
        <f>IFERROR((SUMIF(tbl_główna_GRACZE[I. Nazwisko],tbl_zawodnicy_średnie[[#This Row],[I. Nazwisko]],tbl_główna_GRACZE[min]))/tbl_zawodnicy_średnie[[#This Row],[Played]],0)</f>
        <v>23</v>
      </c>
      <c r="R14" s="55">
        <f>IFERROR((SUMIF(tbl_główna_GRACZE[I. Nazwisko],tbl_zawodnicy_średnie[[#This Row],[I. Nazwisko]],tbl_główna_GRACZE[pts]))/tbl_zawodnicy_średnie[[#This Row],[Played]],0)</f>
        <v>2.25</v>
      </c>
      <c r="S14" s="6">
        <f t="shared" si="9"/>
        <v>1.75</v>
      </c>
      <c r="T14" s="4">
        <f t="shared" si="0"/>
        <v>0.17391304347826086</v>
      </c>
      <c r="U14" s="4">
        <f t="shared" si="1"/>
        <v>0.16666666666666666</v>
      </c>
      <c r="V14" s="4">
        <f t="shared" si="2"/>
        <v>0</v>
      </c>
      <c r="W14" s="4">
        <f>IFERROR(tbl_zawodnicy_średnie[[#This Row],[2pm]]/tbl_zawodnicy_średnie[[#This Row],[2pa]],0)</f>
        <v>0.17647058823529413</v>
      </c>
      <c r="X14" s="4">
        <f t="shared" si="3"/>
        <v>0.19197952218430034</v>
      </c>
      <c r="Y14" s="4">
        <f t="shared" si="4"/>
        <v>0.19565217391304349</v>
      </c>
      <c r="Z14" s="6">
        <f t="shared" si="10"/>
        <v>2.75</v>
      </c>
      <c r="AA14" s="4">
        <f t="shared" si="5"/>
        <v>4.3478260869565216E-2</v>
      </c>
      <c r="AB14" s="4">
        <f t="shared" si="6"/>
        <v>0.2608695652173913</v>
      </c>
      <c r="AC14" s="26">
        <f>IFERROR((SUMIF(tbl_główna_GRACZE[I. Nazwisko],tbl_zawodnicy_średnie[[#This Row],[I. Nazwisko]],tbl_główna_GRACZE[USG%]))/tbl_zawodnicy_średnie[[#This Row],[Played]],0)</f>
        <v>8.4651969735720339E-2</v>
      </c>
      <c r="AD14" s="25">
        <f>IFERROR(tbl_zawodnicy_średnie[[#This Row],[pts]]*(40/tbl_zawodnicy_średnie[[#This Row],[min]]),0)</f>
        <v>3.9130434782608696</v>
      </c>
      <c r="AE14" s="25">
        <f>IFERROR(tbl_zawodnicy_średnie[[#This Row],[reb total]]*(40/tbl_zawodnicy_średnie[[#This Row],[min]]),0)</f>
        <v>3.043478260869565</v>
      </c>
      <c r="AF14" s="30">
        <f>IFERROR(tbl_zawodnicy_średnie[[#This Row],[asst]]*(40/tbl_zawodnicy_średnie[[#This Row],[min]]),0)</f>
        <v>3.9130434782608696</v>
      </c>
      <c r="AG14" s="5">
        <f t="shared" si="7"/>
        <v>0.39130434782608697</v>
      </c>
      <c r="AH14" s="5">
        <f>IFERROR((tbl_zawodnicy_średnie[[#This Row],[stl]]+tbl_zawodnicy_średnie[[#This Row],[blk]])*(40/tbl_zawodnicy_średnie[[#This Row],[min]]),0)</f>
        <v>2.6086956521739131</v>
      </c>
      <c r="AI14" s="4">
        <f>IFERROR((SUMIF(tbl_główna_GRACZE[I. Nazwisko],tbl_zawodnicy_średnie[[#This Row],[I. Nazwisko]],tbl_główna_GRACZE[DI]))/tbl_zawodnicy_średnie[[#This Row],[Played]],0)</f>
        <v>0.14166666666666666</v>
      </c>
      <c r="AJ14" s="25">
        <f>tbl_zawodnicy_średnie[[#This Row],[stl]]+tbl_zawodnicy_średnie[[#This Row],[blk]]+(tbl_zawodnicy_średnie[[#This Row],[dreb]]*0.5)</f>
        <v>2.375</v>
      </c>
      <c r="AK14" s="29">
        <f>IFERROR((tbl_zawodnicy_średnie[[#This Row],[stl]]+tbl_zawodnicy_średnie[[#This Row],[blk]]+0.5*tbl_zawodnicy_średnie[[#This Row],[dreb]])/tbl_zawodnicy_średnie[[#This Row],[min]],0)</f>
        <v>0.10326086956521739</v>
      </c>
      <c r="AL14" s="6">
        <f t="shared" si="8"/>
        <v>2.1250000000000004</v>
      </c>
      <c r="AM14" s="6">
        <f>IFERROR(tbl_zawodnicy_średnie[[#This Row],[GmSc]]*(40/tbl_zawodnicy_średnie[[#This Row],[min]]),0)</f>
        <v>3.6956521739130443</v>
      </c>
      <c r="AN14" s="6">
        <f>IFERROR(tbl_zawodnicy_średnie[[#This Row],[EVAL]]*(40/tbl_zawodnicy_średnie[[#This Row],[min]]),0)</f>
        <v>4.7826086956521738</v>
      </c>
      <c r="AO14" s="6">
        <f>tbl_zawodnicy_średnie[[#This Row],[fgm]]-tbl_zawodnicy_średnie[[#This Row],[3pm]]</f>
        <v>0.75</v>
      </c>
      <c r="AP14" s="6">
        <f>tbl_zawodnicy_średnie[[#This Row],[fga]]-tbl_zawodnicy_średnie[[#This Row],[3pa]]</f>
        <v>4.25</v>
      </c>
      <c r="AQ14">
        <v>4</v>
      </c>
      <c r="AR14" s="6" t="str">
        <f>tbl_zawodnicy_średnie[[#This Row],[I. Nazwisko]]&amp;" ["&amp;VLOOKUP(tbl_zawodnicy_średnie[[#This Row],[zespół]],tab_nazwy_zespołów[],2,0)&amp;"]"</f>
        <v>J. Olszewski [STA]</v>
      </c>
    </row>
    <row r="15" spans="1:44" ht="14.5" customHeight="1" x14ac:dyDescent="0.35">
      <c r="A15" t="s">
        <v>19</v>
      </c>
      <c r="B15" t="s">
        <v>164</v>
      </c>
      <c r="C15" s="9">
        <f>SUMIF(tbl_główna_GRACZE[I. Nazwisko],tbl_zawodnicy_średnie[[#This Row],[I. Nazwisko]],tbl_główna_GRACZE[Played?])</f>
        <v>4</v>
      </c>
      <c r="D15" s="55">
        <f>IFERROR((SUMIF(tbl_główna_GRACZE[I. Nazwisko],tbl_zawodnicy_średnie[[#This Row],[I. Nazwisko]],tbl_główna_GRACZE[fgm]))/tbl_zawodnicy_średnie[[#This Row],[Played]],0)</f>
        <v>0.75</v>
      </c>
      <c r="E15" s="55">
        <f>IFERROR((SUMIF(tbl_główna_GRACZE[I. Nazwisko],tbl_zawodnicy_średnie[[#This Row],[I. Nazwisko]],tbl_główna_GRACZE[fga]))/tbl_zawodnicy_średnie[[#This Row],[Played]],0)</f>
        <v>4.25</v>
      </c>
      <c r="F15" s="55">
        <f>IFERROR((SUMIF(tbl_główna_GRACZE[I. Nazwisko],tbl_zawodnicy_średnie[[#This Row],[I. Nazwisko]],tbl_główna_GRACZE[3pm]))/tbl_zawodnicy_średnie[[#This Row],[Played]],0)</f>
        <v>0.25</v>
      </c>
      <c r="G15" s="55">
        <f>IFERROR((SUMIF(tbl_główna_GRACZE[I. Nazwisko],tbl_zawodnicy_średnie[[#This Row],[I. Nazwisko]],tbl_główna_GRACZE[3pa]))/tbl_zawodnicy_średnie[[#This Row],[Played]],0)</f>
        <v>2.25</v>
      </c>
      <c r="H15" s="55">
        <f>IFERROR((SUMIF(tbl_główna_GRACZE[I. Nazwisko],tbl_zawodnicy_średnie[[#This Row],[I. Nazwisko]],tbl_główna_GRACZE[ftm]))/tbl_zawodnicy_średnie[[#This Row],[Played]],0)</f>
        <v>0</v>
      </c>
      <c r="I15" s="55">
        <f>IFERROR((SUMIF(tbl_główna_GRACZE[I. Nazwisko],tbl_zawodnicy_średnie[[#This Row],[I. Nazwisko]],tbl_główna_GRACZE[fta]))/tbl_zawodnicy_średnie[[#This Row],[Played]],0)</f>
        <v>0</v>
      </c>
      <c r="J15" s="55">
        <f>IFERROR((SUMIF(tbl_główna_GRACZE[I. Nazwisko],tbl_zawodnicy_średnie[[#This Row],[I. Nazwisko]],tbl_główna_GRACZE[oreb]))/tbl_zawodnicy_średnie[[#This Row],[Played]],0)</f>
        <v>1</v>
      </c>
      <c r="K15" s="55">
        <f>IFERROR((SUMIF(tbl_główna_GRACZE[I. Nazwisko],tbl_zawodnicy_średnie[[#This Row],[I. Nazwisko]],tbl_główna_GRACZE[dreb]))/tbl_zawodnicy_średnie[[#This Row],[Played]],0)</f>
        <v>0.25</v>
      </c>
      <c r="L15" s="55">
        <f>IFERROR((SUMIF(tbl_główna_GRACZE[I. Nazwisko],tbl_zawodnicy_średnie[[#This Row],[I. Nazwisko]],tbl_główna_GRACZE[foul]))/tbl_zawodnicy_średnie[[#This Row],[Played]],0)</f>
        <v>0.25</v>
      </c>
      <c r="M15" s="55">
        <f>IFERROR((SUMIF(tbl_główna_GRACZE[I. Nazwisko],tbl_zawodnicy_średnie[[#This Row],[I. Nazwisko]],tbl_główna_GRACZE[stl]))/tbl_zawodnicy_średnie[[#This Row],[Played]],0)</f>
        <v>0.5</v>
      </c>
      <c r="N15" s="55">
        <f>IFERROR((SUMIF(tbl_główna_GRACZE[I. Nazwisko],tbl_zawodnicy_średnie[[#This Row],[I. Nazwisko]],tbl_główna_GRACZE[to]))/tbl_zawodnicy_średnie[[#This Row],[Played]],0)</f>
        <v>0</v>
      </c>
      <c r="O15" s="55">
        <f>IFERROR((SUMIF(tbl_główna_GRACZE[I. Nazwisko],tbl_zawodnicy_średnie[[#This Row],[I. Nazwisko]],tbl_główna_GRACZE[blk]))/tbl_zawodnicy_średnie[[#This Row],[Played]],0)</f>
        <v>0.25</v>
      </c>
      <c r="P15" s="55">
        <f>IFERROR((SUMIF(tbl_główna_GRACZE[I. Nazwisko],tbl_zawodnicy_średnie[[#This Row],[I. Nazwisko]],tbl_główna_GRACZE[asst]))/tbl_zawodnicy_średnie[[#This Row],[Played]],0)</f>
        <v>0.25</v>
      </c>
      <c r="Q15" s="55">
        <f>IFERROR((SUMIF(tbl_główna_GRACZE[I. Nazwisko],tbl_zawodnicy_średnie[[#This Row],[I. Nazwisko]],tbl_główna_GRACZE[min]))/tbl_zawodnicy_średnie[[#This Row],[Played]],0)</f>
        <v>16</v>
      </c>
      <c r="R15" s="55">
        <f>IFERROR((SUMIF(tbl_główna_GRACZE[I. Nazwisko],tbl_zawodnicy_średnie[[#This Row],[I. Nazwisko]],tbl_główna_GRACZE[pts]))/tbl_zawodnicy_średnie[[#This Row],[Played]],0)</f>
        <v>1.75</v>
      </c>
      <c r="S15" s="6">
        <f t="shared" si="9"/>
        <v>1.25</v>
      </c>
      <c r="T15" s="4">
        <f t="shared" si="0"/>
        <v>0.17647058823529413</v>
      </c>
      <c r="U15" s="4">
        <f t="shared" si="1"/>
        <v>0.1111111111111111</v>
      </c>
      <c r="V15" s="4">
        <f t="shared" si="2"/>
        <v>0</v>
      </c>
      <c r="W15" s="4">
        <f>IFERROR(tbl_zawodnicy_średnie[[#This Row],[2pm]]/tbl_zawodnicy_średnie[[#This Row],[2pa]],0)</f>
        <v>0.25</v>
      </c>
      <c r="X15" s="4">
        <f t="shared" si="3"/>
        <v>0.20588235294117646</v>
      </c>
      <c r="Y15" s="4">
        <f t="shared" si="4"/>
        <v>0.20588235294117646</v>
      </c>
      <c r="Z15" s="6">
        <f t="shared" si="10"/>
        <v>0.5</v>
      </c>
      <c r="AA15" s="4">
        <f t="shared" si="5"/>
        <v>0</v>
      </c>
      <c r="AB15" s="4">
        <f t="shared" si="6"/>
        <v>0.52941176470588236</v>
      </c>
      <c r="AC15" s="26">
        <f>IFERROR((SUMIF(tbl_główna_GRACZE[I. Nazwisko],tbl_zawodnicy_średnie[[#This Row],[I. Nazwisko]],tbl_główna_GRACZE[USG%]))/tbl_zawodnicy_średnie[[#This Row],[Played]],0)</f>
        <v>6.0243722227782591E-2</v>
      </c>
      <c r="AD15" s="25">
        <f>IFERROR(tbl_zawodnicy_średnie[[#This Row],[pts]]*(40/tbl_zawodnicy_średnie[[#This Row],[min]]),0)</f>
        <v>4.375</v>
      </c>
      <c r="AE15" s="25">
        <f>IFERROR(tbl_zawodnicy_średnie[[#This Row],[reb total]]*(40/tbl_zawodnicy_średnie[[#This Row],[min]]),0)</f>
        <v>3.125</v>
      </c>
      <c r="AF15" s="30">
        <f>IFERROR(tbl_zawodnicy_średnie[[#This Row],[asst]]*(40/tbl_zawodnicy_średnie[[#This Row],[min]]),0)</f>
        <v>0.625</v>
      </c>
      <c r="AG15" s="5">
        <f t="shared" si="7"/>
        <v>0.41176470588235292</v>
      </c>
      <c r="AH15" s="5">
        <f>IFERROR((tbl_zawodnicy_średnie[[#This Row],[stl]]+tbl_zawodnicy_średnie[[#This Row],[blk]])*(40/tbl_zawodnicy_średnie[[#This Row],[min]]),0)</f>
        <v>1.875</v>
      </c>
      <c r="AI15" s="4">
        <f>IFERROR((SUMIF(tbl_główna_GRACZE[I. Nazwisko],tbl_zawodnicy_średnie[[#This Row],[I. Nazwisko]],tbl_główna_GRACZE[DI]))/tbl_zawodnicy_średnie[[#This Row],[Played]],0)</f>
        <v>7.4999999999999997E-2</v>
      </c>
      <c r="AJ15" s="25">
        <f>tbl_zawodnicy_średnie[[#This Row],[stl]]+tbl_zawodnicy_średnie[[#This Row],[blk]]+(tbl_zawodnicy_średnie[[#This Row],[dreb]]*0.5)</f>
        <v>0.875</v>
      </c>
      <c r="AK15" s="29">
        <f>IFERROR((tbl_zawodnicy_średnie[[#This Row],[stl]]+tbl_zawodnicy_średnie[[#This Row],[blk]]+0.5*tbl_zawodnicy_średnie[[#This Row],[dreb]])/tbl_zawodnicy_średnie[[#This Row],[min]],0)</f>
        <v>5.46875E-2</v>
      </c>
      <c r="AL15" s="6">
        <f t="shared" si="8"/>
        <v>0.70000000000000018</v>
      </c>
      <c r="AM15" s="6">
        <f>IFERROR(tbl_zawodnicy_średnie[[#This Row],[GmSc]]*(40/tbl_zawodnicy_średnie[[#This Row],[min]]),0)</f>
        <v>1.7500000000000004</v>
      </c>
      <c r="AN15" s="6">
        <f>IFERROR(tbl_zawodnicy_średnie[[#This Row],[EVAL]]*(40/tbl_zawodnicy_średnie[[#This Row],[min]]),0)</f>
        <v>1.25</v>
      </c>
      <c r="AO15" s="6">
        <f>tbl_zawodnicy_średnie[[#This Row],[fgm]]-tbl_zawodnicy_średnie[[#This Row],[3pm]]</f>
        <v>0.5</v>
      </c>
      <c r="AP15" s="6">
        <f>tbl_zawodnicy_średnie[[#This Row],[fga]]-tbl_zawodnicy_średnie[[#This Row],[3pa]]</f>
        <v>2</v>
      </c>
      <c r="AQ15">
        <v>5</v>
      </c>
      <c r="AR15" s="6" t="str">
        <f>tbl_zawodnicy_średnie[[#This Row],[I. Nazwisko]]&amp;" ["&amp;VLOOKUP(tbl_zawodnicy_średnie[[#This Row],[zespół]],tab_nazwy_zespołów[],2,0)&amp;"]"</f>
        <v>S. Mrożek [STA]</v>
      </c>
    </row>
    <row r="16" spans="1:44" ht="14.5" customHeight="1" x14ac:dyDescent="0.35">
      <c r="A16" t="s">
        <v>19</v>
      </c>
      <c r="B16" t="s">
        <v>165</v>
      </c>
      <c r="C16" s="9">
        <f>SUMIF(tbl_główna_GRACZE[I. Nazwisko],tbl_zawodnicy_średnie[[#This Row],[I. Nazwisko]],tbl_główna_GRACZE[Played?])</f>
        <v>4</v>
      </c>
      <c r="D16" s="55">
        <f>IFERROR((SUMIF(tbl_główna_GRACZE[I. Nazwisko],tbl_zawodnicy_średnie[[#This Row],[I. Nazwisko]],tbl_główna_GRACZE[fgm]))/tbl_zawodnicy_średnie[[#This Row],[Played]],0)</f>
        <v>1.25</v>
      </c>
      <c r="E16" s="55">
        <f>IFERROR((SUMIF(tbl_główna_GRACZE[I. Nazwisko],tbl_zawodnicy_średnie[[#This Row],[I. Nazwisko]],tbl_główna_GRACZE[fga]))/tbl_zawodnicy_średnie[[#This Row],[Played]],0)</f>
        <v>5.5</v>
      </c>
      <c r="F16" s="55">
        <f>IFERROR((SUMIF(tbl_główna_GRACZE[I. Nazwisko],tbl_zawodnicy_średnie[[#This Row],[I. Nazwisko]],tbl_główna_GRACZE[3pm]))/tbl_zawodnicy_średnie[[#This Row],[Played]],0)</f>
        <v>0</v>
      </c>
      <c r="G16" s="55">
        <f>IFERROR((SUMIF(tbl_główna_GRACZE[I. Nazwisko],tbl_zawodnicy_średnie[[#This Row],[I. Nazwisko]],tbl_główna_GRACZE[3pa]))/tbl_zawodnicy_średnie[[#This Row],[Played]],0)</f>
        <v>1.25</v>
      </c>
      <c r="H16" s="55">
        <f>IFERROR((SUMIF(tbl_główna_GRACZE[I. Nazwisko],tbl_zawodnicy_średnie[[#This Row],[I. Nazwisko]],tbl_główna_GRACZE[ftm]))/tbl_zawodnicy_średnie[[#This Row],[Played]],0)</f>
        <v>0</v>
      </c>
      <c r="I16" s="55">
        <f>IFERROR((SUMIF(tbl_główna_GRACZE[I. Nazwisko],tbl_zawodnicy_średnie[[#This Row],[I. Nazwisko]],tbl_główna_GRACZE[fta]))/tbl_zawodnicy_średnie[[#This Row],[Played]],0)</f>
        <v>0</v>
      </c>
      <c r="J16" s="55">
        <f>IFERROR((SUMIF(tbl_główna_GRACZE[I. Nazwisko],tbl_zawodnicy_średnie[[#This Row],[I. Nazwisko]],tbl_główna_GRACZE[oreb]))/tbl_zawodnicy_średnie[[#This Row],[Played]],0)</f>
        <v>1.5</v>
      </c>
      <c r="K16" s="55">
        <f>IFERROR((SUMIF(tbl_główna_GRACZE[I. Nazwisko],tbl_zawodnicy_średnie[[#This Row],[I. Nazwisko]],tbl_główna_GRACZE[dreb]))/tbl_zawodnicy_średnie[[#This Row],[Played]],0)</f>
        <v>3</v>
      </c>
      <c r="L16" s="55">
        <f>IFERROR((SUMIF(tbl_główna_GRACZE[I. Nazwisko],tbl_zawodnicy_średnie[[#This Row],[I. Nazwisko]],tbl_główna_GRACZE[foul]))/tbl_zawodnicy_średnie[[#This Row],[Played]],0)</f>
        <v>0.75</v>
      </c>
      <c r="M16" s="55">
        <f>IFERROR((SUMIF(tbl_główna_GRACZE[I. Nazwisko],tbl_zawodnicy_średnie[[#This Row],[I. Nazwisko]],tbl_główna_GRACZE[stl]))/tbl_zawodnicy_średnie[[#This Row],[Played]],0)</f>
        <v>1</v>
      </c>
      <c r="N16" s="55">
        <f>IFERROR((SUMIF(tbl_główna_GRACZE[I. Nazwisko],tbl_zawodnicy_średnie[[#This Row],[I. Nazwisko]],tbl_główna_GRACZE[to]))/tbl_zawodnicy_średnie[[#This Row],[Played]],0)</f>
        <v>0</v>
      </c>
      <c r="O16" s="55">
        <f>IFERROR((SUMIF(tbl_główna_GRACZE[I. Nazwisko],tbl_zawodnicy_średnie[[#This Row],[I. Nazwisko]],tbl_główna_GRACZE[blk]))/tbl_zawodnicy_średnie[[#This Row],[Played]],0)</f>
        <v>0.25</v>
      </c>
      <c r="P16" s="55">
        <f>IFERROR((SUMIF(tbl_główna_GRACZE[I. Nazwisko],tbl_zawodnicy_średnie[[#This Row],[I. Nazwisko]],tbl_główna_GRACZE[asst]))/tbl_zawodnicy_średnie[[#This Row],[Played]],0)</f>
        <v>1</v>
      </c>
      <c r="Q16" s="55">
        <f>IFERROR((SUMIF(tbl_główna_GRACZE[I. Nazwisko],tbl_zawodnicy_średnie[[#This Row],[I. Nazwisko]],tbl_główna_GRACZE[min]))/tbl_zawodnicy_średnie[[#This Row],[Played]],0)</f>
        <v>18.5</v>
      </c>
      <c r="R16" s="55">
        <f>IFERROR((SUMIF(tbl_główna_GRACZE[I. Nazwisko],tbl_zawodnicy_średnie[[#This Row],[I. Nazwisko]],tbl_główna_GRACZE[pts]))/tbl_zawodnicy_średnie[[#This Row],[Played]],0)</f>
        <v>2.5</v>
      </c>
      <c r="S16" s="6">
        <f t="shared" si="9"/>
        <v>4.5</v>
      </c>
      <c r="T16" s="4">
        <f t="shared" si="0"/>
        <v>0.22727272727272727</v>
      </c>
      <c r="U16" s="4">
        <f t="shared" si="1"/>
        <v>0</v>
      </c>
      <c r="V16" s="4">
        <f t="shared" si="2"/>
        <v>0</v>
      </c>
      <c r="W16" s="4">
        <f>IFERROR(tbl_zawodnicy_średnie[[#This Row],[2pm]]/tbl_zawodnicy_średnie[[#This Row],[2pa]],0)</f>
        <v>0.29411764705882354</v>
      </c>
      <c r="X16" s="4">
        <f t="shared" si="3"/>
        <v>0.22727272727272727</v>
      </c>
      <c r="Y16" s="4">
        <f t="shared" si="4"/>
        <v>0.22727272727272727</v>
      </c>
      <c r="Z16" s="6">
        <f t="shared" si="10"/>
        <v>5</v>
      </c>
      <c r="AA16" s="4">
        <f t="shared" si="5"/>
        <v>0</v>
      </c>
      <c r="AB16" s="4">
        <f t="shared" si="6"/>
        <v>0.22727272727272727</v>
      </c>
      <c r="AC16" s="26">
        <f>IFERROR((SUMIF(tbl_główna_GRACZE[I. Nazwisko],tbl_zawodnicy_średnie[[#This Row],[I. Nazwisko]],tbl_główna_GRACZE[USG%]))/tbl_zawodnicy_średnie[[#This Row],[Played]],0)</f>
        <v>7.9041122273769748E-2</v>
      </c>
      <c r="AD16" s="25">
        <f>IFERROR(tbl_zawodnicy_średnie[[#This Row],[pts]]*(40/tbl_zawodnicy_średnie[[#This Row],[min]]),0)</f>
        <v>5.4054054054054053</v>
      </c>
      <c r="AE16" s="25">
        <f>IFERROR(tbl_zawodnicy_średnie[[#This Row],[reb total]]*(40/tbl_zawodnicy_średnie[[#This Row],[min]]),0)</f>
        <v>9.7297297297297298</v>
      </c>
      <c r="AF16" s="30">
        <f>IFERROR(tbl_zawodnicy_średnie[[#This Row],[asst]]*(40/tbl_zawodnicy_średnie[[#This Row],[min]]),0)</f>
        <v>2.1621621621621623</v>
      </c>
      <c r="AG16" s="5">
        <f t="shared" si="7"/>
        <v>0.45454545454545453</v>
      </c>
      <c r="AH16" s="5">
        <f>IFERROR((tbl_zawodnicy_średnie[[#This Row],[stl]]+tbl_zawodnicy_średnie[[#This Row],[blk]])*(40/tbl_zawodnicy_średnie[[#This Row],[min]]),0)</f>
        <v>2.7027027027027026</v>
      </c>
      <c r="AI16" s="4">
        <f>IFERROR((SUMIF(tbl_główna_GRACZE[I. Nazwisko],tbl_zawodnicy_średnie[[#This Row],[I. Nazwisko]],tbl_główna_GRACZE[DI]))/tbl_zawodnicy_średnie[[#This Row],[Played]],0)</f>
        <v>0.11249999999999999</v>
      </c>
      <c r="AJ16" s="25">
        <f>tbl_zawodnicy_średnie[[#This Row],[stl]]+tbl_zawodnicy_średnie[[#This Row],[blk]]+(tbl_zawodnicy_średnie[[#This Row],[dreb]]*0.5)</f>
        <v>2.75</v>
      </c>
      <c r="AK16" s="29">
        <f>IFERROR((tbl_zawodnicy_średnie[[#This Row],[stl]]+tbl_zawodnicy_średnie[[#This Row],[blk]]+0.5*tbl_zawodnicy_średnie[[#This Row],[dreb]])/tbl_zawodnicy_średnie[[#This Row],[min]],0)</f>
        <v>0.14864864864864866</v>
      </c>
      <c r="AL16" s="6">
        <f t="shared" si="8"/>
        <v>2.9749999999999996</v>
      </c>
      <c r="AM16" s="6">
        <f>IFERROR(tbl_zawodnicy_średnie[[#This Row],[GmSc]]*(40/tbl_zawodnicy_średnie[[#This Row],[min]]),0)</f>
        <v>6.4324324324324325</v>
      </c>
      <c r="AN16" s="6">
        <f>IFERROR(tbl_zawodnicy_średnie[[#This Row],[EVAL]]*(40/tbl_zawodnicy_średnie[[#This Row],[min]]),0)</f>
        <v>10.810810810810811</v>
      </c>
      <c r="AO16" s="6">
        <f>tbl_zawodnicy_średnie[[#This Row],[fgm]]-tbl_zawodnicy_średnie[[#This Row],[3pm]]</f>
        <v>1.25</v>
      </c>
      <c r="AP16" s="6">
        <f>tbl_zawodnicy_średnie[[#This Row],[fga]]-tbl_zawodnicy_średnie[[#This Row],[3pa]]</f>
        <v>4.25</v>
      </c>
      <c r="AQ16">
        <v>6</v>
      </c>
      <c r="AR16" s="6" t="str">
        <f>tbl_zawodnicy_średnie[[#This Row],[I. Nazwisko]]&amp;" ["&amp;VLOOKUP(tbl_zawodnicy_średnie[[#This Row],[zespół]],tab_nazwy_zespołów[],2,0)&amp;"]"</f>
        <v>M. Burczyński [STA]</v>
      </c>
    </row>
    <row r="17" spans="1:44" ht="14.5" customHeight="1" x14ac:dyDescent="0.35">
      <c r="A17" t="s">
        <v>19</v>
      </c>
      <c r="B17" t="s">
        <v>414</v>
      </c>
      <c r="C17" s="9">
        <f>SUMIF(tbl_główna_GRACZE[I. Nazwisko],tbl_zawodnicy_średnie[[#This Row],[I. Nazwisko]],tbl_główna_GRACZE[Played?])</f>
        <v>4</v>
      </c>
      <c r="D17" s="55">
        <f>IFERROR((SUMIF(tbl_główna_GRACZE[I. Nazwisko],tbl_zawodnicy_średnie[[#This Row],[I. Nazwisko]],tbl_główna_GRACZE[fgm]))/tbl_zawodnicy_średnie[[#This Row],[Played]],0)</f>
        <v>0.25</v>
      </c>
      <c r="E17" s="55">
        <f>IFERROR((SUMIF(tbl_główna_GRACZE[I. Nazwisko],tbl_zawodnicy_średnie[[#This Row],[I. Nazwisko]],tbl_główna_GRACZE[fga]))/tbl_zawodnicy_średnie[[#This Row],[Played]],0)</f>
        <v>1.75</v>
      </c>
      <c r="F17" s="55">
        <f>IFERROR((SUMIF(tbl_główna_GRACZE[I. Nazwisko],tbl_zawodnicy_średnie[[#This Row],[I. Nazwisko]],tbl_główna_GRACZE[3pm]))/tbl_zawodnicy_średnie[[#This Row],[Played]],0)</f>
        <v>0</v>
      </c>
      <c r="G17" s="55">
        <f>IFERROR((SUMIF(tbl_główna_GRACZE[I. Nazwisko],tbl_zawodnicy_średnie[[#This Row],[I. Nazwisko]],tbl_główna_GRACZE[3pa]))/tbl_zawodnicy_średnie[[#This Row],[Played]],0)</f>
        <v>0.5</v>
      </c>
      <c r="H17" s="55">
        <f>IFERROR((SUMIF(tbl_główna_GRACZE[I. Nazwisko],tbl_zawodnicy_średnie[[#This Row],[I. Nazwisko]],tbl_główna_GRACZE[ftm]))/tbl_zawodnicy_średnie[[#This Row],[Played]],0)</f>
        <v>0.25</v>
      </c>
      <c r="I17" s="55">
        <f>IFERROR((SUMIF(tbl_główna_GRACZE[I. Nazwisko],tbl_zawodnicy_średnie[[#This Row],[I. Nazwisko]],tbl_główna_GRACZE[fta]))/tbl_zawodnicy_średnie[[#This Row],[Played]],0)</f>
        <v>0.5</v>
      </c>
      <c r="J17" s="55">
        <f>IFERROR((SUMIF(tbl_główna_GRACZE[I. Nazwisko],tbl_zawodnicy_średnie[[#This Row],[I. Nazwisko]],tbl_główna_GRACZE[oreb]))/tbl_zawodnicy_średnie[[#This Row],[Played]],0)</f>
        <v>3.25</v>
      </c>
      <c r="K17" s="55">
        <f>IFERROR((SUMIF(tbl_główna_GRACZE[I. Nazwisko],tbl_zawodnicy_średnie[[#This Row],[I. Nazwisko]],tbl_główna_GRACZE[dreb]))/tbl_zawodnicy_średnie[[#This Row],[Played]],0)</f>
        <v>3</v>
      </c>
      <c r="L17" s="55">
        <f>IFERROR((SUMIF(tbl_główna_GRACZE[I. Nazwisko],tbl_zawodnicy_średnie[[#This Row],[I. Nazwisko]],tbl_główna_GRACZE[foul]))/tbl_zawodnicy_średnie[[#This Row],[Played]],0)</f>
        <v>1</v>
      </c>
      <c r="M17" s="55">
        <f>IFERROR((SUMIF(tbl_główna_GRACZE[I. Nazwisko],tbl_zawodnicy_średnie[[#This Row],[I. Nazwisko]],tbl_główna_GRACZE[stl]))/tbl_zawodnicy_średnie[[#This Row],[Played]],0)</f>
        <v>0.25</v>
      </c>
      <c r="N17" s="55">
        <f>IFERROR((SUMIF(tbl_główna_GRACZE[I. Nazwisko],tbl_zawodnicy_średnie[[#This Row],[I. Nazwisko]],tbl_główna_GRACZE[to]))/tbl_zawodnicy_średnie[[#This Row],[Played]],0)</f>
        <v>0</v>
      </c>
      <c r="O17" s="55">
        <f>IFERROR((SUMIF(tbl_główna_GRACZE[I. Nazwisko],tbl_zawodnicy_średnie[[#This Row],[I. Nazwisko]],tbl_główna_GRACZE[blk]))/tbl_zawodnicy_średnie[[#This Row],[Played]],0)</f>
        <v>0.25</v>
      </c>
      <c r="P17" s="55">
        <f>IFERROR((SUMIF(tbl_główna_GRACZE[I. Nazwisko],tbl_zawodnicy_średnie[[#This Row],[I. Nazwisko]],tbl_główna_GRACZE[asst]))/tbl_zawodnicy_średnie[[#This Row],[Played]],0)</f>
        <v>1.5</v>
      </c>
      <c r="Q17" s="55">
        <f>IFERROR((SUMIF(tbl_główna_GRACZE[I. Nazwisko],tbl_zawodnicy_średnie[[#This Row],[I. Nazwisko]],tbl_główna_GRACZE[min]))/tbl_zawodnicy_średnie[[#This Row],[Played]],0)</f>
        <v>16.25</v>
      </c>
      <c r="R17" s="55">
        <f>IFERROR((SUMIF(tbl_główna_GRACZE[I. Nazwisko],tbl_zawodnicy_średnie[[#This Row],[I. Nazwisko]],tbl_główna_GRACZE[pts]))/tbl_zawodnicy_średnie[[#This Row],[Played]],0)</f>
        <v>0.75</v>
      </c>
      <c r="S17" s="6">
        <f t="shared" si="9"/>
        <v>6.25</v>
      </c>
      <c r="T17" s="4">
        <f t="shared" si="0"/>
        <v>0.14285714285714285</v>
      </c>
      <c r="U17" s="4">
        <f t="shared" si="1"/>
        <v>0</v>
      </c>
      <c r="V17" s="4">
        <f t="shared" si="2"/>
        <v>0.5</v>
      </c>
      <c r="W17" s="4">
        <f>IFERROR(tbl_zawodnicy_średnie[[#This Row],[2pm]]/tbl_zawodnicy_średnie[[#This Row],[2pa]],0)</f>
        <v>0.2</v>
      </c>
      <c r="X17" s="4">
        <f t="shared" si="3"/>
        <v>0.19035532994923859</v>
      </c>
      <c r="Y17" s="4">
        <f t="shared" si="4"/>
        <v>0.14285714285714285</v>
      </c>
      <c r="Z17" s="6">
        <f t="shared" si="10"/>
        <v>7.25</v>
      </c>
      <c r="AA17" s="4">
        <f t="shared" si="5"/>
        <v>0.2857142857142857</v>
      </c>
      <c r="AB17" s="4">
        <f t="shared" si="6"/>
        <v>0.2857142857142857</v>
      </c>
      <c r="AC17" s="26">
        <f>IFERROR((SUMIF(tbl_główna_GRACZE[I. Nazwisko],tbl_zawodnicy_średnie[[#This Row],[I. Nazwisko]],tbl_główna_GRACZE[USG%]))/tbl_zawodnicy_średnie[[#This Row],[Played]],0)</f>
        <v>2.7929501450462937E-2</v>
      </c>
      <c r="AD17" s="25">
        <f>IFERROR(tbl_zawodnicy_średnie[[#This Row],[pts]]*(40/tbl_zawodnicy_średnie[[#This Row],[min]]),0)</f>
        <v>1.8461538461538463</v>
      </c>
      <c r="AE17" s="25">
        <f>IFERROR(tbl_zawodnicy_średnie[[#This Row],[reb total]]*(40/tbl_zawodnicy_średnie[[#This Row],[min]]),0)</f>
        <v>15.384615384615385</v>
      </c>
      <c r="AF17" s="30">
        <f>IFERROR(tbl_zawodnicy_średnie[[#This Row],[asst]]*(40/tbl_zawodnicy_średnie[[#This Row],[min]]),0)</f>
        <v>3.6923076923076925</v>
      </c>
      <c r="AG17" s="5">
        <f t="shared" si="7"/>
        <v>0.42857142857142855</v>
      </c>
      <c r="AH17" s="5">
        <f>IFERROR((tbl_zawodnicy_średnie[[#This Row],[stl]]+tbl_zawodnicy_średnie[[#This Row],[blk]])*(40/tbl_zawodnicy_średnie[[#This Row],[min]]),0)</f>
        <v>1.2307692307692308</v>
      </c>
      <c r="AI17" s="4">
        <f>IFERROR((SUMIF(tbl_główna_GRACZE[I. Nazwisko],tbl_zawodnicy_średnie[[#This Row],[I. Nazwisko]],tbl_główna_GRACZE[DI]))/tbl_zawodnicy_średnie[[#This Row],[Played]],0)</f>
        <v>5.8333333333333334E-2</v>
      </c>
      <c r="AJ17" s="25">
        <f>tbl_zawodnicy_średnie[[#This Row],[stl]]+tbl_zawodnicy_średnie[[#This Row],[blk]]+(tbl_zawodnicy_średnie[[#This Row],[dreb]]*0.5)</f>
        <v>2</v>
      </c>
      <c r="AK17" s="29">
        <f>IFERROR((tbl_zawodnicy_średnie[[#This Row],[stl]]+tbl_zawodnicy_średnie[[#This Row],[blk]]+0.5*tbl_zawodnicy_średnie[[#This Row],[dreb]])/tbl_zawodnicy_średnie[[#This Row],[min]],0)</f>
        <v>0.12307692307692308</v>
      </c>
      <c r="AL17" s="6">
        <f t="shared" si="8"/>
        <v>4.1749999999999998</v>
      </c>
      <c r="AM17" s="6">
        <f>IFERROR(tbl_zawodnicy_średnie[[#This Row],[GmSc]]*(40/tbl_zawodnicy_średnie[[#This Row],[min]]),0)</f>
        <v>10.276923076923078</v>
      </c>
      <c r="AN17" s="6">
        <f>IFERROR(tbl_zawodnicy_średnie[[#This Row],[EVAL]]*(40/tbl_zawodnicy_średnie[[#This Row],[min]]),0)</f>
        <v>17.846153846153847</v>
      </c>
      <c r="AO17" s="6">
        <f>tbl_zawodnicy_średnie[[#This Row],[fgm]]-tbl_zawodnicy_średnie[[#This Row],[3pm]]</f>
        <v>0.25</v>
      </c>
      <c r="AP17" s="6">
        <f>tbl_zawodnicy_średnie[[#This Row],[fga]]-tbl_zawodnicy_średnie[[#This Row],[3pa]]</f>
        <v>1.25</v>
      </c>
      <c r="AQ17">
        <v>7</v>
      </c>
      <c r="AR17" s="6" t="str">
        <f>tbl_zawodnicy_średnie[[#This Row],[I. Nazwisko]]&amp;" ["&amp;VLOOKUP(tbl_zawodnicy_średnie[[#This Row],[zespół]],tab_nazwy_zespołów[],2,0)&amp;"]"</f>
        <v>P. Roguski [STA]</v>
      </c>
    </row>
    <row r="18" spans="1:44" ht="14.5" customHeight="1" x14ac:dyDescent="0.35">
      <c r="A18" t="s">
        <v>19</v>
      </c>
      <c r="B18" t="s">
        <v>166</v>
      </c>
      <c r="C18" s="9">
        <f>SUMIF(tbl_główna_GRACZE[I. Nazwisko],tbl_zawodnicy_średnie[[#This Row],[I. Nazwisko]],tbl_główna_GRACZE[Played?])</f>
        <v>4</v>
      </c>
      <c r="D18" s="55">
        <f>IFERROR((SUMIF(tbl_główna_GRACZE[I. Nazwisko],tbl_zawodnicy_średnie[[#This Row],[I. Nazwisko]],tbl_główna_GRACZE[fgm]))/tbl_zawodnicy_średnie[[#This Row],[Played]],0)</f>
        <v>1.75</v>
      </c>
      <c r="E18" s="55">
        <f>IFERROR((SUMIF(tbl_główna_GRACZE[I. Nazwisko],tbl_zawodnicy_średnie[[#This Row],[I. Nazwisko]],tbl_główna_GRACZE[fga]))/tbl_zawodnicy_średnie[[#This Row],[Played]],0)</f>
        <v>7.5</v>
      </c>
      <c r="F18" s="55">
        <f>IFERROR((SUMIF(tbl_główna_GRACZE[I. Nazwisko],tbl_zawodnicy_średnie[[#This Row],[I. Nazwisko]],tbl_główna_GRACZE[3pm]))/tbl_zawodnicy_średnie[[#This Row],[Played]],0)</f>
        <v>0.25</v>
      </c>
      <c r="G18" s="55">
        <f>IFERROR((SUMIF(tbl_główna_GRACZE[I. Nazwisko],tbl_zawodnicy_średnie[[#This Row],[I. Nazwisko]],tbl_główna_GRACZE[3pa]))/tbl_zawodnicy_średnie[[#This Row],[Played]],0)</f>
        <v>2</v>
      </c>
      <c r="H18" s="55">
        <f>IFERROR((SUMIF(tbl_główna_GRACZE[I. Nazwisko],tbl_zawodnicy_średnie[[#This Row],[I. Nazwisko]],tbl_główna_GRACZE[ftm]))/tbl_zawodnicy_średnie[[#This Row],[Played]],0)</f>
        <v>0</v>
      </c>
      <c r="I18" s="55">
        <f>IFERROR((SUMIF(tbl_główna_GRACZE[I. Nazwisko],tbl_zawodnicy_średnie[[#This Row],[I. Nazwisko]],tbl_główna_GRACZE[fta]))/tbl_zawodnicy_średnie[[#This Row],[Played]],0)</f>
        <v>0</v>
      </c>
      <c r="J18" s="55">
        <f>IFERROR((SUMIF(tbl_główna_GRACZE[I. Nazwisko],tbl_zawodnicy_średnie[[#This Row],[I. Nazwisko]],tbl_główna_GRACZE[oreb]))/tbl_zawodnicy_średnie[[#This Row],[Played]],0)</f>
        <v>1.25</v>
      </c>
      <c r="K18" s="55">
        <f>IFERROR((SUMIF(tbl_główna_GRACZE[I. Nazwisko],tbl_zawodnicy_średnie[[#This Row],[I. Nazwisko]],tbl_główna_GRACZE[dreb]))/tbl_zawodnicy_średnie[[#This Row],[Played]],0)</f>
        <v>1</v>
      </c>
      <c r="L18" s="55">
        <f>IFERROR((SUMIF(tbl_główna_GRACZE[I. Nazwisko],tbl_zawodnicy_średnie[[#This Row],[I. Nazwisko]],tbl_główna_GRACZE[foul]))/tbl_zawodnicy_średnie[[#This Row],[Played]],0)</f>
        <v>0.5</v>
      </c>
      <c r="M18" s="55">
        <f>IFERROR((SUMIF(tbl_główna_GRACZE[I. Nazwisko],tbl_zawodnicy_średnie[[#This Row],[I. Nazwisko]],tbl_główna_GRACZE[stl]))/tbl_zawodnicy_średnie[[#This Row],[Played]],0)</f>
        <v>1.5</v>
      </c>
      <c r="N18" s="55">
        <f>IFERROR((SUMIF(tbl_główna_GRACZE[I. Nazwisko],tbl_zawodnicy_średnie[[#This Row],[I. Nazwisko]],tbl_główna_GRACZE[to]))/tbl_zawodnicy_średnie[[#This Row],[Played]],0)</f>
        <v>0</v>
      </c>
      <c r="O18" s="55">
        <f>IFERROR((SUMIF(tbl_główna_GRACZE[I. Nazwisko],tbl_zawodnicy_średnie[[#This Row],[I. Nazwisko]],tbl_główna_GRACZE[blk]))/tbl_zawodnicy_średnie[[#This Row],[Played]],0)</f>
        <v>0</v>
      </c>
      <c r="P18" s="55">
        <f>IFERROR((SUMIF(tbl_główna_GRACZE[I. Nazwisko],tbl_zawodnicy_średnie[[#This Row],[I. Nazwisko]],tbl_główna_GRACZE[asst]))/tbl_zawodnicy_średnie[[#This Row],[Played]],0)</f>
        <v>0.25</v>
      </c>
      <c r="Q18" s="55">
        <f>IFERROR((SUMIF(tbl_główna_GRACZE[I. Nazwisko],tbl_zawodnicy_średnie[[#This Row],[I. Nazwisko]],tbl_główna_GRACZE[min]))/tbl_zawodnicy_średnie[[#This Row],[Played]],0)</f>
        <v>20.5</v>
      </c>
      <c r="R18" s="55">
        <f>IFERROR((SUMIF(tbl_główna_GRACZE[I. Nazwisko],tbl_zawodnicy_średnie[[#This Row],[I. Nazwisko]],tbl_główna_GRACZE[pts]))/tbl_zawodnicy_średnie[[#This Row],[Played]],0)</f>
        <v>3.75</v>
      </c>
      <c r="S18" s="6">
        <f t="shared" si="9"/>
        <v>2.25</v>
      </c>
      <c r="T18" s="4">
        <f t="shared" si="0"/>
        <v>0.23333333333333334</v>
      </c>
      <c r="U18" s="4">
        <f t="shared" si="1"/>
        <v>0.125</v>
      </c>
      <c r="V18" s="4">
        <f t="shared" si="2"/>
        <v>0</v>
      </c>
      <c r="W18" s="4">
        <f>IFERROR(tbl_zawodnicy_średnie[[#This Row],[2pm]]/tbl_zawodnicy_średnie[[#This Row],[2pa]],0)</f>
        <v>0.27272727272727271</v>
      </c>
      <c r="X18" s="4">
        <f t="shared" si="3"/>
        <v>0.25</v>
      </c>
      <c r="Y18" s="4">
        <f t="shared" si="4"/>
        <v>0.25</v>
      </c>
      <c r="Z18" s="6">
        <f t="shared" si="10"/>
        <v>2</v>
      </c>
      <c r="AA18" s="4">
        <f t="shared" si="5"/>
        <v>0</v>
      </c>
      <c r="AB18" s="4">
        <f t="shared" si="6"/>
        <v>0.26666666666666666</v>
      </c>
      <c r="AC18" s="26">
        <f>IFERROR((SUMIF(tbl_główna_GRACZE[I. Nazwisko],tbl_zawodnicy_średnie[[#This Row],[I. Nazwisko]],tbl_główna_GRACZE[USG%]))/tbl_zawodnicy_średnie[[#This Row],[Played]],0)</f>
        <v>0.10732899676072581</v>
      </c>
      <c r="AD18" s="25">
        <f>IFERROR(tbl_zawodnicy_średnie[[#This Row],[pts]]*(40/tbl_zawodnicy_średnie[[#This Row],[min]]),0)</f>
        <v>7.3170731707317067</v>
      </c>
      <c r="AE18" s="25">
        <f>IFERROR(tbl_zawodnicy_średnie[[#This Row],[reb total]]*(40/tbl_zawodnicy_średnie[[#This Row],[min]]),0)</f>
        <v>4.3902439024390247</v>
      </c>
      <c r="AF18" s="30">
        <f>IFERROR(tbl_zawodnicy_średnie[[#This Row],[asst]]*(40/tbl_zawodnicy_średnie[[#This Row],[min]]),0)</f>
        <v>0.48780487804878048</v>
      </c>
      <c r="AG18" s="5">
        <f t="shared" si="7"/>
        <v>0.5</v>
      </c>
      <c r="AH18" s="5">
        <f>IFERROR((tbl_zawodnicy_średnie[[#This Row],[stl]]+tbl_zawodnicy_średnie[[#This Row],[blk]])*(40/tbl_zawodnicy_średnie[[#This Row],[min]]),0)</f>
        <v>2.9268292682926829</v>
      </c>
      <c r="AI18" s="4">
        <f>IFERROR((SUMIF(tbl_główna_GRACZE[I. Nazwisko],tbl_zawodnicy_średnie[[#This Row],[I. Nazwisko]],tbl_główna_GRACZE[DI]))/tbl_zawodnicy_średnie[[#This Row],[Played]],0)</f>
        <v>0.12916666666666668</v>
      </c>
      <c r="AJ18" s="25">
        <f>tbl_zawodnicy_średnie[[#This Row],[stl]]+tbl_zawodnicy_średnie[[#This Row],[blk]]+(tbl_zawodnicy_średnie[[#This Row],[dreb]]*0.5)</f>
        <v>2</v>
      </c>
      <c r="AK18" s="29">
        <f>IFERROR((tbl_zawodnicy_średnie[[#This Row],[stl]]+tbl_zawodnicy_średnie[[#This Row],[blk]]+0.5*tbl_zawodnicy_średnie[[#This Row],[dreb]])/tbl_zawodnicy_średnie[[#This Row],[min]],0)</f>
        <v>9.7560975609756101E-2</v>
      </c>
      <c r="AL18" s="6">
        <f t="shared" si="8"/>
        <v>2.0500000000000003</v>
      </c>
      <c r="AM18" s="6">
        <f>IFERROR(tbl_zawodnicy_średnie[[#This Row],[GmSc]]*(40/tbl_zawodnicy_średnie[[#This Row],[min]]),0)</f>
        <v>4</v>
      </c>
      <c r="AN18" s="6">
        <f>IFERROR(tbl_zawodnicy_średnie[[#This Row],[EVAL]]*(40/tbl_zawodnicy_średnie[[#This Row],[min]]),0)</f>
        <v>3.9024390243902438</v>
      </c>
      <c r="AO18" s="6">
        <f>tbl_zawodnicy_średnie[[#This Row],[fgm]]-tbl_zawodnicy_średnie[[#This Row],[3pm]]</f>
        <v>1.5</v>
      </c>
      <c r="AP18" s="6">
        <f>tbl_zawodnicy_średnie[[#This Row],[fga]]-tbl_zawodnicy_średnie[[#This Row],[3pa]]</f>
        <v>5.5</v>
      </c>
      <c r="AQ18">
        <v>8</v>
      </c>
      <c r="AR18" s="6" t="str">
        <f>tbl_zawodnicy_średnie[[#This Row],[I. Nazwisko]]&amp;" ["&amp;VLOOKUP(tbl_zawodnicy_średnie[[#This Row],[zespół]],tab_nazwy_zespołów[],2,0)&amp;"]"</f>
        <v>R. Kielczyk [STA]</v>
      </c>
    </row>
    <row r="19" spans="1:44" ht="14.5" customHeight="1" x14ac:dyDescent="0.35">
      <c r="A19" t="s">
        <v>19</v>
      </c>
      <c r="B19" t="s">
        <v>167</v>
      </c>
      <c r="C19" s="9">
        <f>SUMIF(tbl_główna_GRACZE[I. Nazwisko],tbl_zawodnicy_średnie[[#This Row],[I. Nazwisko]],tbl_główna_GRACZE[Played?])</f>
        <v>4</v>
      </c>
      <c r="D19" s="55">
        <f>IFERROR((SUMIF(tbl_główna_GRACZE[I. Nazwisko],tbl_zawodnicy_średnie[[#This Row],[I. Nazwisko]],tbl_główna_GRACZE[fgm]))/tbl_zawodnicy_średnie[[#This Row],[Played]],0)</f>
        <v>0.5</v>
      </c>
      <c r="E19" s="55">
        <f>IFERROR((SUMIF(tbl_główna_GRACZE[I. Nazwisko],tbl_zawodnicy_średnie[[#This Row],[I. Nazwisko]],tbl_główna_GRACZE[fga]))/tbl_zawodnicy_średnie[[#This Row],[Played]],0)</f>
        <v>2.25</v>
      </c>
      <c r="F19" s="55">
        <f>IFERROR((SUMIF(tbl_główna_GRACZE[I. Nazwisko],tbl_zawodnicy_średnie[[#This Row],[I. Nazwisko]],tbl_główna_GRACZE[3pm]))/tbl_zawodnicy_średnie[[#This Row],[Played]],0)</f>
        <v>0</v>
      </c>
      <c r="G19" s="55">
        <f>IFERROR((SUMIF(tbl_główna_GRACZE[I. Nazwisko],tbl_zawodnicy_średnie[[#This Row],[I. Nazwisko]],tbl_główna_GRACZE[3pa]))/tbl_zawodnicy_średnie[[#This Row],[Played]],0)</f>
        <v>0.25</v>
      </c>
      <c r="H19" s="55">
        <f>IFERROR((SUMIF(tbl_główna_GRACZE[I. Nazwisko],tbl_zawodnicy_średnie[[#This Row],[I. Nazwisko]],tbl_główna_GRACZE[ftm]))/tbl_zawodnicy_średnie[[#This Row],[Played]],0)</f>
        <v>0</v>
      </c>
      <c r="I19" s="55">
        <f>IFERROR((SUMIF(tbl_główna_GRACZE[I. Nazwisko],tbl_zawodnicy_średnie[[#This Row],[I. Nazwisko]],tbl_główna_GRACZE[fta]))/tbl_zawodnicy_średnie[[#This Row],[Played]],0)</f>
        <v>0</v>
      </c>
      <c r="J19" s="55">
        <f>IFERROR((SUMIF(tbl_główna_GRACZE[I. Nazwisko],tbl_zawodnicy_średnie[[#This Row],[I. Nazwisko]],tbl_główna_GRACZE[oreb]))/tbl_zawodnicy_średnie[[#This Row],[Played]],0)</f>
        <v>0.5</v>
      </c>
      <c r="K19" s="55">
        <f>IFERROR((SUMIF(tbl_główna_GRACZE[I. Nazwisko],tbl_zawodnicy_średnie[[#This Row],[I. Nazwisko]],tbl_główna_GRACZE[dreb]))/tbl_zawodnicy_średnie[[#This Row],[Played]],0)</f>
        <v>2.25</v>
      </c>
      <c r="L19" s="55">
        <f>IFERROR((SUMIF(tbl_główna_GRACZE[I. Nazwisko],tbl_zawodnicy_średnie[[#This Row],[I. Nazwisko]],tbl_główna_GRACZE[foul]))/tbl_zawodnicy_średnie[[#This Row],[Played]],0)</f>
        <v>2</v>
      </c>
      <c r="M19" s="55">
        <f>IFERROR((SUMIF(tbl_główna_GRACZE[I. Nazwisko],tbl_zawodnicy_średnie[[#This Row],[I. Nazwisko]],tbl_główna_GRACZE[stl]))/tbl_zawodnicy_średnie[[#This Row],[Played]],0)</f>
        <v>0.25</v>
      </c>
      <c r="N19" s="55">
        <f>IFERROR((SUMIF(tbl_główna_GRACZE[I. Nazwisko],tbl_zawodnicy_średnie[[#This Row],[I. Nazwisko]],tbl_główna_GRACZE[to]))/tbl_zawodnicy_średnie[[#This Row],[Played]],0)</f>
        <v>0</v>
      </c>
      <c r="O19" s="55">
        <f>IFERROR((SUMIF(tbl_główna_GRACZE[I. Nazwisko],tbl_zawodnicy_średnie[[#This Row],[I. Nazwisko]],tbl_główna_GRACZE[blk]))/tbl_zawodnicy_średnie[[#This Row],[Played]],0)</f>
        <v>0</v>
      </c>
      <c r="P19" s="55">
        <f>IFERROR((SUMIF(tbl_główna_GRACZE[I. Nazwisko],tbl_zawodnicy_średnie[[#This Row],[I. Nazwisko]],tbl_główna_GRACZE[asst]))/tbl_zawodnicy_średnie[[#This Row],[Played]],0)</f>
        <v>0.5</v>
      </c>
      <c r="Q19" s="55">
        <f>IFERROR((SUMIF(tbl_główna_GRACZE[I. Nazwisko],tbl_zawodnicy_średnie[[#This Row],[I. Nazwisko]],tbl_główna_GRACZE[min]))/tbl_zawodnicy_średnie[[#This Row],[Played]],0)</f>
        <v>12.5</v>
      </c>
      <c r="R19" s="55">
        <f>IFERROR((SUMIF(tbl_główna_GRACZE[I. Nazwisko],tbl_zawodnicy_średnie[[#This Row],[I. Nazwisko]],tbl_główna_GRACZE[pts]))/tbl_zawodnicy_średnie[[#This Row],[Played]],0)</f>
        <v>1</v>
      </c>
      <c r="S19" s="6">
        <f t="shared" si="9"/>
        <v>2.75</v>
      </c>
      <c r="T19" s="4">
        <f t="shared" si="0"/>
        <v>0.22222222222222221</v>
      </c>
      <c r="U19" s="4">
        <f t="shared" si="1"/>
        <v>0</v>
      </c>
      <c r="V19" s="4">
        <f t="shared" si="2"/>
        <v>0</v>
      </c>
      <c r="W19" s="4">
        <f>IFERROR(tbl_zawodnicy_średnie[[#This Row],[2pm]]/tbl_zawodnicy_średnie[[#This Row],[2pa]],0)</f>
        <v>0.25</v>
      </c>
      <c r="X19" s="4">
        <f t="shared" si="3"/>
        <v>0.22222222222222221</v>
      </c>
      <c r="Y19" s="4">
        <f t="shared" si="4"/>
        <v>0.22222222222222221</v>
      </c>
      <c r="Z19" s="6">
        <f t="shared" si="10"/>
        <v>2.75</v>
      </c>
      <c r="AA19" s="4">
        <f t="shared" si="5"/>
        <v>0</v>
      </c>
      <c r="AB19" s="4">
        <f t="shared" si="6"/>
        <v>0.1111111111111111</v>
      </c>
      <c r="AC19" s="26">
        <f>IFERROR((SUMIF(tbl_główna_GRACZE[I. Nazwisko],tbl_zawodnicy_średnie[[#This Row],[I. Nazwisko]],tbl_główna_GRACZE[USG%]))/tbl_zawodnicy_średnie[[#This Row],[Played]],0)</f>
        <v>3.2139270321902551E-2</v>
      </c>
      <c r="AD19" s="25">
        <f>IFERROR(tbl_zawodnicy_średnie[[#This Row],[pts]]*(40/tbl_zawodnicy_średnie[[#This Row],[min]]),0)</f>
        <v>3.2</v>
      </c>
      <c r="AE19" s="25">
        <f>IFERROR(tbl_zawodnicy_średnie[[#This Row],[reb total]]*(40/tbl_zawodnicy_średnie[[#This Row],[min]]),0)</f>
        <v>8.8000000000000007</v>
      </c>
      <c r="AF19" s="30">
        <f>IFERROR(tbl_zawodnicy_średnie[[#This Row],[asst]]*(40/tbl_zawodnicy_średnie[[#This Row],[min]]),0)</f>
        <v>1.6</v>
      </c>
      <c r="AG19" s="5">
        <f t="shared" si="7"/>
        <v>0.44444444444444442</v>
      </c>
      <c r="AH19" s="5">
        <f>IFERROR((tbl_zawodnicy_średnie[[#This Row],[stl]]+tbl_zawodnicy_średnie[[#This Row],[blk]])*(40/tbl_zawodnicy_średnie[[#This Row],[min]]),0)</f>
        <v>0.8</v>
      </c>
      <c r="AI19" s="4">
        <f>IFERROR((SUMIF(tbl_główna_GRACZE[I. Nazwisko],tbl_zawodnicy_średnie[[#This Row],[I. Nazwisko]],tbl_główna_GRACZE[DI]))/tbl_zawodnicy_średnie[[#This Row],[Played]],0)</f>
        <v>2.0833333333333332E-2</v>
      </c>
      <c r="AJ19" s="25">
        <f>tbl_zawodnicy_średnie[[#This Row],[stl]]+tbl_zawodnicy_średnie[[#This Row],[blk]]+(tbl_zawodnicy_średnie[[#This Row],[dreb]]*0.5)</f>
        <v>1.375</v>
      </c>
      <c r="AK19" s="29">
        <f>IFERROR((tbl_zawodnicy_średnie[[#This Row],[stl]]+tbl_zawodnicy_średnie[[#This Row],[blk]]+0.5*tbl_zawodnicy_średnie[[#This Row],[dreb]])/tbl_zawodnicy_średnie[[#This Row],[min]],0)</f>
        <v>0.11</v>
      </c>
      <c r="AL19" s="6">
        <f t="shared" si="8"/>
        <v>1.25</v>
      </c>
      <c r="AM19" s="6">
        <f>IFERROR(tbl_zawodnicy_średnie[[#This Row],[GmSc]]*(40/tbl_zawodnicy_średnie[[#This Row],[min]]),0)</f>
        <v>4</v>
      </c>
      <c r="AN19" s="6">
        <f>IFERROR(tbl_zawodnicy_średnie[[#This Row],[EVAL]]*(40/tbl_zawodnicy_średnie[[#This Row],[min]]),0)</f>
        <v>8.8000000000000007</v>
      </c>
      <c r="AO19" s="6">
        <f>tbl_zawodnicy_średnie[[#This Row],[fgm]]-tbl_zawodnicy_średnie[[#This Row],[3pm]]</f>
        <v>0.5</v>
      </c>
      <c r="AP19" s="6">
        <f>tbl_zawodnicy_średnie[[#This Row],[fga]]-tbl_zawodnicy_średnie[[#This Row],[3pa]]</f>
        <v>2</v>
      </c>
      <c r="AQ19">
        <v>9</v>
      </c>
      <c r="AR19" s="6" t="str">
        <f>tbl_zawodnicy_średnie[[#This Row],[I. Nazwisko]]&amp;" ["&amp;VLOOKUP(tbl_zawodnicy_średnie[[#This Row],[zespół]],tab_nazwy_zespołów[],2,0)&amp;"]"</f>
        <v>T. Kowalczyk [STA]</v>
      </c>
    </row>
    <row r="20" spans="1:44" ht="14.5" customHeight="1" x14ac:dyDescent="0.35">
      <c r="A20" t="s">
        <v>25</v>
      </c>
      <c r="B20" t="s">
        <v>168</v>
      </c>
      <c r="C20" s="9">
        <f>SUMIF(tbl_główna_GRACZE[I. Nazwisko],tbl_zawodnicy_średnie[[#This Row],[I. Nazwisko]],tbl_główna_GRACZE[Played?])</f>
        <v>2</v>
      </c>
      <c r="D20" s="55">
        <f>IFERROR((SUMIF(tbl_główna_GRACZE[I. Nazwisko],tbl_zawodnicy_średnie[[#This Row],[I. Nazwisko]],tbl_główna_GRACZE[fgm]))/tbl_zawodnicy_średnie[[#This Row],[Played]],0)</f>
        <v>10</v>
      </c>
      <c r="E20" s="55">
        <f>IFERROR((SUMIF(tbl_główna_GRACZE[I. Nazwisko],tbl_zawodnicy_średnie[[#This Row],[I. Nazwisko]],tbl_główna_GRACZE[fga]))/tbl_zawodnicy_średnie[[#This Row],[Played]],0)</f>
        <v>18.5</v>
      </c>
      <c r="F20" s="55">
        <f>IFERROR((SUMIF(tbl_główna_GRACZE[I. Nazwisko],tbl_zawodnicy_średnie[[#This Row],[I. Nazwisko]],tbl_główna_GRACZE[3pm]))/tbl_zawodnicy_średnie[[#This Row],[Played]],0)</f>
        <v>0.5</v>
      </c>
      <c r="G20" s="55">
        <f>IFERROR((SUMIF(tbl_główna_GRACZE[I. Nazwisko],tbl_zawodnicy_średnie[[#This Row],[I. Nazwisko]],tbl_główna_GRACZE[3pa]))/tbl_zawodnicy_średnie[[#This Row],[Played]],0)</f>
        <v>3</v>
      </c>
      <c r="H20" s="55">
        <f>IFERROR((SUMIF(tbl_główna_GRACZE[I. Nazwisko],tbl_zawodnicy_średnie[[#This Row],[I. Nazwisko]],tbl_główna_GRACZE[ftm]))/tbl_zawodnicy_średnie[[#This Row],[Played]],0)</f>
        <v>0</v>
      </c>
      <c r="I20" s="55">
        <f>IFERROR((SUMIF(tbl_główna_GRACZE[I. Nazwisko],tbl_zawodnicy_średnie[[#This Row],[I. Nazwisko]],tbl_główna_GRACZE[fta]))/tbl_zawodnicy_średnie[[#This Row],[Played]],0)</f>
        <v>1.5</v>
      </c>
      <c r="J20" s="55">
        <f>IFERROR((SUMIF(tbl_główna_GRACZE[I. Nazwisko],tbl_zawodnicy_średnie[[#This Row],[I. Nazwisko]],tbl_główna_GRACZE[oreb]))/tbl_zawodnicy_średnie[[#This Row],[Played]],0)</f>
        <v>2</v>
      </c>
      <c r="K20" s="55">
        <f>IFERROR((SUMIF(tbl_główna_GRACZE[I. Nazwisko],tbl_zawodnicy_średnie[[#This Row],[I. Nazwisko]],tbl_główna_GRACZE[dreb]))/tbl_zawodnicy_średnie[[#This Row],[Played]],0)</f>
        <v>4</v>
      </c>
      <c r="L20" s="55">
        <f>IFERROR((SUMIF(tbl_główna_GRACZE[I. Nazwisko],tbl_zawodnicy_średnie[[#This Row],[I. Nazwisko]],tbl_główna_GRACZE[foul]))/tbl_zawodnicy_średnie[[#This Row],[Played]],0)</f>
        <v>1</v>
      </c>
      <c r="M20" s="55">
        <f>IFERROR((SUMIF(tbl_główna_GRACZE[I. Nazwisko],tbl_zawodnicy_średnie[[#This Row],[I. Nazwisko]],tbl_główna_GRACZE[stl]))/tbl_zawodnicy_średnie[[#This Row],[Played]],0)</f>
        <v>6</v>
      </c>
      <c r="N20" s="55">
        <f>IFERROR((SUMIF(tbl_główna_GRACZE[I. Nazwisko],tbl_zawodnicy_średnie[[#This Row],[I. Nazwisko]],tbl_główna_GRACZE[to]))/tbl_zawodnicy_średnie[[#This Row],[Played]],0)</f>
        <v>0</v>
      </c>
      <c r="O20" s="55">
        <f>IFERROR((SUMIF(tbl_główna_GRACZE[I. Nazwisko],tbl_zawodnicy_średnie[[#This Row],[I. Nazwisko]],tbl_główna_GRACZE[blk]))/tbl_zawodnicy_średnie[[#This Row],[Played]],0)</f>
        <v>0.5</v>
      </c>
      <c r="P20" s="55">
        <f>IFERROR((SUMIF(tbl_główna_GRACZE[I. Nazwisko],tbl_zawodnicy_średnie[[#This Row],[I. Nazwisko]],tbl_główna_GRACZE[asst]))/tbl_zawodnicy_średnie[[#This Row],[Played]],0)</f>
        <v>5</v>
      </c>
      <c r="Q20" s="55">
        <f>IFERROR((SUMIF(tbl_główna_GRACZE[I. Nazwisko],tbl_zawodnicy_średnie[[#This Row],[I. Nazwisko]],tbl_główna_GRACZE[min]))/tbl_zawodnicy_średnie[[#This Row],[Played]],0)</f>
        <v>39</v>
      </c>
      <c r="R20" s="55">
        <f>IFERROR((SUMIF(tbl_główna_GRACZE[I. Nazwisko],tbl_zawodnicy_średnie[[#This Row],[I. Nazwisko]],tbl_główna_GRACZE[pts]))/tbl_zawodnicy_średnie[[#This Row],[Played]],0)</f>
        <v>20.5</v>
      </c>
      <c r="S20" s="6">
        <f t="shared" si="9"/>
        <v>6</v>
      </c>
      <c r="T20" s="4">
        <f t="shared" si="0"/>
        <v>0.54054054054054057</v>
      </c>
      <c r="U20" s="4">
        <f t="shared" si="1"/>
        <v>0.16666666666666666</v>
      </c>
      <c r="V20" s="4">
        <f t="shared" si="2"/>
        <v>0</v>
      </c>
      <c r="W20" s="4">
        <f>IFERROR(tbl_zawodnicy_średnie[[#This Row],[2pm]]/tbl_zawodnicy_średnie[[#This Row],[2pa]],0)</f>
        <v>0.61290322580645162</v>
      </c>
      <c r="X20" s="4">
        <f t="shared" si="3"/>
        <v>0.53496868475991644</v>
      </c>
      <c r="Y20" s="4">
        <f t="shared" si="4"/>
        <v>0.55405405405405406</v>
      </c>
      <c r="Z20" s="6">
        <f t="shared" si="10"/>
        <v>28</v>
      </c>
      <c r="AA20" s="4">
        <f t="shared" si="5"/>
        <v>8.1081081081081086E-2</v>
      </c>
      <c r="AB20" s="4">
        <f t="shared" si="6"/>
        <v>0.16216216216216217</v>
      </c>
      <c r="AC20" s="26">
        <f>IFERROR((SUMIF(tbl_główna_GRACZE[I. Nazwisko],tbl_zawodnicy_średnie[[#This Row],[I. Nazwisko]],tbl_główna_GRACZE[USG%]))/tbl_zawodnicy_średnie[[#This Row],[Played]],0)</f>
        <v>0.24992741434356858</v>
      </c>
      <c r="AD20" s="25">
        <f>IFERROR(tbl_zawodnicy_średnie[[#This Row],[pts]]*(40/tbl_zawodnicy_średnie[[#This Row],[min]]),0)</f>
        <v>21.025641025641022</v>
      </c>
      <c r="AE20" s="25">
        <f>IFERROR(tbl_zawodnicy_średnie[[#This Row],[reb total]]*(40/tbl_zawodnicy_średnie[[#This Row],[min]]),0)</f>
        <v>6.1538461538461533</v>
      </c>
      <c r="AF20" s="30">
        <f>IFERROR(tbl_zawodnicy_średnie[[#This Row],[asst]]*(40/tbl_zawodnicy_średnie[[#This Row],[min]]),0)</f>
        <v>5.1282051282051277</v>
      </c>
      <c r="AG20" s="5">
        <f t="shared" si="7"/>
        <v>1.1081081081081081</v>
      </c>
      <c r="AH20" s="5">
        <f>IFERROR((tbl_zawodnicy_średnie[[#This Row],[stl]]+tbl_zawodnicy_średnie[[#This Row],[blk]])*(40/tbl_zawodnicy_średnie[[#This Row],[min]]),0)</f>
        <v>6.6666666666666661</v>
      </c>
      <c r="AI20" s="4">
        <f>IFERROR((SUMIF(tbl_główna_GRACZE[I. Nazwisko],tbl_zawodnicy_średnie[[#This Row],[I. Nazwisko]],tbl_główna_GRACZE[DI]))/tbl_zawodnicy_średnie[[#This Row],[Played]],0)</f>
        <v>0.33556149732620322</v>
      </c>
      <c r="AJ20" s="25">
        <f>tbl_zawodnicy_średnie[[#This Row],[stl]]+tbl_zawodnicy_średnie[[#This Row],[blk]]+(tbl_zawodnicy_średnie[[#This Row],[dreb]]*0.5)</f>
        <v>8.5</v>
      </c>
      <c r="AK20" s="29">
        <f>IFERROR((tbl_zawodnicy_średnie[[#This Row],[stl]]+tbl_zawodnicy_średnie[[#This Row],[blk]]+0.5*tbl_zawodnicy_średnie[[#This Row],[dreb]])/tbl_zawodnicy_średnie[[#This Row],[min]],0)</f>
        <v>0.21794871794871795</v>
      </c>
      <c r="AL20" s="6">
        <f t="shared" si="8"/>
        <v>23.400000000000002</v>
      </c>
      <c r="AM20" s="6">
        <f>IFERROR(tbl_zawodnicy_średnie[[#This Row],[GmSc]]*(40/tbl_zawodnicy_średnie[[#This Row],[min]]),0)</f>
        <v>24</v>
      </c>
      <c r="AN20" s="6">
        <f>IFERROR(tbl_zawodnicy_średnie[[#This Row],[EVAL]]*(40/tbl_zawodnicy_średnie[[#This Row],[min]]),0)</f>
        <v>28.717948717948715</v>
      </c>
      <c r="AO20" s="6">
        <f>tbl_zawodnicy_średnie[[#This Row],[fgm]]-tbl_zawodnicy_średnie[[#This Row],[3pm]]</f>
        <v>9.5</v>
      </c>
      <c r="AP20" s="6">
        <f>tbl_zawodnicy_średnie[[#This Row],[fga]]-tbl_zawodnicy_średnie[[#This Row],[3pa]]</f>
        <v>15.5</v>
      </c>
      <c r="AQ20">
        <v>10</v>
      </c>
      <c r="AR20" s="6" t="str">
        <f>tbl_zawodnicy_średnie[[#This Row],[I. Nazwisko]]&amp;" ["&amp;VLOOKUP(tbl_zawodnicy_średnie[[#This Row],[zespół]],tab_nazwy_zespołów[],2,0)&amp;"]"</f>
        <v>S. Saushkin [HUT]</v>
      </c>
    </row>
    <row r="21" spans="1:44" ht="14.5" customHeight="1" x14ac:dyDescent="0.35">
      <c r="A21" t="s">
        <v>25</v>
      </c>
      <c r="B21" t="s">
        <v>169</v>
      </c>
      <c r="C21" s="9">
        <f>SUMIF(tbl_główna_GRACZE[I. Nazwisko],tbl_zawodnicy_średnie[[#This Row],[I. Nazwisko]],tbl_główna_GRACZE[Played?])</f>
        <v>3</v>
      </c>
      <c r="D21" s="55">
        <f>IFERROR((SUMIF(tbl_główna_GRACZE[I. Nazwisko],tbl_zawodnicy_średnie[[#This Row],[I. Nazwisko]],tbl_główna_GRACZE[fgm]))/tbl_zawodnicy_średnie[[#This Row],[Played]],0)</f>
        <v>5.666666666666667</v>
      </c>
      <c r="E21" s="55">
        <f>IFERROR((SUMIF(tbl_główna_GRACZE[I. Nazwisko],tbl_zawodnicy_średnie[[#This Row],[I. Nazwisko]],tbl_główna_GRACZE[fga]))/tbl_zawodnicy_średnie[[#This Row],[Played]],0)</f>
        <v>14.333333333333334</v>
      </c>
      <c r="F21" s="55">
        <f>IFERROR((SUMIF(tbl_główna_GRACZE[I. Nazwisko],tbl_zawodnicy_średnie[[#This Row],[I. Nazwisko]],tbl_główna_GRACZE[3pm]))/tbl_zawodnicy_średnie[[#This Row],[Played]],0)</f>
        <v>1.6666666666666667</v>
      </c>
      <c r="G21" s="55">
        <f>IFERROR((SUMIF(tbl_główna_GRACZE[I. Nazwisko],tbl_zawodnicy_średnie[[#This Row],[I. Nazwisko]],tbl_główna_GRACZE[3pa]))/tbl_zawodnicy_średnie[[#This Row],[Played]],0)</f>
        <v>6.333333333333333</v>
      </c>
      <c r="H21" s="55">
        <f>IFERROR((SUMIF(tbl_główna_GRACZE[I. Nazwisko],tbl_zawodnicy_średnie[[#This Row],[I. Nazwisko]],tbl_główna_GRACZE[ftm]))/tbl_zawodnicy_średnie[[#This Row],[Played]],0)</f>
        <v>0.66666666666666663</v>
      </c>
      <c r="I21" s="55">
        <f>IFERROR((SUMIF(tbl_główna_GRACZE[I. Nazwisko],tbl_zawodnicy_średnie[[#This Row],[I. Nazwisko]],tbl_główna_GRACZE[fta]))/tbl_zawodnicy_średnie[[#This Row],[Played]],0)</f>
        <v>1.6666666666666667</v>
      </c>
      <c r="J21" s="55">
        <f>IFERROR((SUMIF(tbl_główna_GRACZE[I. Nazwisko],tbl_zawodnicy_średnie[[#This Row],[I. Nazwisko]],tbl_główna_GRACZE[oreb]))/tbl_zawodnicy_średnie[[#This Row],[Played]],0)</f>
        <v>2.3333333333333335</v>
      </c>
      <c r="K21" s="55">
        <f>IFERROR((SUMIF(tbl_główna_GRACZE[I. Nazwisko],tbl_zawodnicy_średnie[[#This Row],[I. Nazwisko]],tbl_główna_GRACZE[dreb]))/tbl_zawodnicy_średnie[[#This Row],[Played]],0)</f>
        <v>7.666666666666667</v>
      </c>
      <c r="L21" s="55">
        <f>IFERROR((SUMIF(tbl_główna_GRACZE[I. Nazwisko],tbl_zawodnicy_średnie[[#This Row],[I. Nazwisko]],tbl_główna_GRACZE[foul]))/tbl_zawodnicy_średnie[[#This Row],[Played]],0)</f>
        <v>2</v>
      </c>
      <c r="M21" s="55">
        <f>IFERROR((SUMIF(tbl_główna_GRACZE[I. Nazwisko],tbl_zawodnicy_średnie[[#This Row],[I. Nazwisko]],tbl_główna_GRACZE[stl]))/tbl_zawodnicy_średnie[[#This Row],[Played]],0)</f>
        <v>3.3333333333333335</v>
      </c>
      <c r="N21" s="55">
        <f>IFERROR((SUMIF(tbl_główna_GRACZE[I. Nazwisko],tbl_zawodnicy_średnie[[#This Row],[I. Nazwisko]],tbl_główna_GRACZE[to]))/tbl_zawodnicy_średnie[[#This Row],[Played]],0)</f>
        <v>0</v>
      </c>
      <c r="O21" s="55">
        <f>IFERROR((SUMIF(tbl_główna_GRACZE[I. Nazwisko],tbl_zawodnicy_średnie[[#This Row],[I. Nazwisko]],tbl_główna_GRACZE[blk]))/tbl_zawodnicy_średnie[[#This Row],[Played]],0)</f>
        <v>0</v>
      </c>
      <c r="P21" s="55">
        <f>IFERROR((SUMIF(tbl_główna_GRACZE[I. Nazwisko],tbl_zawodnicy_średnie[[#This Row],[I. Nazwisko]],tbl_główna_GRACZE[asst]))/tbl_zawodnicy_średnie[[#This Row],[Played]],0)</f>
        <v>3</v>
      </c>
      <c r="Q21" s="55">
        <f>IFERROR((SUMIF(tbl_główna_GRACZE[I. Nazwisko],tbl_zawodnicy_średnie[[#This Row],[I. Nazwisko]],tbl_główna_GRACZE[min]))/tbl_zawodnicy_średnie[[#This Row],[Played]],0)</f>
        <v>39.333333333333336</v>
      </c>
      <c r="R21" s="55">
        <f>IFERROR((SUMIF(tbl_główna_GRACZE[I. Nazwisko],tbl_zawodnicy_średnie[[#This Row],[I. Nazwisko]],tbl_główna_GRACZE[pts]))/tbl_zawodnicy_średnie[[#This Row],[Played]],0)</f>
        <v>13.666666666666666</v>
      </c>
      <c r="S21" s="6">
        <f t="shared" si="9"/>
        <v>10</v>
      </c>
      <c r="T21" s="4">
        <f t="shared" si="0"/>
        <v>0.39534883720930231</v>
      </c>
      <c r="U21" s="4">
        <f t="shared" si="1"/>
        <v>0.26315789473684215</v>
      </c>
      <c r="V21" s="4">
        <f t="shared" si="2"/>
        <v>0.39999999999999997</v>
      </c>
      <c r="W21" s="4">
        <f>IFERROR(tbl_zawodnicy_średnie[[#This Row],[2pm]]/tbl_zawodnicy_średnie[[#This Row],[2pa]],0)</f>
        <v>0.5</v>
      </c>
      <c r="X21" s="4">
        <f t="shared" si="3"/>
        <v>0.45353982300884954</v>
      </c>
      <c r="Y21" s="4">
        <f t="shared" si="4"/>
        <v>0.45348837209302323</v>
      </c>
      <c r="Z21" s="6">
        <f t="shared" si="10"/>
        <v>20.333333333333332</v>
      </c>
      <c r="AA21" s="4">
        <f t="shared" si="5"/>
        <v>0.11627906976744186</v>
      </c>
      <c r="AB21" s="4">
        <f t="shared" si="6"/>
        <v>0.44186046511627902</v>
      </c>
      <c r="AC21" s="26">
        <f>IFERROR((SUMIF(tbl_główna_GRACZE[I. Nazwisko],tbl_zawodnicy_średnie[[#This Row],[I. Nazwisko]],tbl_główna_GRACZE[USG%]))/tbl_zawodnicy_średnie[[#This Row],[Played]],0)</f>
        <v>0.20207351163955387</v>
      </c>
      <c r="AD21" s="25">
        <f>IFERROR(tbl_zawodnicy_średnie[[#This Row],[pts]]*(40/tbl_zawodnicy_średnie[[#This Row],[min]]),0)</f>
        <v>13.898305084745761</v>
      </c>
      <c r="AE21" s="25">
        <f>IFERROR(tbl_zawodnicy_średnie[[#This Row],[reb total]]*(40/tbl_zawodnicy_średnie[[#This Row],[min]]),0)</f>
        <v>10.169491525423728</v>
      </c>
      <c r="AF21" s="30">
        <f>IFERROR(tbl_zawodnicy_średnie[[#This Row],[asst]]*(40/tbl_zawodnicy_średnie[[#This Row],[min]]),0)</f>
        <v>3.0508474576271185</v>
      </c>
      <c r="AG21" s="5">
        <f t="shared" si="7"/>
        <v>0.95348837209302317</v>
      </c>
      <c r="AH21" s="5">
        <f>IFERROR((tbl_zawodnicy_średnie[[#This Row],[stl]]+tbl_zawodnicy_średnie[[#This Row],[blk]])*(40/tbl_zawodnicy_średnie[[#This Row],[min]]),0)</f>
        <v>3.3898305084745761</v>
      </c>
      <c r="AI21" s="4">
        <f>IFERROR((SUMIF(tbl_główna_GRACZE[I. Nazwisko],tbl_zawodnicy_średnie[[#This Row],[I. Nazwisko]],tbl_główna_GRACZE[DI]))/tbl_zawodnicy_średnie[[#This Row],[Played]],0)</f>
        <v>0.28795518207282916</v>
      </c>
      <c r="AJ21" s="25">
        <f>tbl_zawodnicy_średnie[[#This Row],[stl]]+tbl_zawodnicy_średnie[[#This Row],[blk]]+(tbl_zawodnicy_średnie[[#This Row],[dreb]]*0.5)</f>
        <v>7.166666666666667</v>
      </c>
      <c r="AK21" s="29">
        <f>IFERROR((tbl_zawodnicy_średnie[[#This Row],[stl]]+tbl_zawodnicy_średnie[[#This Row],[blk]]+0.5*tbl_zawodnicy_średnie[[#This Row],[dreb]])/tbl_zawodnicy_średnie[[#This Row],[min]],0)</f>
        <v>0.18220338983050846</v>
      </c>
      <c r="AL21" s="6">
        <f t="shared" si="8"/>
        <v>14.866666666666667</v>
      </c>
      <c r="AM21" s="6">
        <f>IFERROR(tbl_zawodnicy_średnie[[#This Row],[GmSc]]*(40/tbl_zawodnicy_średnie[[#This Row],[min]]),0)</f>
        <v>15.118644067796611</v>
      </c>
      <c r="AN21" s="6">
        <f>IFERROR(tbl_zawodnicy_średnie[[#This Row],[EVAL]]*(40/tbl_zawodnicy_średnie[[#This Row],[min]]),0)</f>
        <v>20.677966101694913</v>
      </c>
      <c r="AO21" s="6">
        <f>tbl_zawodnicy_średnie[[#This Row],[fgm]]-tbl_zawodnicy_średnie[[#This Row],[3pm]]</f>
        <v>4</v>
      </c>
      <c r="AP21" s="6">
        <f>tbl_zawodnicy_średnie[[#This Row],[fga]]-tbl_zawodnicy_średnie[[#This Row],[3pa]]</f>
        <v>8</v>
      </c>
      <c r="AQ21">
        <v>11</v>
      </c>
      <c r="AR21" s="6" t="str">
        <f>tbl_zawodnicy_średnie[[#This Row],[I. Nazwisko]]&amp;" ["&amp;VLOOKUP(tbl_zawodnicy_średnie[[#This Row],[zespół]],tab_nazwy_zespołów[],2,0)&amp;"]"</f>
        <v>K. Grzegorzak [HUT]</v>
      </c>
    </row>
    <row r="22" spans="1:44" ht="14.5" customHeight="1" x14ac:dyDescent="0.35">
      <c r="A22" t="s">
        <v>25</v>
      </c>
      <c r="B22" t="s">
        <v>170</v>
      </c>
      <c r="C22" s="9">
        <f>SUMIF(tbl_główna_GRACZE[I. Nazwisko],tbl_zawodnicy_średnie[[#This Row],[I. Nazwisko]],tbl_główna_GRACZE[Played?])</f>
        <v>1</v>
      </c>
      <c r="D22" s="55">
        <f>IFERROR((SUMIF(tbl_główna_GRACZE[I. Nazwisko],tbl_zawodnicy_średnie[[#This Row],[I. Nazwisko]],tbl_główna_GRACZE[fgm]))/tbl_zawodnicy_średnie[[#This Row],[Played]],0)</f>
        <v>3</v>
      </c>
      <c r="E22" s="55">
        <f>IFERROR((SUMIF(tbl_główna_GRACZE[I. Nazwisko],tbl_zawodnicy_średnie[[#This Row],[I. Nazwisko]],tbl_główna_GRACZE[fga]))/tbl_zawodnicy_średnie[[#This Row],[Played]],0)</f>
        <v>13</v>
      </c>
      <c r="F22" s="55">
        <f>IFERROR((SUMIF(tbl_główna_GRACZE[I. Nazwisko],tbl_zawodnicy_średnie[[#This Row],[I. Nazwisko]],tbl_główna_GRACZE[3pm]))/tbl_zawodnicy_średnie[[#This Row],[Played]],0)</f>
        <v>0</v>
      </c>
      <c r="G22" s="55">
        <f>IFERROR((SUMIF(tbl_główna_GRACZE[I. Nazwisko],tbl_zawodnicy_średnie[[#This Row],[I. Nazwisko]],tbl_główna_GRACZE[3pa]))/tbl_zawodnicy_średnie[[#This Row],[Played]],0)</f>
        <v>3</v>
      </c>
      <c r="H22" s="55">
        <f>IFERROR((SUMIF(tbl_główna_GRACZE[I. Nazwisko],tbl_zawodnicy_średnie[[#This Row],[I. Nazwisko]],tbl_główna_GRACZE[ftm]))/tbl_zawodnicy_średnie[[#This Row],[Played]],0)</f>
        <v>6</v>
      </c>
      <c r="I22" s="55">
        <f>IFERROR((SUMIF(tbl_główna_GRACZE[I. Nazwisko],tbl_zawodnicy_średnie[[#This Row],[I. Nazwisko]],tbl_główna_GRACZE[fta]))/tbl_zawodnicy_średnie[[#This Row],[Played]],0)</f>
        <v>10</v>
      </c>
      <c r="J22" s="55">
        <f>IFERROR((SUMIF(tbl_główna_GRACZE[I. Nazwisko],tbl_zawodnicy_średnie[[#This Row],[I. Nazwisko]],tbl_główna_GRACZE[oreb]))/tbl_zawodnicy_średnie[[#This Row],[Played]],0)</f>
        <v>9</v>
      </c>
      <c r="K22" s="55">
        <f>IFERROR((SUMIF(tbl_główna_GRACZE[I. Nazwisko],tbl_zawodnicy_średnie[[#This Row],[I. Nazwisko]],tbl_główna_GRACZE[dreb]))/tbl_zawodnicy_średnie[[#This Row],[Played]],0)</f>
        <v>8</v>
      </c>
      <c r="L22" s="55">
        <f>IFERROR((SUMIF(tbl_główna_GRACZE[I. Nazwisko],tbl_zawodnicy_średnie[[#This Row],[I. Nazwisko]],tbl_główna_GRACZE[foul]))/tbl_zawodnicy_średnie[[#This Row],[Played]],0)</f>
        <v>1</v>
      </c>
      <c r="M22" s="55">
        <f>IFERROR((SUMIF(tbl_główna_GRACZE[I. Nazwisko],tbl_zawodnicy_średnie[[#This Row],[I. Nazwisko]],tbl_główna_GRACZE[stl]))/tbl_zawodnicy_średnie[[#This Row],[Played]],0)</f>
        <v>5</v>
      </c>
      <c r="N22" s="55">
        <f>IFERROR((SUMIF(tbl_główna_GRACZE[I. Nazwisko],tbl_zawodnicy_średnie[[#This Row],[I. Nazwisko]],tbl_główna_GRACZE[to]))/tbl_zawodnicy_średnie[[#This Row],[Played]],0)</f>
        <v>0</v>
      </c>
      <c r="O22" s="55">
        <f>IFERROR((SUMIF(tbl_główna_GRACZE[I. Nazwisko],tbl_zawodnicy_średnie[[#This Row],[I. Nazwisko]],tbl_główna_GRACZE[blk]))/tbl_zawodnicy_średnie[[#This Row],[Played]],0)</f>
        <v>0</v>
      </c>
      <c r="P22" s="55">
        <f>IFERROR((SUMIF(tbl_główna_GRACZE[I. Nazwisko],tbl_zawodnicy_średnie[[#This Row],[I. Nazwisko]],tbl_główna_GRACZE[asst]))/tbl_zawodnicy_średnie[[#This Row],[Played]],0)</f>
        <v>6</v>
      </c>
      <c r="Q22" s="55">
        <f>IFERROR((SUMIF(tbl_główna_GRACZE[I. Nazwisko],tbl_zawodnicy_średnie[[#This Row],[I. Nazwisko]],tbl_główna_GRACZE[min]))/tbl_zawodnicy_średnie[[#This Row],[Played]],0)</f>
        <v>40</v>
      </c>
      <c r="R22" s="55">
        <f>IFERROR((SUMIF(tbl_główna_GRACZE[I. Nazwisko],tbl_zawodnicy_średnie[[#This Row],[I. Nazwisko]],tbl_główna_GRACZE[pts]))/tbl_zawodnicy_średnie[[#This Row],[Played]],0)</f>
        <v>12</v>
      </c>
      <c r="S22" s="6">
        <f t="shared" si="9"/>
        <v>17</v>
      </c>
      <c r="T22" s="4">
        <f t="shared" si="0"/>
        <v>0.23076923076923078</v>
      </c>
      <c r="U22" s="4">
        <f t="shared" si="1"/>
        <v>0</v>
      </c>
      <c r="V22" s="4">
        <f t="shared" si="2"/>
        <v>0.6</v>
      </c>
      <c r="W22" s="4">
        <f>IFERROR(tbl_zawodnicy_średnie[[#This Row],[2pm]]/tbl_zawodnicy_średnie[[#This Row],[2pa]],0)</f>
        <v>0.3</v>
      </c>
      <c r="X22" s="4">
        <f t="shared" si="3"/>
        <v>0.34482758620689657</v>
      </c>
      <c r="Y22" s="4">
        <f t="shared" si="4"/>
        <v>0.23076923076923078</v>
      </c>
      <c r="Z22" s="6">
        <f t="shared" si="10"/>
        <v>26</v>
      </c>
      <c r="AA22" s="4">
        <f t="shared" si="5"/>
        <v>0.76923076923076927</v>
      </c>
      <c r="AB22" s="4">
        <f t="shared" si="6"/>
        <v>0.23076923076923078</v>
      </c>
      <c r="AC22" s="26">
        <f>IFERROR((SUMIF(tbl_główna_GRACZE[I. Nazwisko],tbl_zawodnicy_średnie[[#This Row],[I. Nazwisko]],tbl_główna_GRACZE[USG%]))/tbl_zawodnicy_średnie[[#This Row],[Played]],0)</f>
        <v>0.21065375302663439</v>
      </c>
      <c r="AD22" s="25">
        <f>IFERROR(tbl_zawodnicy_średnie[[#This Row],[pts]]*(40/tbl_zawodnicy_średnie[[#This Row],[min]]),0)</f>
        <v>12</v>
      </c>
      <c r="AE22" s="25">
        <f>IFERROR(tbl_zawodnicy_średnie[[#This Row],[reb total]]*(40/tbl_zawodnicy_średnie[[#This Row],[min]]),0)</f>
        <v>17</v>
      </c>
      <c r="AF22" s="30">
        <f>IFERROR(tbl_zawodnicy_średnie[[#This Row],[asst]]*(40/tbl_zawodnicy_średnie[[#This Row],[min]]),0)</f>
        <v>6</v>
      </c>
      <c r="AG22" s="5">
        <f t="shared" si="7"/>
        <v>0.92307692307692313</v>
      </c>
      <c r="AH22" s="5">
        <f>IFERROR((tbl_zawodnicy_średnie[[#This Row],[stl]]+tbl_zawodnicy_średnie[[#This Row],[blk]])*(40/tbl_zawodnicy_średnie[[#This Row],[min]]),0)</f>
        <v>5</v>
      </c>
      <c r="AI22" s="4">
        <f>IFERROR((SUMIF(tbl_główna_GRACZE[I. Nazwisko],tbl_zawodnicy_średnie[[#This Row],[I. Nazwisko]],tbl_główna_GRACZE[DI]))/tbl_zawodnicy_średnie[[#This Row],[Played]],0)</f>
        <v>0.29411764705882354</v>
      </c>
      <c r="AJ22" s="25">
        <f>tbl_zawodnicy_średnie[[#This Row],[stl]]+tbl_zawodnicy_średnie[[#This Row],[blk]]+(tbl_zawodnicy_średnie[[#This Row],[dreb]]*0.5)</f>
        <v>9</v>
      </c>
      <c r="AK22" s="29">
        <f>IFERROR((tbl_zawodnicy_średnie[[#This Row],[stl]]+tbl_zawodnicy_średnie[[#This Row],[blk]]+0.5*tbl_zawodnicy_średnie[[#This Row],[dreb]])/tbl_zawodnicy_średnie[[#This Row],[min]],0)</f>
        <v>0.22500000000000001</v>
      </c>
      <c r="AL22" s="6">
        <f t="shared" si="8"/>
        <v>20.399999999999999</v>
      </c>
      <c r="AM22" s="6">
        <f>IFERROR(tbl_zawodnicy_średnie[[#This Row],[GmSc]]*(40/tbl_zawodnicy_średnie[[#This Row],[min]]),0)</f>
        <v>20.399999999999999</v>
      </c>
      <c r="AN22" s="6">
        <f>IFERROR(tbl_zawodnicy_średnie[[#This Row],[EVAL]]*(40/tbl_zawodnicy_średnie[[#This Row],[min]]),0)</f>
        <v>26</v>
      </c>
      <c r="AO22" s="6">
        <f>tbl_zawodnicy_średnie[[#This Row],[fgm]]-tbl_zawodnicy_średnie[[#This Row],[3pm]]</f>
        <v>3</v>
      </c>
      <c r="AP22" s="6">
        <f>tbl_zawodnicy_średnie[[#This Row],[fga]]-tbl_zawodnicy_średnie[[#This Row],[3pa]]</f>
        <v>10</v>
      </c>
      <c r="AQ22">
        <v>12</v>
      </c>
      <c r="AR22" s="6" t="str">
        <f>tbl_zawodnicy_średnie[[#This Row],[I. Nazwisko]]&amp;" ["&amp;VLOOKUP(tbl_zawodnicy_średnie[[#This Row],[zespół]],tab_nazwy_zespołów[],2,0)&amp;"]"</f>
        <v>A. Nyckowski [HUT]</v>
      </c>
    </row>
    <row r="23" spans="1:44" ht="14.5" customHeight="1" x14ac:dyDescent="0.35">
      <c r="A23" t="s">
        <v>25</v>
      </c>
      <c r="B23" t="s">
        <v>171</v>
      </c>
      <c r="C23" s="9">
        <f>SUMIF(tbl_główna_GRACZE[I. Nazwisko],tbl_zawodnicy_średnie[[#This Row],[I. Nazwisko]],tbl_główna_GRACZE[Played?])</f>
        <v>2</v>
      </c>
      <c r="D23" s="55">
        <f>IFERROR((SUMIF(tbl_główna_GRACZE[I. Nazwisko],tbl_zawodnicy_średnie[[#This Row],[I. Nazwisko]],tbl_główna_GRACZE[fgm]))/tbl_zawodnicy_średnie[[#This Row],[Played]],0)</f>
        <v>7.5</v>
      </c>
      <c r="E23" s="55">
        <f>IFERROR((SUMIF(tbl_główna_GRACZE[I. Nazwisko],tbl_zawodnicy_średnie[[#This Row],[I. Nazwisko]],tbl_główna_GRACZE[fga]))/tbl_zawodnicy_średnie[[#This Row],[Played]],0)</f>
        <v>31.5</v>
      </c>
      <c r="F23" s="55">
        <f>IFERROR((SUMIF(tbl_główna_GRACZE[I. Nazwisko],tbl_zawodnicy_średnie[[#This Row],[I. Nazwisko]],tbl_główna_GRACZE[3pm]))/tbl_zawodnicy_średnie[[#This Row],[Played]],0)</f>
        <v>5</v>
      </c>
      <c r="G23" s="55">
        <f>IFERROR((SUMIF(tbl_główna_GRACZE[I. Nazwisko],tbl_zawodnicy_średnie[[#This Row],[I. Nazwisko]],tbl_główna_GRACZE[3pa]))/tbl_zawodnicy_średnie[[#This Row],[Played]],0)</f>
        <v>25</v>
      </c>
      <c r="H23" s="55">
        <f>IFERROR((SUMIF(tbl_główna_GRACZE[I. Nazwisko],tbl_zawodnicy_średnie[[#This Row],[I. Nazwisko]],tbl_główna_GRACZE[ftm]))/tbl_zawodnicy_średnie[[#This Row],[Played]],0)</f>
        <v>0.5</v>
      </c>
      <c r="I23" s="55">
        <f>IFERROR((SUMIF(tbl_główna_GRACZE[I. Nazwisko],tbl_zawodnicy_średnie[[#This Row],[I. Nazwisko]],tbl_główna_GRACZE[fta]))/tbl_zawodnicy_średnie[[#This Row],[Played]],0)</f>
        <v>2</v>
      </c>
      <c r="J23" s="55">
        <f>IFERROR((SUMIF(tbl_główna_GRACZE[I. Nazwisko],tbl_zawodnicy_średnie[[#This Row],[I. Nazwisko]],tbl_główna_GRACZE[oreb]))/tbl_zawodnicy_średnie[[#This Row],[Played]],0)</f>
        <v>0</v>
      </c>
      <c r="K23" s="55">
        <f>IFERROR((SUMIF(tbl_główna_GRACZE[I. Nazwisko],tbl_zawodnicy_średnie[[#This Row],[I. Nazwisko]],tbl_główna_GRACZE[dreb]))/tbl_zawodnicy_średnie[[#This Row],[Played]],0)</f>
        <v>2</v>
      </c>
      <c r="L23" s="55">
        <f>IFERROR((SUMIF(tbl_główna_GRACZE[I. Nazwisko],tbl_zawodnicy_średnie[[#This Row],[I. Nazwisko]],tbl_główna_GRACZE[foul]))/tbl_zawodnicy_średnie[[#This Row],[Played]],0)</f>
        <v>0</v>
      </c>
      <c r="M23" s="55">
        <f>IFERROR((SUMIF(tbl_główna_GRACZE[I. Nazwisko],tbl_zawodnicy_średnie[[#This Row],[I. Nazwisko]],tbl_główna_GRACZE[stl]))/tbl_zawodnicy_średnie[[#This Row],[Played]],0)</f>
        <v>0</v>
      </c>
      <c r="N23" s="55">
        <f>IFERROR((SUMIF(tbl_główna_GRACZE[I. Nazwisko],tbl_zawodnicy_średnie[[#This Row],[I. Nazwisko]],tbl_główna_GRACZE[to]))/tbl_zawodnicy_średnie[[#This Row],[Played]],0)</f>
        <v>0</v>
      </c>
      <c r="O23" s="55">
        <f>IFERROR((SUMIF(tbl_główna_GRACZE[I. Nazwisko],tbl_zawodnicy_średnie[[#This Row],[I. Nazwisko]],tbl_główna_GRACZE[blk]))/tbl_zawodnicy_średnie[[#This Row],[Played]],0)</f>
        <v>0.5</v>
      </c>
      <c r="P23" s="55">
        <f>IFERROR((SUMIF(tbl_główna_GRACZE[I. Nazwisko],tbl_zawodnicy_średnie[[#This Row],[I. Nazwisko]],tbl_główna_GRACZE[asst]))/tbl_zawodnicy_średnie[[#This Row],[Played]],0)</f>
        <v>0.5</v>
      </c>
      <c r="Q23" s="55">
        <f>IFERROR((SUMIF(tbl_główna_GRACZE[I. Nazwisko],tbl_zawodnicy_średnie[[#This Row],[I. Nazwisko]],tbl_główna_GRACZE[min]))/tbl_zawodnicy_średnie[[#This Row],[Played]],0)</f>
        <v>40</v>
      </c>
      <c r="R23" s="55">
        <f>IFERROR((SUMIF(tbl_główna_GRACZE[I. Nazwisko],tbl_zawodnicy_średnie[[#This Row],[I. Nazwisko]],tbl_główna_GRACZE[pts]))/tbl_zawodnicy_średnie[[#This Row],[Played]],0)</f>
        <v>20.5</v>
      </c>
      <c r="S23" s="6">
        <f t="shared" si="9"/>
        <v>2</v>
      </c>
      <c r="T23" s="4">
        <f t="shared" si="0"/>
        <v>0.23809523809523808</v>
      </c>
      <c r="U23" s="4">
        <f t="shared" si="1"/>
        <v>0.2</v>
      </c>
      <c r="V23" s="4">
        <f t="shared" si="2"/>
        <v>0.25</v>
      </c>
      <c r="W23" s="4">
        <f>IFERROR(tbl_zawodnicy_średnie[[#This Row],[2pm]]/tbl_zawodnicy_średnie[[#This Row],[2pa]],0)</f>
        <v>0.38461538461538464</v>
      </c>
      <c r="X23" s="4">
        <f t="shared" si="3"/>
        <v>0.31655342804200121</v>
      </c>
      <c r="Y23" s="4">
        <f t="shared" si="4"/>
        <v>0.31746031746031744</v>
      </c>
      <c r="Z23" s="6">
        <f t="shared" si="10"/>
        <v>-2</v>
      </c>
      <c r="AA23" s="4">
        <f t="shared" si="5"/>
        <v>6.3492063492063489E-2</v>
      </c>
      <c r="AB23" s="4">
        <f t="shared" si="6"/>
        <v>0.79365079365079361</v>
      </c>
      <c r="AC23" s="26">
        <f>IFERROR((SUMIF(tbl_główna_GRACZE[I. Nazwisko],tbl_zawodnicy_średnie[[#This Row],[I. Nazwisko]],tbl_główna_GRACZE[USG%]))/tbl_zawodnicy_średnie[[#This Row],[Played]],0)</f>
        <v>0.43567332792792546</v>
      </c>
      <c r="AD23" s="25">
        <f>IFERROR(tbl_zawodnicy_średnie[[#This Row],[pts]]*(40/tbl_zawodnicy_średnie[[#This Row],[min]]),0)</f>
        <v>20.5</v>
      </c>
      <c r="AE23" s="25">
        <f>IFERROR(tbl_zawodnicy_średnie[[#This Row],[reb total]]*(40/tbl_zawodnicy_średnie[[#This Row],[min]]),0)</f>
        <v>2</v>
      </c>
      <c r="AF23" s="30">
        <f>IFERROR(tbl_zawodnicy_średnie[[#This Row],[asst]]*(40/tbl_zawodnicy_średnie[[#This Row],[min]]),0)</f>
        <v>0.5</v>
      </c>
      <c r="AG23" s="5">
        <f t="shared" si="7"/>
        <v>0.65079365079365081</v>
      </c>
      <c r="AH23" s="5">
        <f>IFERROR((tbl_zawodnicy_średnie[[#This Row],[stl]]+tbl_zawodnicy_średnie[[#This Row],[blk]])*(40/tbl_zawodnicy_średnie[[#This Row],[min]]),0)</f>
        <v>0.5</v>
      </c>
      <c r="AI23" s="4">
        <f>IFERROR((SUMIF(tbl_główna_GRACZE[I. Nazwisko],tbl_zawodnicy_średnie[[#This Row],[I. Nazwisko]],tbl_główna_GRACZE[DI]))/tbl_zawodnicy_średnie[[#This Row],[Played]],0)</f>
        <v>7.1428571428571425E-2</v>
      </c>
      <c r="AJ23" s="25">
        <f>tbl_zawodnicy_średnie[[#This Row],[stl]]+tbl_zawodnicy_średnie[[#This Row],[blk]]+(tbl_zawodnicy_średnie[[#This Row],[dreb]]*0.5)</f>
        <v>1.5</v>
      </c>
      <c r="AK23" s="29">
        <f>IFERROR((tbl_zawodnicy_średnie[[#This Row],[stl]]+tbl_zawodnicy_średnie[[#This Row],[blk]]+0.5*tbl_zawodnicy_średnie[[#This Row],[dreb]])/tbl_zawodnicy_średnie[[#This Row],[min]],0)</f>
        <v>3.7499999999999999E-2</v>
      </c>
      <c r="AL23" s="6">
        <f t="shared" si="8"/>
        <v>2.150000000000003</v>
      </c>
      <c r="AM23" s="6">
        <f>IFERROR(tbl_zawodnicy_średnie[[#This Row],[GmSc]]*(40/tbl_zawodnicy_średnie[[#This Row],[min]]),0)</f>
        <v>2.150000000000003</v>
      </c>
      <c r="AN23" s="6">
        <f>IFERROR(tbl_zawodnicy_średnie[[#This Row],[EVAL]]*(40/tbl_zawodnicy_średnie[[#This Row],[min]]),0)</f>
        <v>-2</v>
      </c>
      <c r="AO23" s="6">
        <f>tbl_zawodnicy_średnie[[#This Row],[fgm]]-tbl_zawodnicy_średnie[[#This Row],[3pm]]</f>
        <v>2.5</v>
      </c>
      <c r="AP23" s="6">
        <f>tbl_zawodnicy_średnie[[#This Row],[fga]]-tbl_zawodnicy_średnie[[#This Row],[3pa]]</f>
        <v>6.5</v>
      </c>
      <c r="AQ23">
        <v>13</v>
      </c>
      <c r="AR23" s="6" t="str">
        <f>tbl_zawodnicy_średnie[[#This Row],[I. Nazwisko]]&amp;" ["&amp;VLOOKUP(tbl_zawodnicy_średnie[[#This Row],[zespół]],tab_nazwy_zespołów[],2,0)&amp;"]"</f>
        <v>D. Reguła [HUT]</v>
      </c>
    </row>
    <row r="24" spans="1:44" ht="14.5" customHeight="1" x14ac:dyDescent="0.35">
      <c r="A24" t="s">
        <v>25</v>
      </c>
      <c r="B24" t="s">
        <v>172</v>
      </c>
      <c r="C24" s="9">
        <f>SUMIF(tbl_główna_GRACZE[I. Nazwisko],tbl_zawodnicy_średnie[[#This Row],[I. Nazwisko]],tbl_główna_GRACZE[Played?])</f>
        <v>2</v>
      </c>
      <c r="D24" s="55">
        <f>IFERROR((SUMIF(tbl_główna_GRACZE[I. Nazwisko],tbl_zawodnicy_średnie[[#This Row],[I. Nazwisko]],tbl_główna_GRACZE[fgm]))/tbl_zawodnicy_średnie[[#This Row],[Played]],0)</f>
        <v>3</v>
      </c>
      <c r="E24" s="55">
        <f>IFERROR((SUMIF(tbl_główna_GRACZE[I. Nazwisko],tbl_zawodnicy_średnie[[#This Row],[I. Nazwisko]],tbl_główna_GRACZE[fga]))/tbl_zawodnicy_średnie[[#This Row],[Played]],0)</f>
        <v>8.5</v>
      </c>
      <c r="F24" s="55">
        <f>IFERROR((SUMIF(tbl_główna_GRACZE[I. Nazwisko],tbl_zawodnicy_średnie[[#This Row],[I. Nazwisko]],tbl_główna_GRACZE[3pm]))/tbl_zawodnicy_średnie[[#This Row],[Played]],0)</f>
        <v>0.5</v>
      </c>
      <c r="G24" s="55">
        <f>IFERROR((SUMIF(tbl_główna_GRACZE[I. Nazwisko],tbl_zawodnicy_średnie[[#This Row],[I. Nazwisko]],tbl_główna_GRACZE[3pa]))/tbl_zawodnicy_średnie[[#This Row],[Played]],0)</f>
        <v>2.5</v>
      </c>
      <c r="H24" s="55">
        <f>IFERROR((SUMIF(tbl_główna_GRACZE[I. Nazwisko],tbl_zawodnicy_średnie[[#This Row],[I. Nazwisko]],tbl_główna_GRACZE[ftm]))/tbl_zawodnicy_średnie[[#This Row],[Played]],0)</f>
        <v>0.5</v>
      </c>
      <c r="I24" s="55">
        <f>IFERROR((SUMIF(tbl_główna_GRACZE[I. Nazwisko],tbl_zawodnicy_średnie[[#This Row],[I. Nazwisko]],tbl_główna_GRACZE[fta]))/tbl_zawodnicy_średnie[[#This Row],[Played]],0)</f>
        <v>2</v>
      </c>
      <c r="J24" s="55">
        <f>IFERROR((SUMIF(tbl_główna_GRACZE[I. Nazwisko],tbl_zawodnicy_średnie[[#This Row],[I. Nazwisko]],tbl_główna_GRACZE[oreb]))/tbl_zawodnicy_średnie[[#This Row],[Played]],0)</f>
        <v>6</v>
      </c>
      <c r="K24" s="55">
        <f>IFERROR((SUMIF(tbl_główna_GRACZE[I. Nazwisko],tbl_zawodnicy_średnie[[#This Row],[I. Nazwisko]],tbl_główna_GRACZE[dreb]))/tbl_zawodnicy_średnie[[#This Row],[Played]],0)</f>
        <v>11.5</v>
      </c>
      <c r="L24" s="55">
        <f>IFERROR((SUMIF(tbl_główna_GRACZE[I. Nazwisko],tbl_zawodnicy_średnie[[#This Row],[I. Nazwisko]],tbl_główna_GRACZE[foul]))/tbl_zawodnicy_średnie[[#This Row],[Played]],0)</f>
        <v>1.5</v>
      </c>
      <c r="M24" s="55">
        <f>IFERROR((SUMIF(tbl_główna_GRACZE[I. Nazwisko],tbl_zawodnicy_średnie[[#This Row],[I. Nazwisko]],tbl_główna_GRACZE[stl]))/tbl_zawodnicy_średnie[[#This Row],[Played]],0)</f>
        <v>1</v>
      </c>
      <c r="N24" s="55">
        <f>IFERROR((SUMIF(tbl_główna_GRACZE[I. Nazwisko],tbl_zawodnicy_średnie[[#This Row],[I. Nazwisko]],tbl_główna_GRACZE[to]))/tbl_zawodnicy_średnie[[#This Row],[Played]],0)</f>
        <v>0</v>
      </c>
      <c r="O24" s="55">
        <f>IFERROR((SUMIF(tbl_główna_GRACZE[I. Nazwisko],tbl_zawodnicy_średnie[[#This Row],[I. Nazwisko]],tbl_główna_GRACZE[blk]))/tbl_zawodnicy_średnie[[#This Row],[Played]],0)</f>
        <v>0</v>
      </c>
      <c r="P24" s="55">
        <f>IFERROR((SUMIF(tbl_główna_GRACZE[I. Nazwisko],tbl_zawodnicy_średnie[[#This Row],[I. Nazwisko]],tbl_główna_GRACZE[asst]))/tbl_zawodnicy_średnie[[#This Row],[Played]],0)</f>
        <v>4.5</v>
      </c>
      <c r="Q24" s="55">
        <f>IFERROR((SUMIF(tbl_główna_GRACZE[I. Nazwisko],tbl_zawodnicy_średnie[[#This Row],[I. Nazwisko]],tbl_główna_GRACZE[min]))/tbl_zawodnicy_średnie[[#This Row],[Played]],0)</f>
        <v>40</v>
      </c>
      <c r="R24" s="55">
        <f>IFERROR((SUMIF(tbl_główna_GRACZE[I. Nazwisko],tbl_zawodnicy_średnie[[#This Row],[I. Nazwisko]],tbl_główna_GRACZE[pts]))/tbl_zawodnicy_średnie[[#This Row],[Played]],0)</f>
        <v>8</v>
      </c>
      <c r="S24" s="6">
        <f t="shared" si="9"/>
        <v>17.5</v>
      </c>
      <c r="T24" s="4">
        <f t="shared" si="0"/>
        <v>0.35294117647058826</v>
      </c>
      <c r="U24" s="4">
        <f t="shared" si="1"/>
        <v>0.2</v>
      </c>
      <c r="V24" s="4">
        <f t="shared" si="2"/>
        <v>0.25</v>
      </c>
      <c r="W24" s="4">
        <f>IFERROR(tbl_zawodnicy_średnie[[#This Row],[2pm]]/tbl_zawodnicy_średnie[[#This Row],[2pa]],0)</f>
        <v>0.41666666666666669</v>
      </c>
      <c r="X24" s="4">
        <f t="shared" si="3"/>
        <v>0.42643923240938164</v>
      </c>
      <c r="Y24" s="4">
        <f t="shared" si="4"/>
        <v>0.38235294117647056</v>
      </c>
      <c r="Z24" s="6">
        <f t="shared" si="10"/>
        <v>24</v>
      </c>
      <c r="AA24" s="4">
        <f t="shared" si="5"/>
        <v>0.23529411764705882</v>
      </c>
      <c r="AB24" s="4">
        <f t="shared" si="6"/>
        <v>0.29411764705882354</v>
      </c>
      <c r="AC24" s="26">
        <f>IFERROR((SUMIF(tbl_główna_GRACZE[I. Nazwisko],tbl_zawodnicy_średnie[[#This Row],[I. Nazwisko]],tbl_główna_GRACZE[USG%]))/tbl_zawodnicy_średnie[[#This Row],[Played]],0)</f>
        <v>0.1269422961115832</v>
      </c>
      <c r="AD24" s="25">
        <f>IFERROR(tbl_zawodnicy_średnie[[#This Row],[pts]]*(40/tbl_zawodnicy_średnie[[#This Row],[min]]),0)</f>
        <v>8</v>
      </c>
      <c r="AE24" s="25">
        <f>IFERROR(tbl_zawodnicy_średnie[[#This Row],[reb total]]*(40/tbl_zawodnicy_średnie[[#This Row],[min]]),0)</f>
        <v>17.5</v>
      </c>
      <c r="AF24" s="30">
        <f>IFERROR(tbl_zawodnicy_średnie[[#This Row],[asst]]*(40/tbl_zawodnicy_średnie[[#This Row],[min]]),0)</f>
        <v>4.5</v>
      </c>
      <c r="AG24" s="5">
        <f t="shared" si="7"/>
        <v>0.94117647058823528</v>
      </c>
      <c r="AH24" s="5">
        <f>IFERROR((tbl_zawodnicy_średnie[[#This Row],[stl]]+tbl_zawodnicy_średnie[[#This Row],[blk]])*(40/tbl_zawodnicy_średnie[[#This Row],[min]]),0)</f>
        <v>1</v>
      </c>
      <c r="AI24" s="4">
        <f>IFERROR((SUMIF(tbl_główna_GRACZE[I. Nazwisko],tbl_zawodnicy_średnie[[#This Row],[I. Nazwisko]],tbl_główna_GRACZE[DI]))/tbl_zawodnicy_średnie[[#This Row],[Played]],0)</f>
        <v>5.8823529411764705E-2</v>
      </c>
      <c r="AJ24" s="25">
        <f>tbl_zawodnicy_średnie[[#This Row],[stl]]+tbl_zawodnicy_średnie[[#This Row],[blk]]+(tbl_zawodnicy_średnie[[#This Row],[dreb]]*0.5)</f>
        <v>6.75</v>
      </c>
      <c r="AK24" s="29">
        <f>IFERROR((tbl_zawodnicy_średnie[[#This Row],[stl]]+tbl_zawodnicy_średnie[[#This Row],[blk]]+0.5*tbl_zawodnicy_średnie[[#This Row],[dreb]])/tbl_zawodnicy_średnie[[#This Row],[min]],0)</f>
        <v>0.16875000000000001</v>
      </c>
      <c r="AL24" s="6">
        <f t="shared" si="8"/>
        <v>14.45</v>
      </c>
      <c r="AM24" s="6">
        <f>IFERROR(tbl_zawodnicy_średnie[[#This Row],[GmSc]]*(40/tbl_zawodnicy_średnie[[#This Row],[min]]),0)</f>
        <v>14.45</v>
      </c>
      <c r="AN24" s="6">
        <f>IFERROR(tbl_zawodnicy_średnie[[#This Row],[EVAL]]*(40/tbl_zawodnicy_średnie[[#This Row],[min]]),0)</f>
        <v>24</v>
      </c>
      <c r="AO24" s="6">
        <f>tbl_zawodnicy_średnie[[#This Row],[fgm]]-tbl_zawodnicy_średnie[[#This Row],[3pm]]</f>
        <v>2.5</v>
      </c>
      <c r="AP24" s="6">
        <f>tbl_zawodnicy_średnie[[#This Row],[fga]]-tbl_zawodnicy_średnie[[#This Row],[3pa]]</f>
        <v>6</v>
      </c>
      <c r="AQ24">
        <v>14</v>
      </c>
      <c r="AR24" s="6" t="str">
        <f>tbl_zawodnicy_średnie[[#This Row],[I. Nazwisko]]&amp;" ["&amp;VLOOKUP(tbl_zawodnicy_średnie[[#This Row],[zespół]],tab_nazwy_zespołów[],2,0)&amp;"]"</f>
        <v>P. Targoński [HUT]</v>
      </c>
    </row>
    <row r="25" spans="1:44" ht="14.5" customHeight="1" x14ac:dyDescent="0.35">
      <c r="A25" t="s">
        <v>46</v>
      </c>
      <c r="B25" t="s">
        <v>173</v>
      </c>
      <c r="C25" s="10">
        <f>SUMIF(tbl_główna_GRACZE[I. Nazwisko],tbl_zawodnicy_średnie[[#This Row],[I. Nazwisko]],tbl_główna_GRACZE[Played?])</f>
        <v>4</v>
      </c>
      <c r="D25" s="55">
        <f>IFERROR((SUMIF(tbl_główna_GRACZE[I. Nazwisko],tbl_zawodnicy_średnie[[#This Row],[I. Nazwisko]],tbl_główna_GRACZE[fgm]))/tbl_zawodnicy_średnie[[#This Row],[Played]],0)</f>
        <v>4.75</v>
      </c>
      <c r="E25" s="55">
        <f>IFERROR((SUMIF(tbl_główna_GRACZE[I. Nazwisko],tbl_zawodnicy_średnie[[#This Row],[I. Nazwisko]],tbl_główna_GRACZE[fga]))/tbl_zawodnicy_średnie[[#This Row],[Played]],0)</f>
        <v>17.75</v>
      </c>
      <c r="F25" s="55">
        <f>IFERROR((SUMIF(tbl_główna_GRACZE[I. Nazwisko],tbl_zawodnicy_średnie[[#This Row],[I. Nazwisko]],tbl_główna_GRACZE[3pm]))/tbl_zawodnicy_średnie[[#This Row],[Played]],0)</f>
        <v>1</v>
      </c>
      <c r="G25" s="55">
        <f>IFERROR((SUMIF(tbl_główna_GRACZE[I. Nazwisko],tbl_zawodnicy_średnie[[#This Row],[I. Nazwisko]],tbl_główna_GRACZE[3pa]))/tbl_zawodnicy_średnie[[#This Row],[Played]],0)</f>
        <v>7.25</v>
      </c>
      <c r="H25" s="55">
        <f>IFERROR((SUMIF(tbl_główna_GRACZE[I. Nazwisko],tbl_zawodnicy_średnie[[#This Row],[I. Nazwisko]],tbl_główna_GRACZE[ftm]))/tbl_zawodnicy_średnie[[#This Row],[Played]],0)</f>
        <v>1.5</v>
      </c>
      <c r="I25" s="55">
        <f>IFERROR((SUMIF(tbl_główna_GRACZE[I. Nazwisko],tbl_zawodnicy_średnie[[#This Row],[I. Nazwisko]],tbl_główna_GRACZE[fta]))/tbl_zawodnicy_średnie[[#This Row],[Played]],0)</f>
        <v>2.25</v>
      </c>
      <c r="J25" s="55">
        <f>IFERROR((SUMIF(tbl_główna_GRACZE[I. Nazwisko],tbl_zawodnicy_średnie[[#This Row],[I. Nazwisko]],tbl_główna_GRACZE[oreb]))/tbl_zawodnicy_średnie[[#This Row],[Played]],0)</f>
        <v>0.5</v>
      </c>
      <c r="K25" s="55">
        <f>IFERROR((SUMIF(tbl_główna_GRACZE[I. Nazwisko],tbl_zawodnicy_średnie[[#This Row],[I. Nazwisko]],tbl_główna_GRACZE[dreb]))/tbl_zawodnicy_średnie[[#This Row],[Played]],0)</f>
        <v>1.25</v>
      </c>
      <c r="L25" s="55">
        <f>IFERROR((SUMIF(tbl_główna_GRACZE[I. Nazwisko],tbl_zawodnicy_średnie[[#This Row],[I. Nazwisko]],tbl_główna_GRACZE[foul]))/tbl_zawodnicy_średnie[[#This Row],[Played]],0)</f>
        <v>0.5</v>
      </c>
      <c r="M25" s="55">
        <f>IFERROR((SUMIF(tbl_główna_GRACZE[I. Nazwisko],tbl_zawodnicy_średnie[[#This Row],[I. Nazwisko]],tbl_główna_GRACZE[stl]))/tbl_zawodnicy_średnie[[#This Row],[Played]],0)</f>
        <v>1</v>
      </c>
      <c r="N25" s="55">
        <f>IFERROR((SUMIF(tbl_główna_GRACZE[I. Nazwisko],tbl_zawodnicy_średnie[[#This Row],[I. Nazwisko]],tbl_główna_GRACZE[to]))/tbl_zawodnicy_średnie[[#This Row],[Played]],0)</f>
        <v>0</v>
      </c>
      <c r="O25" s="55">
        <f>IFERROR((SUMIF(tbl_główna_GRACZE[I. Nazwisko],tbl_zawodnicy_średnie[[#This Row],[I. Nazwisko]],tbl_główna_GRACZE[blk]))/tbl_zawodnicy_średnie[[#This Row],[Played]],0)</f>
        <v>0.25</v>
      </c>
      <c r="P25" s="55">
        <f>IFERROR((SUMIF(tbl_główna_GRACZE[I. Nazwisko],tbl_zawodnicy_średnie[[#This Row],[I. Nazwisko]],tbl_główna_GRACZE[asst]))/tbl_zawodnicy_średnie[[#This Row],[Played]],0)</f>
        <v>0.5</v>
      </c>
      <c r="Q25" s="55">
        <f>IFERROR((SUMIF(tbl_główna_GRACZE[I. Nazwisko],tbl_zawodnicy_średnie[[#This Row],[I. Nazwisko]],tbl_główna_GRACZE[min]))/tbl_zawodnicy_średnie[[#This Row],[Played]],0)</f>
        <v>28.25</v>
      </c>
      <c r="R25" s="55">
        <f>IFERROR((SUMIF(tbl_główna_GRACZE[I. Nazwisko],tbl_zawodnicy_średnie[[#This Row],[I. Nazwisko]],tbl_główna_GRACZE[pts]))/tbl_zawodnicy_średnie[[#This Row],[Played]],0)</f>
        <v>12</v>
      </c>
      <c r="S25" s="6">
        <f t="shared" si="9"/>
        <v>1.75</v>
      </c>
      <c r="T25" s="4">
        <f t="shared" si="0"/>
        <v>0.26760563380281688</v>
      </c>
      <c r="U25" s="4">
        <f t="shared" si="1"/>
        <v>0.13793103448275862</v>
      </c>
      <c r="V25" s="4">
        <f t="shared" si="2"/>
        <v>0.66666666666666663</v>
      </c>
      <c r="W25" s="4">
        <f>IFERROR(tbl_zawodnicy_średnie[[#This Row],[2pm]]/tbl_zawodnicy_średnie[[#This Row],[2pa]],0)</f>
        <v>0.35714285714285715</v>
      </c>
      <c r="X25" s="4">
        <f t="shared" si="3"/>
        <v>0.32017075773746001</v>
      </c>
      <c r="Y25" s="4">
        <f t="shared" si="4"/>
        <v>0.29577464788732394</v>
      </c>
      <c r="Z25" s="6">
        <f t="shared" si="10"/>
        <v>1.75</v>
      </c>
      <c r="AA25" s="4">
        <f t="shared" si="5"/>
        <v>0.12676056338028169</v>
      </c>
      <c r="AB25" s="4">
        <f t="shared" si="6"/>
        <v>0.40845070422535212</v>
      </c>
      <c r="AC25" s="26">
        <f>IFERROR((SUMIF(tbl_główna_GRACZE[I. Nazwisko],tbl_zawodnicy_średnie[[#This Row],[I. Nazwisko]],tbl_główna_GRACZE[USG%]))/tbl_zawodnicy_średnie[[#This Row],[Played]],0)</f>
        <v>0.28839296740909642</v>
      </c>
      <c r="AD25" s="25">
        <f>IFERROR(tbl_zawodnicy_średnie[[#This Row],[pts]]*(40/tbl_zawodnicy_średnie[[#This Row],[min]]),0)</f>
        <v>16.991150442477874</v>
      </c>
      <c r="AE25" s="25">
        <f>IFERROR(tbl_zawodnicy_średnie[[#This Row],[reb total]]*(40/tbl_zawodnicy_średnie[[#This Row],[min]]),0)</f>
        <v>2.4778761061946901</v>
      </c>
      <c r="AF25" s="30">
        <f>IFERROR(tbl_zawodnicy_średnie[[#This Row],[asst]]*(40/tbl_zawodnicy_średnie[[#This Row],[min]]),0)</f>
        <v>0.70796460176991149</v>
      </c>
      <c r="AG25" s="5">
        <f t="shared" si="7"/>
        <v>0.676056338028169</v>
      </c>
      <c r="AH25" s="5">
        <f>IFERROR((tbl_zawodnicy_średnie[[#This Row],[stl]]+tbl_zawodnicy_średnie[[#This Row],[blk]])*(40/tbl_zawodnicy_średnie[[#This Row],[min]]),0)</f>
        <v>1.7699115044247788</v>
      </c>
      <c r="AI25" s="4">
        <f>IFERROR((SUMIF(tbl_główna_GRACZE[I. Nazwisko],tbl_zawodnicy_średnie[[#This Row],[I. Nazwisko]],tbl_główna_GRACZE[DI]))/tbl_zawodnicy_średnie[[#This Row],[Played]],0)</f>
        <v>9.7483291562238922E-2</v>
      </c>
      <c r="AJ25" s="25">
        <f>tbl_zawodnicy_średnie[[#This Row],[stl]]+tbl_zawodnicy_średnie[[#This Row],[blk]]+(tbl_zawodnicy_średnie[[#This Row],[dreb]]*0.5)</f>
        <v>1.875</v>
      </c>
      <c r="AK25" s="29">
        <f>IFERROR((tbl_zawodnicy_średnie[[#This Row],[stl]]+tbl_zawodnicy_średnie[[#This Row],[blk]]+0.5*tbl_zawodnicy_średnie[[#This Row],[dreb]])/tbl_zawodnicy_średnie[[#This Row],[min]],0)</f>
        <v>6.637168141592921E-2</v>
      </c>
      <c r="AL25" s="6">
        <f t="shared" si="8"/>
        <v>3.4250000000000012</v>
      </c>
      <c r="AM25" s="6">
        <f>IFERROR(tbl_zawodnicy_średnie[[#This Row],[GmSc]]*(40/tbl_zawodnicy_średnie[[#This Row],[min]]),0)</f>
        <v>4.8495575221238951</v>
      </c>
      <c r="AN25" s="6">
        <f>IFERROR(tbl_zawodnicy_średnie[[#This Row],[EVAL]]*(40/tbl_zawodnicy_średnie[[#This Row],[min]]),0)</f>
        <v>2.4778761061946901</v>
      </c>
      <c r="AO25" s="6">
        <f>tbl_zawodnicy_średnie[[#This Row],[fgm]]-tbl_zawodnicy_średnie[[#This Row],[3pm]]</f>
        <v>3.75</v>
      </c>
      <c r="AP25" s="6">
        <f>tbl_zawodnicy_średnie[[#This Row],[fga]]-tbl_zawodnicy_średnie[[#This Row],[3pa]]</f>
        <v>10.5</v>
      </c>
      <c r="AQ25">
        <v>15</v>
      </c>
      <c r="AR25" s="6" t="str">
        <f>tbl_zawodnicy_średnie[[#This Row],[I. Nazwisko]]&amp;" ["&amp;VLOOKUP(tbl_zawodnicy_średnie[[#This Row],[zespół]],tab_nazwy_zespołów[],2,0)&amp;"]"</f>
        <v>Ł. Sulejewski [BYP]</v>
      </c>
    </row>
    <row r="26" spans="1:44" ht="14.5" customHeight="1" x14ac:dyDescent="0.35">
      <c r="A26" t="s">
        <v>46</v>
      </c>
      <c r="B26" t="s">
        <v>174</v>
      </c>
      <c r="C26" s="10">
        <f>SUMIF(tbl_główna_GRACZE[I. Nazwisko],tbl_zawodnicy_średnie[[#This Row],[I. Nazwisko]],tbl_główna_GRACZE[Played?])</f>
        <v>4</v>
      </c>
      <c r="D26" s="55">
        <f>IFERROR((SUMIF(tbl_główna_GRACZE[I. Nazwisko],tbl_zawodnicy_średnie[[#This Row],[I. Nazwisko]],tbl_główna_GRACZE[fgm]))/tbl_zawodnicy_średnie[[#This Row],[Played]],0)</f>
        <v>2.5</v>
      </c>
      <c r="E26" s="55">
        <f>IFERROR((SUMIF(tbl_główna_GRACZE[I. Nazwisko],tbl_zawodnicy_średnie[[#This Row],[I. Nazwisko]],tbl_główna_GRACZE[fga]))/tbl_zawodnicy_średnie[[#This Row],[Played]],0)</f>
        <v>6.5</v>
      </c>
      <c r="F26" s="55">
        <f>IFERROR((SUMIF(tbl_główna_GRACZE[I. Nazwisko],tbl_zawodnicy_średnie[[#This Row],[I. Nazwisko]],tbl_główna_GRACZE[3pm]))/tbl_zawodnicy_średnie[[#This Row],[Played]],0)</f>
        <v>0</v>
      </c>
      <c r="G26" s="55">
        <f>IFERROR((SUMIF(tbl_główna_GRACZE[I. Nazwisko],tbl_zawodnicy_średnie[[#This Row],[I. Nazwisko]],tbl_główna_GRACZE[3pa]))/tbl_zawodnicy_średnie[[#This Row],[Played]],0)</f>
        <v>0</v>
      </c>
      <c r="H26" s="55">
        <f>IFERROR((SUMIF(tbl_główna_GRACZE[I. Nazwisko],tbl_zawodnicy_średnie[[#This Row],[I. Nazwisko]],tbl_główna_GRACZE[ftm]))/tbl_zawodnicy_średnie[[#This Row],[Played]],0)</f>
        <v>0.75</v>
      </c>
      <c r="I26" s="55">
        <f>IFERROR((SUMIF(tbl_główna_GRACZE[I. Nazwisko],tbl_zawodnicy_średnie[[#This Row],[I. Nazwisko]],tbl_główna_GRACZE[fta]))/tbl_zawodnicy_średnie[[#This Row],[Played]],0)</f>
        <v>1</v>
      </c>
      <c r="J26" s="55">
        <f>IFERROR((SUMIF(tbl_główna_GRACZE[I. Nazwisko],tbl_zawodnicy_średnie[[#This Row],[I. Nazwisko]],tbl_główna_GRACZE[oreb]))/tbl_zawodnicy_średnie[[#This Row],[Played]],0)</f>
        <v>1.5</v>
      </c>
      <c r="K26" s="55">
        <f>IFERROR((SUMIF(tbl_główna_GRACZE[I. Nazwisko],tbl_zawodnicy_średnie[[#This Row],[I. Nazwisko]],tbl_główna_GRACZE[dreb]))/tbl_zawodnicy_średnie[[#This Row],[Played]],0)</f>
        <v>2.25</v>
      </c>
      <c r="L26" s="55">
        <f>IFERROR((SUMIF(tbl_główna_GRACZE[I. Nazwisko],tbl_zawodnicy_średnie[[#This Row],[I. Nazwisko]],tbl_główna_GRACZE[foul]))/tbl_zawodnicy_średnie[[#This Row],[Played]],0)</f>
        <v>0.5</v>
      </c>
      <c r="M26" s="55">
        <f>IFERROR((SUMIF(tbl_główna_GRACZE[I. Nazwisko],tbl_zawodnicy_średnie[[#This Row],[I. Nazwisko]],tbl_główna_GRACZE[stl]))/tbl_zawodnicy_średnie[[#This Row],[Played]],0)</f>
        <v>1.25</v>
      </c>
      <c r="N26" s="55">
        <f>IFERROR((SUMIF(tbl_główna_GRACZE[I. Nazwisko],tbl_zawodnicy_średnie[[#This Row],[I. Nazwisko]],tbl_główna_GRACZE[to]))/tbl_zawodnicy_średnie[[#This Row],[Played]],0)</f>
        <v>0</v>
      </c>
      <c r="O26" s="55">
        <f>IFERROR((SUMIF(tbl_główna_GRACZE[I. Nazwisko],tbl_zawodnicy_średnie[[#This Row],[I. Nazwisko]],tbl_główna_GRACZE[blk]))/tbl_zawodnicy_średnie[[#This Row],[Played]],0)</f>
        <v>0</v>
      </c>
      <c r="P26" s="55">
        <f>IFERROR((SUMIF(tbl_główna_GRACZE[I. Nazwisko],tbl_zawodnicy_średnie[[#This Row],[I. Nazwisko]],tbl_główna_GRACZE[asst]))/tbl_zawodnicy_średnie[[#This Row],[Played]],0)</f>
        <v>1.75</v>
      </c>
      <c r="Q26" s="55">
        <f>IFERROR((SUMIF(tbl_główna_GRACZE[I. Nazwisko],tbl_zawodnicy_średnie[[#This Row],[I. Nazwisko]],tbl_główna_GRACZE[min]))/tbl_zawodnicy_średnie[[#This Row],[Played]],0)</f>
        <v>21.25</v>
      </c>
      <c r="R26" s="55">
        <f>IFERROR((SUMIF(tbl_główna_GRACZE[I. Nazwisko],tbl_zawodnicy_średnie[[#This Row],[I. Nazwisko]],tbl_główna_GRACZE[pts]))/tbl_zawodnicy_średnie[[#This Row],[Played]],0)</f>
        <v>5.75</v>
      </c>
      <c r="S26" s="6">
        <f t="shared" si="9"/>
        <v>3.75</v>
      </c>
      <c r="T26" s="4">
        <f t="shared" si="0"/>
        <v>0.38461538461538464</v>
      </c>
      <c r="U26" s="4">
        <f t="shared" si="1"/>
        <v>0</v>
      </c>
      <c r="V26" s="4">
        <f t="shared" si="2"/>
        <v>0.75</v>
      </c>
      <c r="W26" s="4">
        <f>IFERROR(tbl_zawodnicy_średnie[[#This Row],[2pm]]/tbl_zawodnicy_średnie[[#This Row],[2pa]],0)</f>
        <v>0.38461538461538464</v>
      </c>
      <c r="X26" s="4">
        <f t="shared" si="3"/>
        <v>0.41426512968299711</v>
      </c>
      <c r="Y26" s="4">
        <f t="shared" si="4"/>
        <v>0.38461538461538464</v>
      </c>
      <c r="Z26" s="6">
        <f t="shared" si="10"/>
        <v>8.25</v>
      </c>
      <c r="AA26" s="4">
        <f t="shared" si="5"/>
        <v>0.15384615384615385</v>
      </c>
      <c r="AB26" s="4">
        <f t="shared" si="6"/>
        <v>0</v>
      </c>
      <c r="AC26" s="26">
        <f>IFERROR((SUMIF(tbl_główna_GRACZE[I. Nazwisko],tbl_zawodnicy_średnie[[#This Row],[I. Nazwisko]],tbl_główna_GRACZE[USG%]))/tbl_zawodnicy_średnie[[#This Row],[Played]],0)</f>
        <v>0.10738039431356057</v>
      </c>
      <c r="AD26" s="25">
        <f>IFERROR(tbl_zawodnicy_średnie[[#This Row],[pts]]*(40/tbl_zawodnicy_średnie[[#This Row],[min]]),0)</f>
        <v>10.823529411764707</v>
      </c>
      <c r="AE26" s="25">
        <f>IFERROR(tbl_zawodnicy_średnie[[#This Row],[reb total]]*(40/tbl_zawodnicy_średnie[[#This Row],[min]]),0)</f>
        <v>7.0588235294117645</v>
      </c>
      <c r="AF26" s="30">
        <f>IFERROR(tbl_zawodnicy_średnie[[#This Row],[asst]]*(40/tbl_zawodnicy_średnie[[#This Row],[min]]),0)</f>
        <v>3.2941176470588234</v>
      </c>
      <c r="AG26" s="5">
        <f t="shared" si="7"/>
        <v>0.88461538461538458</v>
      </c>
      <c r="AH26" s="5">
        <f>IFERROR((tbl_zawodnicy_średnie[[#This Row],[stl]]+tbl_zawodnicy_średnie[[#This Row],[blk]])*(40/tbl_zawodnicy_średnie[[#This Row],[min]]),0)</f>
        <v>2.3529411764705883</v>
      </c>
      <c r="AI26" s="4">
        <f>IFERROR((SUMIF(tbl_główna_GRACZE[I. Nazwisko],tbl_zawodnicy_średnie[[#This Row],[I. Nazwisko]],tbl_główna_GRACZE[DI]))/tbl_zawodnicy_średnie[[#This Row],[Played]],0)</f>
        <v>8.8084795321637419E-2</v>
      </c>
      <c r="AJ26" s="25">
        <f>tbl_zawodnicy_średnie[[#This Row],[stl]]+tbl_zawodnicy_średnie[[#This Row],[blk]]+(tbl_zawodnicy_średnie[[#This Row],[dreb]]*0.5)</f>
        <v>2.375</v>
      </c>
      <c r="AK26" s="29">
        <f>IFERROR((tbl_zawodnicy_średnie[[#This Row],[stl]]+tbl_zawodnicy_średnie[[#This Row],[blk]]+0.5*tbl_zawodnicy_średnie[[#This Row],[dreb]])/tbl_zawodnicy_średnie[[#This Row],[min]],0)</f>
        <v>0.11176470588235295</v>
      </c>
      <c r="AL26" s="6">
        <f t="shared" si="8"/>
        <v>6.2999999999999989</v>
      </c>
      <c r="AM26" s="6">
        <f>IFERROR(tbl_zawodnicy_średnie[[#This Row],[GmSc]]*(40/tbl_zawodnicy_średnie[[#This Row],[min]]),0)</f>
        <v>11.858823529411762</v>
      </c>
      <c r="AN26" s="6">
        <f>IFERROR(tbl_zawodnicy_średnie[[#This Row],[EVAL]]*(40/tbl_zawodnicy_średnie[[#This Row],[min]]),0)</f>
        <v>15.529411764705882</v>
      </c>
      <c r="AO26" s="6">
        <f>tbl_zawodnicy_średnie[[#This Row],[fgm]]-tbl_zawodnicy_średnie[[#This Row],[3pm]]</f>
        <v>2.5</v>
      </c>
      <c r="AP26" s="6">
        <f>tbl_zawodnicy_średnie[[#This Row],[fga]]-tbl_zawodnicy_średnie[[#This Row],[3pa]]</f>
        <v>6.5</v>
      </c>
      <c r="AQ26">
        <v>16</v>
      </c>
      <c r="AR26" s="6" t="str">
        <f>tbl_zawodnicy_średnie[[#This Row],[I. Nazwisko]]&amp;" ["&amp;VLOOKUP(tbl_zawodnicy_średnie[[#This Row],[zespół]],tab_nazwy_zespołów[],2,0)&amp;"]"</f>
        <v>P. Wołczyński [BYP]</v>
      </c>
    </row>
    <row r="27" spans="1:44" ht="14.5" customHeight="1" x14ac:dyDescent="0.35">
      <c r="A27" t="s">
        <v>46</v>
      </c>
      <c r="B27" t="s">
        <v>175</v>
      </c>
      <c r="C27" s="10">
        <f>SUMIF(tbl_główna_GRACZE[I. Nazwisko],tbl_zawodnicy_średnie[[#This Row],[I. Nazwisko]],tbl_główna_GRACZE[Played?])</f>
        <v>4</v>
      </c>
      <c r="D27" s="55">
        <f>IFERROR((SUMIF(tbl_główna_GRACZE[I. Nazwisko],tbl_zawodnicy_średnie[[#This Row],[I. Nazwisko]],tbl_główna_GRACZE[fgm]))/tbl_zawodnicy_średnie[[#This Row],[Played]],0)</f>
        <v>2.25</v>
      </c>
      <c r="E27" s="55">
        <f>IFERROR((SUMIF(tbl_główna_GRACZE[I. Nazwisko],tbl_zawodnicy_średnie[[#This Row],[I. Nazwisko]],tbl_główna_GRACZE[fga]))/tbl_zawodnicy_średnie[[#This Row],[Played]],0)</f>
        <v>4.5</v>
      </c>
      <c r="F27" s="55">
        <f>IFERROR((SUMIF(tbl_główna_GRACZE[I. Nazwisko],tbl_zawodnicy_średnie[[#This Row],[I. Nazwisko]],tbl_główna_GRACZE[3pm]))/tbl_zawodnicy_średnie[[#This Row],[Played]],0)</f>
        <v>0.75</v>
      </c>
      <c r="G27" s="55">
        <f>IFERROR((SUMIF(tbl_główna_GRACZE[I. Nazwisko],tbl_zawodnicy_średnie[[#This Row],[I. Nazwisko]],tbl_główna_GRACZE[3pa]))/tbl_zawodnicy_średnie[[#This Row],[Played]],0)</f>
        <v>1.75</v>
      </c>
      <c r="H27" s="55">
        <f>IFERROR((SUMIF(tbl_główna_GRACZE[I. Nazwisko],tbl_zawodnicy_średnie[[#This Row],[I. Nazwisko]],tbl_główna_GRACZE[ftm]))/tbl_zawodnicy_średnie[[#This Row],[Played]],0)</f>
        <v>0.75</v>
      </c>
      <c r="I27" s="55">
        <f>IFERROR((SUMIF(tbl_główna_GRACZE[I. Nazwisko],tbl_zawodnicy_średnie[[#This Row],[I. Nazwisko]],tbl_główna_GRACZE[fta]))/tbl_zawodnicy_średnie[[#This Row],[Played]],0)</f>
        <v>1</v>
      </c>
      <c r="J27" s="55">
        <f>IFERROR((SUMIF(tbl_główna_GRACZE[I. Nazwisko],tbl_zawodnicy_średnie[[#This Row],[I. Nazwisko]],tbl_główna_GRACZE[oreb]))/tbl_zawodnicy_średnie[[#This Row],[Played]],0)</f>
        <v>0.5</v>
      </c>
      <c r="K27" s="55">
        <f>IFERROR((SUMIF(tbl_główna_GRACZE[I. Nazwisko],tbl_zawodnicy_średnie[[#This Row],[I. Nazwisko]],tbl_główna_GRACZE[dreb]))/tbl_zawodnicy_średnie[[#This Row],[Played]],0)</f>
        <v>3.5</v>
      </c>
      <c r="L27" s="55">
        <f>IFERROR((SUMIF(tbl_główna_GRACZE[I. Nazwisko],tbl_zawodnicy_średnie[[#This Row],[I. Nazwisko]],tbl_główna_GRACZE[foul]))/tbl_zawodnicy_średnie[[#This Row],[Played]],0)</f>
        <v>0.5</v>
      </c>
      <c r="M27" s="55">
        <f>IFERROR((SUMIF(tbl_główna_GRACZE[I. Nazwisko],tbl_zawodnicy_średnie[[#This Row],[I. Nazwisko]],tbl_główna_GRACZE[stl]))/tbl_zawodnicy_średnie[[#This Row],[Played]],0)</f>
        <v>0.25</v>
      </c>
      <c r="N27" s="55">
        <f>IFERROR((SUMIF(tbl_główna_GRACZE[I. Nazwisko],tbl_zawodnicy_średnie[[#This Row],[I. Nazwisko]],tbl_główna_GRACZE[to]))/tbl_zawodnicy_średnie[[#This Row],[Played]],0)</f>
        <v>0</v>
      </c>
      <c r="O27" s="55">
        <f>IFERROR((SUMIF(tbl_główna_GRACZE[I. Nazwisko],tbl_zawodnicy_średnie[[#This Row],[I. Nazwisko]],tbl_główna_GRACZE[blk]))/tbl_zawodnicy_średnie[[#This Row],[Played]],0)</f>
        <v>1</v>
      </c>
      <c r="P27" s="55">
        <f>IFERROR((SUMIF(tbl_główna_GRACZE[I. Nazwisko],tbl_zawodnicy_średnie[[#This Row],[I. Nazwisko]],tbl_główna_GRACZE[asst]))/tbl_zawodnicy_średnie[[#This Row],[Played]],0)</f>
        <v>2</v>
      </c>
      <c r="Q27" s="55">
        <f>IFERROR((SUMIF(tbl_główna_GRACZE[I. Nazwisko],tbl_zawodnicy_średnie[[#This Row],[I. Nazwisko]],tbl_główna_GRACZE[min]))/tbl_zawodnicy_średnie[[#This Row],[Played]],0)</f>
        <v>24.5</v>
      </c>
      <c r="R27" s="55">
        <f>IFERROR((SUMIF(tbl_główna_GRACZE[I. Nazwisko],tbl_zawodnicy_średnie[[#This Row],[I. Nazwisko]],tbl_główna_GRACZE[pts]))/tbl_zawodnicy_średnie[[#This Row],[Played]],0)</f>
        <v>6</v>
      </c>
      <c r="S27" s="6">
        <f t="shared" si="9"/>
        <v>4</v>
      </c>
      <c r="T27" s="4">
        <f t="shared" si="0"/>
        <v>0.5</v>
      </c>
      <c r="U27" s="4">
        <f t="shared" si="1"/>
        <v>0.42857142857142855</v>
      </c>
      <c r="V27" s="4">
        <f t="shared" si="2"/>
        <v>0.75</v>
      </c>
      <c r="W27" s="4">
        <f>IFERROR(tbl_zawodnicy_średnie[[#This Row],[2pm]]/tbl_zawodnicy_średnie[[#This Row],[2pa]],0)</f>
        <v>0.54545454545454541</v>
      </c>
      <c r="X27" s="4">
        <f t="shared" si="3"/>
        <v>0.60728744939271251</v>
      </c>
      <c r="Y27" s="4">
        <f t="shared" si="4"/>
        <v>0.58333333333333337</v>
      </c>
      <c r="Z27" s="6">
        <f t="shared" si="10"/>
        <v>10.75</v>
      </c>
      <c r="AA27" s="4">
        <f t="shared" si="5"/>
        <v>0.22222222222222221</v>
      </c>
      <c r="AB27" s="4">
        <f t="shared" si="6"/>
        <v>0.3888888888888889</v>
      </c>
      <c r="AC27" s="26">
        <f>IFERROR((SUMIF(tbl_główna_GRACZE[I. Nazwisko],tbl_zawodnicy_średnie[[#This Row],[I. Nazwisko]],tbl_główna_GRACZE[USG%]))/tbl_zawodnicy_średnie[[#This Row],[Played]],0)</f>
        <v>7.6394302077159193E-2</v>
      </c>
      <c r="AD27" s="25">
        <f>IFERROR(tbl_zawodnicy_średnie[[#This Row],[pts]]*(40/tbl_zawodnicy_średnie[[#This Row],[min]]),0)</f>
        <v>9.795918367346939</v>
      </c>
      <c r="AE27" s="25">
        <f>IFERROR(tbl_zawodnicy_średnie[[#This Row],[reb total]]*(40/tbl_zawodnicy_średnie[[#This Row],[min]]),0)</f>
        <v>6.5306122448979593</v>
      </c>
      <c r="AF27" s="30">
        <f>IFERROR(tbl_zawodnicy_średnie[[#This Row],[asst]]*(40/tbl_zawodnicy_średnie[[#This Row],[min]]),0)</f>
        <v>3.2653061224489797</v>
      </c>
      <c r="AG27" s="5">
        <f t="shared" si="7"/>
        <v>1.3333333333333333</v>
      </c>
      <c r="AH27" s="5">
        <f>IFERROR((tbl_zawodnicy_średnie[[#This Row],[stl]]+tbl_zawodnicy_średnie[[#This Row],[blk]])*(40/tbl_zawodnicy_średnie[[#This Row],[min]]),0)</f>
        <v>2.0408163265306123</v>
      </c>
      <c r="AI27" s="4">
        <f>IFERROR((SUMIF(tbl_główna_GRACZE[I. Nazwisko],tbl_zawodnicy_średnie[[#This Row],[I. Nazwisko]],tbl_główna_GRACZE[DI]))/tbl_zawodnicy_średnie[[#This Row],[Played]],0)</f>
        <v>9.5760233918128657E-2</v>
      </c>
      <c r="AJ27" s="25">
        <f>tbl_zawodnicy_średnie[[#This Row],[stl]]+tbl_zawodnicy_średnie[[#This Row],[blk]]+(tbl_zawodnicy_średnie[[#This Row],[dreb]]*0.5)</f>
        <v>3</v>
      </c>
      <c r="AK27" s="29">
        <f>IFERROR((tbl_zawodnicy_średnie[[#This Row],[stl]]+tbl_zawodnicy_średnie[[#This Row],[blk]]+0.5*tbl_zawodnicy_średnie[[#This Row],[dreb]])/tbl_zawodnicy_średnie[[#This Row],[min]],0)</f>
        <v>0.12244897959183673</v>
      </c>
      <c r="AL27" s="6">
        <f t="shared" si="8"/>
        <v>7.3999999999999995</v>
      </c>
      <c r="AM27" s="6">
        <f>IFERROR(tbl_zawodnicy_średnie[[#This Row],[GmSc]]*(40/tbl_zawodnicy_średnie[[#This Row],[min]]),0)</f>
        <v>12.081632653061224</v>
      </c>
      <c r="AN27" s="6">
        <f>IFERROR(tbl_zawodnicy_średnie[[#This Row],[EVAL]]*(40/tbl_zawodnicy_średnie[[#This Row],[min]]),0)</f>
        <v>17.551020408163264</v>
      </c>
      <c r="AO27" s="6">
        <f>tbl_zawodnicy_średnie[[#This Row],[fgm]]-tbl_zawodnicy_średnie[[#This Row],[3pm]]</f>
        <v>1.5</v>
      </c>
      <c r="AP27" s="6">
        <f>tbl_zawodnicy_średnie[[#This Row],[fga]]-tbl_zawodnicy_średnie[[#This Row],[3pa]]</f>
        <v>2.75</v>
      </c>
      <c r="AQ27">
        <v>17</v>
      </c>
      <c r="AR27" s="6" t="str">
        <f>tbl_zawodnicy_średnie[[#This Row],[I. Nazwisko]]&amp;" ["&amp;VLOOKUP(tbl_zawodnicy_średnie[[#This Row],[zespół]],tab_nazwy_zespołów[],2,0)&amp;"]"</f>
        <v>J. Kurek [BYP]</v>
      </c>
    </row>
    <row r="28" spans="1:44" ht="14.5" customHeight="1" x14ac:dyDescent="0.35">
      <c r="A28" t="s">
        <v>46</v>
      </c>
      <c r="B28" t="s">
        <v>176</v>
      </c>
      <c r="C28" s="10">
        <f>SUMIF(tbl_główna_GRACZE[I. Nazwisko],tbl_zawodnicy_średnie[[#This Row],[I. Nazwisko]],tbl_główna_GRACZE[Played?])</f>
        <v>3</v>
      </c>
      <c r="D28" s="55">
        <f>IFERROR((SUMIF(tbl_główna_GRACZE[I. Nazwisko],tbl_zawodnicy_średnie[[#This Row],[I. Nazwisko]],tbl_główna_GRACZE[fgm]))/tbl_zawodnicy_średnie[[#This Row],[Played]],0)</f>
        <v>1.6666666666666667</v>
      </c>
      <c r="E28" s="55">
        <f>IFERROR((SUMIF(tbl_główna_GRACZE[I. Nazwisko],tbl_zawodnicy_średnie[[#This Row],[I. Nazwisko]],tbl_główna_GRACZE[fga]))/tbl_zawodnicy_średnie[[#This Row],[Played]],0)</f>
        <v>8</v>
      </c>
      <c r="F28" s="55">
        <f>IFERROR((SUMIF(tbl_główna_GRACZE[I. Nazwisko],tbl_zawodnicy_średnie[[#This Row],[I. Nazwisko]],tbl_główna_GRACZE[3pm]))/tbl_zawodnicy_średnie[[#This Row],[Played]],0)</f>
        <v>0.33333333333333331</v>
      </c>
      <c r="G28" s="55">
        <f>IFERROR((SUMIF(tbl_główna_GRACZE[I. Nazwisko],tbl_zawodnicy_średnie[[#This Row],[I. Nazwisko]],tbl_główna_GRACZE[3pa]))/tbl_zawodnicy_średnie[[#This Row],[Played]],0)</f>
        <v>3</v>
      </c>
      <c r="H28" s="55">
        <f>IFERROR((SUMIF(tbl_główna_GRACZE[I. Nazwisko],tbl_zawodnicy_średnie[[#This Row],[I. Nazwisko]],tbl_główna_GRACZE[ftm]))/tbl_zawodnicy_średnie[[#This Row],[Played]],0)</f>
        <v>0.66666666666666663</v>
      </c>
      <c r="I28" s="55">
        <f>IFERROR((SUMIF(tbl_główna_GRACZE[I. Nazwisko],tbl_zawodnicy_średnie[[#This Row],[I. Nazwisko]],tbl_główna_GRACZE[fta]))/tbl_zawodnicy_średnie[[#This Row],[Played]],0)</f>
        <v>1.6666666666666667</v>
      </c>
      <c r="J28" s="55">
        <f>IFERROR((SUMIF(tbl_główna_GRACZE[I. Nazwisko],tbl_zawodnicy_średnie[[#This Row],[I. Nazwisko]],tbl_główna_GRACZE[oreb]))/tbl_zawodnicy_średnie[[#This Row],[Played]],0)</f>
        <v>0.66666666666666663</v>
      </c>
      <c r="K28" s="55">
        <f>IFERROR((SUMIF(tbl_główna_GRACZE[I. Nazwisko],tbl_zawodnicy_średnie[[#This Row],[I. Nazwisko]],tbl_główna_GRACZE[dreb]))/tbl_zawodnicy_średnie[[#This Row],[Played]],0)</f>
        <v>2.6666666666666665</v>
      </c>
      <c r="L28" s="55">
        <f>IFERROR((SUMIF(tbl_główna_GRACZE[I. Nazwisko],tbl_zawodnicy_średnie[[#This Row],[I. Nazwisko]],tbl_główna_GRACZE[foul]))/tbl_zawodnicy_średnie[[#This Row],[Played]],0)</f>
        <v>0.66666666666666663</v>
      </c>
      <c r="M28" s="55">
        <f>IFERROR((SUMIF(tbl_główna_GRACZE[I. Nazwisko],tbl_zawodnicy_średnie[[#This Row],[I. Nazwisko]],tbl_główna_GRACZE[stl]))/tbl_zawodnicy_średnie[[#This Row],[Played]],0)</f>
        <v>1</v>
      </c>
      <c r="N28" s="55">
        <f>IFERROR((SUMIF(tbl_główna_GRACZE[I. Nazwisko],tbl_zawodnicy_średnie[[#This Row],[I. Nazwisko]],tbl_główna_GRACZE[to]))/tbl_zawodnicy_średnie[[#This Row],[Played]],0)</f>
        <v>0</v>
      </c>
      <c r="O28" s="55">
        <f>IFERROR((SUMIF(tbl_główna_GRACZE[I. Nazwisko],tbl_zawodnicy_średnie[[#This Row],[I. Nazwisko]],tbl_główna_GRACZE[blk]))/tbl_zawodnicy_średnie[[#This Row],[Played]],0)</f>
        <v>0.33333333333333331</v>
      </c>
      <c r="P28" s="55">
        <f>IFERROR((SUMIF(tbl_główna_GRACZE[I. Nazwisko],tbl_zawodnicy_średnie[[#This Row],[I. Nazwisko]],tbl_główna_GRACZE[asst]))/tbl_zawodnicy_średnie[[#This Row],[Played]],0)</f>
        <v>1.6666666666666667</v>
      </c>
      <c r="Q28" s="55">
        <f>IFERROR((SUMIF(tbl_główna_GRACZE[I. Nazwisko],tbl_zawodnicy_średnie[[#This Row],[I. Nazwisko]],tbl_główna_GRACZE[min]))/tbl_zawodnicy_średnie[[#This Row],[Played]],0)</f>
        <v>25</v>
      </c>
      <c r="R28" s="55">
        <f>IFERROR((SUMIF(tbl_główna_GRACZE[I. Nazwisko],tbl_zawodnicy_średnie[[#This Row],[I. Nazwisko]],tbl_główna_GRACZE[pts]))/tbl_zawodnicy_średnie[[#This Row],[Played]],0)</f>
        <v>4.333333333333333</v>
      </c>
      <c r="S28" s="6">
        <f t="shared" si="9"/>
        <v>3.333333333333333</v>
      </c>
      <c r="T28" s="4">
        <f t="shared" si="0"/>
        <v>0.20833333333333334</v>
      </c>
      <c r="U28" s="4">
        <f t="shared" si="1"/>
        <v>0.1111111111111111</v>
      </c>
      <c r="V28" s="4">
        <f t="shared" si="2"/>
        <v>0.39999999999999997</v>
      </c>
      <c r="W28" s="4">
        <f>IFERROR(tbl_zawodnicy_średnie[[#This Row],[2pm]]/tbl_zawodnicy_średnie[[#This Row],[2pa]],0)</f>
        <v>0.26666666666666672</v>
      </c>
      <c r="X28" s="4">
        <f t="shared" si="3"/>
        <v>0.24809160305343508</v>
      </c>
      <c r="Y28" s="4">
        <f t="shared" si="4"/>
        <v>0.22916666666666669</v>
      </c>
      <c r="Z28" s="6">
        <f t="shared" si="10"/>
        <v>3.333333333333333</v>
      </c>
      <c r="AA28" s="4">
        <f t="shared" si="5"/>
        <v>0.20833333333333334</v>
      </c>
      <c r="AB28" s="4">
        <f t="shared" si="6"/>
        <v>0.375</v>
      </c>
      <c r="AC28" s="26">
        <f>IFERROR((SUMIF(tbl_główna_GRACZE[I. Nazwisko],tbl_zawodnicy_średnie[[#This Row],[I. Nazwisko]],tbl_główna_GRACZE[USG%]))/tbl_zawodnicy_średnie[[#This Row],[Played]],0)</f>
        <v>0.1312426495310946</v>
      </c>
      <c r="AD28" s="25">
        <f>IFERROR(tbl_zawodnicy_średnie[[#This Row],[pts]]*(40/tbl_zawodnicy_średnie[[#This Row],[min]]),0)</f>
        <v>6.9333333333333336</v>
      </c>
      <c r="AE28" s="25">
        <f>IFERROR(tbl_zawodnicy_średnie[[#This Row],[reb total]]*(40/tbl_zawodnicy_średnie[[#This Row],[min]]),0)</f>
        <v>5.333333333333333</v>
      </c>
      <c r="AF28" s="30">
        <f>IFERROR(tbl_zawodnicy_średnie[[#This Row],[asst]]*(40/tbl_zawodnicy_średnie[[#This Row],[min]]),0)</f>
        <v>2.666666666666667</v>
      </c>
      <c r="AG28" s="5">
        <f t="shared" si="7"/>
        <v>0.54166666666666663</v>
      </c>
      <c r="AH28" s="5">
        <f>IFERROR((tbl_zawodnicy_średnie[[#This Row],[stl]]+tbl_zawodnicy_średnie[[#This Row],[blk]])*(40/tbl_zawodnicy_średnie[[#This Row],[min]]),0)</f>
        <v>2.1333333333333333</v>
      </c>
      <c r="AI28" s="4">
        <f>IFERROR((SUMIF(tbl_główna_GRACZE[I. Nazwisko],tbl_zawodnicy_średnie[[#This Row],[I. Nazwisko]],tbl_główna_GRACZE[DI]))/tbl_zawodnicy_średnie[[#This Row],[Played]],0)</f>
        <v>0.10317460317460318</v>
      </c>
      <c r="AJ28" s="25">
        <f>tbl_zawodnicy_średnie[[#This Row],[stl]]+tbl_zawodnicy_średnie[[#This Row],[blk]]+(tbl_zawodnicy_średnie[[#This Row],[dreb]]*0.5)</f>
        <v>2.6666666666666665</v>
      </c>
      <c r="AK28" s="29">
        <f>IFERROR((tbl_zawodnicy_średnie[[#This Row],[stl]]+tbl_zawodnicy_średnie[[#This Row],[blk]]+0.5*tbl_zawodnicy_średnie[[#This Row],[dreb]])/tbl_zawodnicy_średnie[[#This Row],[min]],0)</f>
        <v>0.10666666666666666</v>
      </c>
      <c r="AL28" s="6">
        <f t="shared" si="8"/>
        <v>2.666666666666667</v>
      </c>
      <c r="AM28" s="6">
        <f>IFERROR(tbl_zawodnicy_średnie[[#This Row],[GmSc]]*(40/tbl_zawodnicy_średnie[[#This Row],[min]]),0)</f>
        <v>4.2666666666666675</v>
      </c>
      <c r="AN28" s="6">
        <f>IFERROR(tbl_zawodnicy_średnie[[#This Row],[EVAL]]*(40/tbl_zawodnicy_średnie[[#This Row],[min]]),0)</f>
        <v>5.333333333333333</v>
      </c>
      <c r="AO28" s="6">
        <f>tbl_zawodnicy_średnie[[#This Row],[fgm]]-tbl_zawodnicy_średnie[[#This Row],[3pm]]</f>
        <v>1.3333333333333335</v>
      </c>
      <c r="AP28" s="6">
        <f>tbl_zawodnicy_średnie[[#This Row],[fga]]-tbl_zawodnicy_średnie[[#This Row],[3pa]]</f>
        <v>5</v>
      </c>
      <c r="AQ28">
        <v>18</v>
      </c>
      <c r="AR28" s="6" t="str">
        <f>tbl_zawodnicy_średnie[[#This Row],[I. Nazwisko]]&amp;" ["&amp;VLOOKUP(tbl_zawodnicy_średnie[[#This Row],[zespół]],tab_nazwy_zespołów[],2,0)&amp;"]"</f>
        <v>A. Stańczuk [BYP]</v>
      </c>
    </row>
    <row r="29" spans="1:44" ht="14.5" customHeight="1" x14ac:dyDescent="0.35">
      <c r="A29" t="s">
        <v>46</v>
      </c>
      <c r="B29" t="s">
        <v>177</v>
      </c>
      <c r="C29" s="10">
        <f>SUMIF(tbl_główna_GRACZE[I. Nazwisko],tbl_zawodnicy_średnie[[#This Row],[I. Nazwisko]],tbl_główna_GRACZE[Played?])</f>
        <v>3</v>
      </c>
      <c r="D29" s="55">
        <f>IFERROR((SUMIF(tbl_główna_GRACZE[I. Nazwisko],tbl_zawodnicy_średnie[[#This Row],[I. Nazwisko]],tbl_główna_GRACZE[fgm]))/tbl_zawodnicy_średnie[[#This Row],[Played]],0)</f>
        <v>1.3333333333333333</v>
      </c>
      <c r="E29" s="55">
        <f>IFERROR((SUMIF(tbl_główna_GRACZE[I. Nazwisko],tbl_zawodnicy_średnie[[#This Row],[I. Nazwisko]],tbl_główna_GRACZE[fga]))/tbl_zawodnicy_średnie[[#This Row],[Played]],0)</f>
        <v>4.666666666666667</v>
      </c>
      <c r="F29" s="55">
        <f>IFERROR((SUMIF(tbl_główna_GRACZE[I. Nazwisko],tbl_zawodnicy_średnie[[#This Row],[I. Nazwisko]],tbl_główna_GRACZE[3pm]))/tbl_zawodnicy_średnie[[#This Row],[Played]],0)</f>
        <v>0.33333333333333331</v>
      </c>
      <c r="G29" s="55">
        <f>IFERROR((SUMIF(tbl_główna_GRACZE[I. Nazwisko],tbl_zawodnicy_średnie[[#This Row],[I. Nazwisko]],tbl_główna_GRACZE[3pa]))/tbl_zawodnicy_średnie[[#This Row],[Played]],0)</f>
        <v>1</v>
      </c>
      <c r="H29" s="55">
        <f>IFERROR((SUMIF(tbl_główna_GRACZE[I. Nazwisko],tbl_zawodnicy_średnie[[#This Row],[I. Nazwisko]],tbl_główna_GRACZE[ftm]))/tbl_zawodnicy_średnie[[#This Row],[Played]],0)</f>
        <v>1.3333333333333333</v>
      </c>
      <c r="I29" s="55">
        <f>IFERROR((SUMIF(tbl_główna_GRACZE[I. Nazwisko],tbl_zawodnicy_średnie[[#This Row],[I. Nazwisko]],tbl_główna_GRACZE[fta]))/tbl_zawodnicy_średnie[[#This Row],[Played]],0)</f>
        <v>2</v>
      </c>
      <c r="J29" s="55">
        <f>IFERROR((SUMIF(tbl_główna_GRACZE[I. Nazwisko],tbl_zawodnicy_średnie[[#This Row],[I. Nazwisko]],tbl_główna_GRACZE[oreb]))/tbl_zawodnicy_średnie[[#This Row],[Played]],0)</f>
        <v>1.3333333333333333</v>
      </c>
      <c r="K29" s="55">
        <f>IFERROR((SUMIF(tbl_główna_GRACZE[I. Nazwisko],tbl_zawodnicy_średnie[[#This Row],[I. Nazwisko]],tbl_główna_GRACZE[dreb]))/tbl_zawodnicy_średnie[[#This Row],[Played]],0)</f>
        <v>4</v>
      </c>
      <c r="L29" s="55">
        <f>IFERROR((SUMIF(tbl_główna_GRACZE[I. Nazwisko],tbl_zawodnicy_średnie[[#This Row],[I. Nazwisko]],tbl_główna_GRACZE[foul]))/tbl_zawodnicy_średnie[[#This Row],[Played]],0)</f>
        <v>0.33333333333333331</v>
      </c>
      <c r="M29" s="55">
        <f>IFERROR((SUMIF(tbl_główna_GRACZE[I. Nazwisko],tbl_zawodnicy_średnie[[#This Row],[I. Nazwisko]],tbl_główna_GRACZE[stl]))/tbl_zawodnicy_średnie[[#This Row],[Played]],0)</f>
        <v>1</v>
      </c>
      <c r="N29" s="55">
        <f>IFERROR((SUMIF(tbl_główna_GRACZE[I. Nazwisko],tbl_zawodnicy_średnie[[#This Row],[I. Nazwisko]],tbl_główna_GRACZE[to]))/tbl_zawodnicy_średnie[[#This Row],[Played]],0)</f>
        <v>0</v>
      </c>
      <c r="O29" s="55">
        <f>IFERROR((SUMIF(tbl_główna_GRACZE[I. Nazwisko],tbl_zawodnicy_średnie[[#This Row],[I. Nazwisko]],tbl_główna_GRACZE[blk]))/tbl_zawodnicy_średnie[[#This Row],[Played]],0)</f>
        <v>0</v>
      </c>
      <c r="P29" s="55">
        <f>IFERROR((SUMIF(tbl_główna_GRACZE[I. Nazwisko],tbl_zawodnicy_średnie[[#This Row],[I. Nazwisko]],tbl_główna_GRACZE[asst]))/tbl_zawodnicy_średnie[[#This Row],[Played]],0)</f>
        <v>2.6666666666666665</v>
      </c>
      <c r="Q29" s="55">
        <f>IFERROR((SUMIF(tbl_główna_GRACZE[I. Nazwisko],tbl_zawodnicy_średnie[[#This Row],[I. Nazwisko]],tbl_główna_GRACZE[min]))/tbl_zawodnicy_średnie[[#This Row],[Played]],0)</f>
        <v>21.666666666666668</v>
      </c>
      <c r="R29" s="55">
        <f>IFERROR((SUMIF(tbl_główna_GRACZE[I. Nazwisko],tbl_zawodnicy_średnie[[#This Row],[I. Nazwisko]],tbl_główna_GRACZE[pts]))/tbl_zawodnicy_średnie[[#This Row],[Played]],0)</f>
        <v>4.333333333333333</v>
      </c>
      <c r="S29" s="6">
        <f t="shared" si="9"/>
        <v>5.333333333333333</v>
      </c>
      <c r="T29" s="4">
        <f t="shared" si="0"/>
        <v>0.2857142857142857</v>
      </c>
      <c r="U29" s="4">
        <f t="shared" si="1"/>
        <v>0.33333333333333331</v>
      </c>
      <c r="V29" s="4">
        <f t="shared" si="2"/>
        <v>0.66666666666666663</v>
      </c>
      <c r="W29" s="4">
        <f>IFERROR(tbl_zawodnicy_średnie[[#This Row],[2pm]]/tbl_zawodnicy_średnie[[#This Row],[2pa]],0)</f>
        <v>0.27272727272727271</v>
      </c>
      <c r="X29" s="4">
        <f t="shared" si="3"/>
        <v>0.39062499999999994</v>
      </c>
      <c r="Y29" s="4">
        <f t="shared" si="4"/>
        <v>0.3214285714285714</v>
      </c>
      <c r="Z29" s="6">
        <f t="shared" si="10"/>
        <v>9.3333333333333321</v>
      </c>
      <c r="AA29" s="4">
        <f t="shared" si="5"/>
        <v>0.42857142857142855</v>
      </c>
      <c r="AB29" s="4">
        <f t="shared" si="6"/>
        <v>0.21428571428571427</v>
      </c>
      <c r="AC29" s="26">
        <f>IFERROR((SUMIF(tbl_główna_GRACZE[I. Nazwisko],tbl_zawodnicy_średnie[[#This Row],[I. Nazwisko]],tbl_główna_GRACZE[USG%]))/tbl_zawodnicy_średnie[[#This Row],[Played]],0)</f>
        <v>8.3730542181786993E-2</v>
      </c>
      <c r="AD29" s="25">
        <f>IFERROR(tbl_zawodnicy_średnie[[#This Row],[pts]]*(40/tbl_zawodnicy_średnie[[#This Row],[min]]),0)</f>
        <v>7.9999999999999991</v>
      </c>
      <c r="AE29" s="25">
        <f>IFERROR(tbl_zawodnicy_średnie[[#This Row],[reb total]]*(40/tbl_zawodnicy_średnie[[#This Row],[min]]),0)</f>
        <v>9.8461538461538449</v>
      </c>
      <c r="AF29" s="30">
        <f>IFERROR(tbl_zawodnicy_średnie[[#This Row],[asst]]*(40/tbl_zawodnicy_średnie[[#This Row],[min]]),0)</f>
        <v>4.9230769230769225</v>
      </c>
      <c r="AG29" s="5">
        <f t="shared" si="7"/>
        <v>0.92857142857142849</v>
      </c>
      <c r="AH29" s="5">
        <f>IFERROR((tbl_zawodnicy_średnie[[#This Row],[stl]]+tbl_zawodnicy_średnie[[#This Row],[blk]])*(40/tbl_zawodnicy_średnie[[#This Row],[min]]),0)</f>
        <v>1.846153846153846</v>
      </c>
      <c r="AI29" s="4">
        <f>IFERROR((SUMIF(tbl_główna_GRACZE[I. Nazwisko],tbl_zawodnicy_średnie[[#This Row],[I. Nazwisko]],tbl_główna_GRACZE[DI]))/tbl_zawodnicy_średnie[[#This Row],[Played]],0)</f>
        <v>8.4656084656084651E-2</v>
      </c>
      <c r="AJ29" s="25">
        <f>tbl_zawodnicy_średnie[[#This Row],[stl]]+tbl_zawodnicy_średnie[[#This Row],[blk]]+(tbl_zawodnicy_średnie[[#This Row],[dreb]]*0.5)</f>
        <v>3</v>
      </c>
      <c r="AK29" s="29">
        <f>IFERROR((tbl_zawodnicy_średnie[[#This Row],[stl]]+tbl_zawodnicy_średnie[[#This Row],[blk]]+0.5*tbl_zawodnicy_średnie[[#This Row],[dreb]])/tbl_zawodnicy_średnie[[#This Row],[min]],0)</f>
        <v>0.13846153846153844</v>
      </c>
      <c r="AL29" s="6">
        <f t="shared" si="8"/>
        <v>6.3333333333333321</v>
      </c>
      <c r="AM29" s="6">
        <f>IFERROR(tbl_zawodnicy_średnie[[#This Row],[GmSc]]*(40/tbl_zawodnicy_średnie[[#This Row],[min]]),0)</f>
        <v>11.69230769230769</v>
      </c>
      <c r="AN29" s="6">
        <f>IFERROR(tbl_zawodnicy_średnie[[#This Row],[EVAL]]*(40/tbl_zawodnicy_średnie[[#This Row],[min]]),0)</f>
        <v>17.230769230769226</v>
      </c>
      <c r="AO29" s="6">
        <f>tbl_zawodnicy_średnie[[#This Row],[fgm]]-tbl_zawodnicy_średnie[[#This Row],[3pm]]</f>
        <v>1</v>
      </c>
      <c r="AP29" s="6">
        <f>tbl_zawodnicy_średnie[[#This Row],[fga]]-tbl_zawodnicy_średnie[[#This Row],[3pa]]</f>
        <v>3.666666666666667</v>
      </c>
      <c r="AQ29">
        <v>19</v>
      </c>
      <c r="AR29" s="6" t="str">
        <f>tbl_zawodnicy_średnie[[#This Row],[I. Nazwisko]]&amp;" ["&amp;VLOOKUP(tbl_zawodnicy_średnie[[#This Row],[zespół]],tab_nazwy_zespołów[],2,0)&amp;"]"</f>
        <v>R. Mućka [BYP]</v>
      </c>
    </row>
    <row r="30" spans="1:44" ht="14.5" customHeight="1" x14ac:dyDescent="0.35">
      <c r="A30" t="s">
        <v>46</v>
      </c>
      <c r="B30" t="s">
        <v>178</v>
      </c>
      <c r="C30" s="10">
        <f>SUMIF(tbl_główna_GRACZE[I. Nazwisko],tbl_zawodnicy_średnie[[#This Row],[I. Nazwisko]],tbl_główna_GRACZE[Played?])</f>
        <v>4</v>
      </c>
      <c r="D30" s="55">
        <f>IFERROR((SUMIF(tbl_główna_GRACZE[I. Nazwisko],tbl_zawodnicy_średnie[[#This Row],[I. Nazwisko]],tbl_główna_GRACZE[fgm]))/tbl_zawodnicy_średnie[[#This Row],[Played]],0)</f>
        <v>1.75</v>
      </c>
      <c r="E30" s="55">
        <f>IFERROR((SUMIF(tbl_główna_GRACZE[I. Nazwisko],tbl_zawodnicy_średnie[[#This Row],[I. Nazwisko]],tbl_główna_GRACZE[fga]))/tbl_zawodnicy_średnie[[#This Row],[Played]],0)</f>
        <v>6</v>
      </c>
      <c r="F30" s="55">
        <f>IFERROR((SUMIF(tbl_główna_GRACZE[I. Nazwisko],tbl_zawodnicy_średnie[[#This Row],[I. Nazwisko]],tbl_główna_GRACZE[3pm]))/tbl_zawodnicy_średnie[[#This Row],[Played]],0)</f>
        <v>1</v>
      </c>
      <c r="G30" s="55">
        <f>IFERROR((SUMIF(tbl_główna_GRACZE[I. Nazwisko],tbl_zawodnicy_średnie[[#This Row],[I. Nazwisko]],tbl_główna_GRACZE[3pa]))/tbl_zawodnicy_średnie[[#This Row],[Played]],0)</f>
        <v>4.25</v>
      </c>
      <c r="H30" s="55">
        <f>IFERROR((SUMIF(tbl_główna_GRACZE[I. Nazwisko],tbl_zawodnicy_średnie[[#This Row],[I. Nazwisko]],tbl_główna_GRACZE[ftm]))/tbl_zawodnicy_średnie[[#This Row],[Played]],0)</f>
        <v>0.25</v>
      </c>
      <c r="I30" s="55">
        <f>IFERROR((SUMIF(tbl_główna_GRACZE[I. Nazwisko],tbl_zawodnicy_średnie[[#This Row],[I. Nazwisko]],tbl_główna_GRACZE[fta]))/tbl_zawodnicy_średnie[[#This Row],[Played]],0)</f>
        <v>0.5</v>
      </c>
      <c r="J30" s="55">
        <f>IFERROR((SUMIF(tbl_główna_GRACZE[I. Nazwisko],tbl_zawodnicy_średnie[[#This Row],[I. Nazwisko]],tbl_główna_GRACZE[oreb]))/tbl_zawodnicy_średnie[[#This Row],[Played]],0)</f>
        <v>0.5</v>
      </c>
      <c r="K30" s="55">
        <f>IFERROR((SUMIF(tbl_główna_GRACZE[I. Nazwisko],tbl_zawodnicy_średnie[[#This Row],[I. Nazwisko]],tbl_główna_GRACZE[dreb]))/tbl_zawodnicy_średnie[[#This Row],[Played]],0)</f>
        <v>0.5</v>
      </c>
      <c r="L30" s="55">
        <f>IFERROR((SUMIF(tbl_główna_GRACZE[I. Nazwisko],tbl_zawodnicy_średnie[[#This Row],[I. Nazwisko]],tbl_główna_GRACZE[foul]))/tbl_zawodnicy_średnie[[#This Row],[Played]],0)</f>
        <v>1.5</v>
      </c>
      <c r="M30" s="55">
        <f>IFERROR((SUMIF(tbl_główna_GRACZE[I. Nazwisko],tbl_zawodnicy_średnie[[#This Row],[I. Nazwisko]],tbl_główna_GRACZE[stl]))/tbl_zawodnicy_średnie[[#This Row],[Played]],0)</f>
        <v>0.75</v>
      </c>
      <c r="N30" s="55">
        <f>IFERROR((SUMIF(tbl_główna_GRACZE[I. Nazwisko],tbl_zawodnicy_średnie[[#This Row],[I. Nazwisko]],tbl_główna_GRACZE[to]))/tbl_zawodnicy_średnie[[#This Row],[Played]],0)</f>
        <v>0</v>
      </c>
      <c r="O30" s="55">
        <f>IFERROR((SUMIF(tbl_główna_GRACZE[I. Nazwisko],tbl_zawodnicy_średnie[[#This Row],[I. Nazwisko]],tbl_główna_GRACZE[blk]))/tbl_zawodnicy_średnie[[#This Row],[Played]],0)</f>
        <v>0.25</v>
      </c>
      <c r="P30" s="55">
        <f>IFERROR((SUMIF(tbl_główna_GRACZE[I. Nazwisko],tbl_zawodnicy_średnie[[#This Row],[I. Nazwisko]],tbl_główna_GRACZE[asst]))/tbl_zawodnicy_średnie[[#This Row],[Played]],0)</f>
        <v>1</v>
      </c>
      <c r="Q30" s="55">
        <f>IFERROR((SUMIF(tbl_główna_GRACZE[I. Nazwisko],tbl_zawodnicy_średnie[[#This Row],[I. Nazwisko]],tbl_główna_GRACZE[min]))/tbl_zawodnicy_średnie[[#This Row],[Played]],0)</f>
        <v>14.25</v>
      </c>
      <c r="R30" s="55">
        <f>IFERROR((SUMIF(tbl_główna_GRACZE[I. Nazwisko],tbl_zawodnicy_średnie[[#This Row],[I. Nazwisko]],tbl_główna_GRACZE[pts]))/tbl_zawodnicy_średnie[[#This Row],[Played]],0)</f>
        <v>4.75</v>
      </c>
      <c r="S30" s="6">
        <f t="shared" si="9"/>
        <v>1</v>
      </c>
      <c r="T30" s="4">
        <f t="shared" si="0"/>
        <v>0.29166666666666669</v>
      </c>
      <c r="U30" s="4">
        <f t="shared" si="1"/>
        <v>0.23529411764705882</v>
      </c>
      <c r="V30" s="4">
        <f t="shared" si="2"/>
        <v>0.5</v>
      </c>
      <c r="W30" s="4">
        <f>IFERROR(tbl_zawodnicy_średnie[[#This Row],[2pm]]/tbl_zawodnicy_średnie[[#This Row],[2pa]],0)</f>
        <v>0.42857142857142855</v>
      </c>
      <c r="X30" s="4">
        <f t="shared" si="3"/>
        <v>0.38183279742765275</v>
      </c>
      <c r="Y30" s="4">
        <f t="shared" si="4"/>
        <v>0.375</v>
      </c>
      <c r="Z30" s="6">
        <f t="shared" si="10"/>
        <v>3.25</v>
      </c>
      <c r="AA30" s="4">
        <f t="shared" si="5"/>
        <v>8.3333333333333329E-2</v>
      </c>
      <c r="AB30" s="4">
        <f t="shared" si="6"/>
        <v>0.70833333333333337</v>
      </c>
      <c r="AC30" s="26">
        <f>IFERROR((SUMIF(tbl_główna_GRACZE[I. Nazwisko],tbl_zawodnicy_średnie[[#This Row],[I. Nazwisko]],tbl_główna_GRACZE[USG%]))/tbl_zawodnicy_średnie[[#This Row],[Played]],0)</f>
        <v>9.6895158277338161E-2</v>
      </c>
      <c r="AD30" s="25">
        <f>IFERROR(tbl_zawodnicy_średnie[[#This Row],[pts]]*(40/tbl_zawodnicy_średnie[[#This Row],[min]]),0)</f>
        <v>13.333333333333332</v>
      </c>
      <c r="AE30" s="25">
        <f>IFERROR(tbl_zawodnicy_średnie[[#This Row],[reb total]]*(40/tbl_zawodnicy_średnie[[#This Row],[min]]),0)</f>
        <v>2.807017543859649</v>
      </c>
      <c r="AF30" s="30">
        <f>IFERROR(tbl_zawodnicy_średnie[[#This Row],[asst]]*(40/tbl_zawodnicy_średnie[[#This Row],[min]]),0)</f>
        <v>2.807017543859649</v>
      </c>
      <c r="AG30" s="5">
        <f t="shared" si="7"/>
        <v>0.79166666666666663</v>
      </c>
      <c r="AH30" s="5">
        <f>IFERROR((tbl_zawodnicy_średnie[[#This Row],[stl]]+tbl_zawodnicy_średnie[[#This Row],[blk]])*(40/tbl_zawodnicy_średnie[[#This Row],[min]]),0)</f>
        <v>2.807017543859649</v>
      </c>
      <c r="AI30" s="4">
        <f>IFERROR((SUMIF(tbl_główna_GRACZE[I. Nazwisko],tbl_zawodnicy_średnie[[#This Row],[I. Nazwisko]],tbl_główna_GRACZE[DI]))/tbl_zawodnicy_średnie[[#This Row],[Played]],0)</f>
        <v>8.1349206349206338E-2</v>
      </c>
      <c r="AJ30" s="25">
        <f>tbl_zawodnicy_średnie[[#This Row],[stl]]+tbl_zawodnicy_średnie[[#This Row],[blk]]+(tbl_zawodnicy_średnie[[#This Row],[dreb]]*0.5)</f>
        <v>1.25</v>
      </c>
      <c r="AK30" s="29">
        <f>IFERROR((tbl_zawodnicy_średnie[[#This Row],[stl]]+tbl_zawodnicy_średnie[[#This Row],[blk]]+0.5*tbl_zawodnicy_średnie[[#This Row],[dreb]])/tbl_zawodnicy_średnie[[#This Row],[min]],0)</f>
        <v>8.771929824561403E-2</v>
      </c>
      <c r="AL30" s="6">
        <f t="shared" si="8"/>
        <v>3.2750000000000004</v>
      </c>
      <c r="AM30" s="6">
        <f>IFERROR(tbl_zawodnicy_średnie[[#This Row],[GmSc]]*(40/tbl_zawodnicy_średnie[[#This Row],[min]]),0)</f>
        <v>9.192982456140351</v>
      </c>
      <c r="AN30" s="6">
        <f>IFERROR(tbl_zawodnicy_średnie[[#This Row],[EVAL]]*(40/tbl_zawodnicy_średnie[[#This Row],[min]]),0)</f>
        <v>9.1228070175438596</v>
      </c>
      <c r="AO30" s="6">
        <f>tbl_zawodnicy_średnie[[#This Row],[fgm]]-tbl_zawodnicy_średnie[[#This Row],[3pm]]</f>
        <v>0.75</v>
      </c>
      <c r="AP30" s="6">
        <f>tbl_zawodnicy_średnie[[#This Row],[fga]]-tbl_zawodnicy_średnie[[#This Row],[3pa]]</f>
        <v>1.75</v>
      </c>
      <c r="AQ30">
        <v>20</v>
      </c>
      <c r="AR30" s="6" t="str">
        <f>tbl_zawodnicy_średnie[[#This Row],[I. Nazwisko]]&amp;" ["&amp;VLOOKUP(tbl_zawodnicy_średnie[[#This Row],[zespół]],tab_nazwy_zespołów[],2,0)&amp;"]"</f>
        <v>J. Warda [BYP]</v>
      </c>
    </row>
    <row r="31" spans="1:44" ht="14.5" customHeight="1" x14ac:dyDescent="0.35">
      <c r="A31" t="s">
        <v>46</v>
      </c>
      <c r="B31" t="s">
        <v>179</v>
      </c>
      <c r="C31" s="10">
        <f>SUMIF(tbl_główna_GRACZE[I. Nazwisko],tbl_zawodnicy_średnie[[#This Row],[I. Nazwisko]],tbl_główna_GRACZE[Played?])</f>
        <v>4</v>
      </c>
      <c r="D31" s="55">
        <f>IFERROR((SUMIF(tbl_główna_GRACZE[I. Nazwisko],tbl_zawodnicy_średnie[[#This Row],[I. Nazwisko]],tbl_główna_GRACZE[fgm]))/tbl_zawodnicy_średnie[[#This Row],[Played]],0)</f>
        <v>0.5</v>
      </c>
      <c r="E31" s="55">
        <f>IFERROR((SUMIF(tbl_główna_GRACZE[I. Nazwisko],tbl_zawodnicy_średnie[[#This Row],[I. Nazwisko]],tbl_główna_GRACZE[fga]))/tbl_zawodnicy_średnie[[#This Row],[Played]],0)</f>
        <v>2.5</v>
      </c>
      <c r="F31" s="55">
        <f>IFERROR((SUMIF(tbl_główna_GRACZE[I. Nazwisko],tbl_zawodnicy_średnie[[#This Row],[I. Nazwisko]],tbl_główna_GRACZE[3pm]))/tbl_zawodnicy_średnie[[#This Row],[Played]],0)</f>
        <v>0.25</v>
      </c>
      <c r="G31" s="55">
        <f>IFERROR((SUMIF(tbl_główna_GRACZE[I. Nazwisko],tbl_zawodnicy_średnie[[#This Row],[I. Nazwisko]],tbl_główna_GRACZE[3pa]))/tbl_zawodnicy_średnie[[#This Row],[Played]],0)</f>
        <v>0.5</v>
      </c>
      <c r="H31" s="55">
        <f>IFERROR((SUMIF(tbl_główna_GRACZE[I. Nazwisko],tbl_zawodnicy_średnie[[#This Row],[I. Nazwisko]],tbl_główna_GRACZE[ftm]))/tbl_zawodnicy_średnie[[#This Row],[Played]],0)</f>
        <v>0.75</v>
      </c>
      <c r="I31" s="55">
        <f>IFERROR((SUMIF(tbl_główna_GRACZE[I. Nazwisko],tbl_zawodnicy_średnie[[#This Row],[I. Nazwisko]],tbl_główna_GRACZE[fta]))/tbl_zawodnicy_średnie[[#This Row],[Played]],0)</f>
        <v>2.5</v>
      </c>
      <c r="J31" s="55">
        <f>IFERROR((SUMIF(tbl_główna_GRACZE[I. Nazwisko],tbl_zawodnicy_średnie[[#This Row],[I. Nazwisko]],tbl_główna_GRACZE[oreb]))/tbl_zawodnicy_średnie[[#This Row],[Played]],0)</f>
        <v>2</v>
      </c>
      <c r="K31" s="55">
        <f>IFERROR((SUMIF(tbl_główna_GRACZE[I. Nazwisko],tbl_zawodnicy_średnie[[#This Row],[I. Nazwisko]],tbl_główna_GRACZE[dreb]))/tbl_zawodnicy_średnie[[#This Row],[Played]],0)</f>
        <v>5.25</v>
      </c>
      <c r="L31" s="55">
        <f>IFERROR((SUMIF(tbl_główna_GRACZE[I. Nazwisko],tbl_zawodnicy_średnie[[#This Row],[I. Nazwisko]],tbl_główna_GRACZE[foul]))/tbl_zawodnicy_średnie[[#This Row],[Played]],0)</f>
        <v>1.5</v>
      </c>
      <c r="M31" s="55">
        <f>IFERROR((SUMIF(tbl_główna_GRACZE[I. Nazwisko],tbl_zawodnicy_średnie[[#This Row],[I. Nazwisko]],tbl_główna_GRACZE[stl]))/tbl_zawodnicy_średnie[[#This Row],[Played]],0)</f>
        <v>0.75</v>
      </c>
      <c r="N31" s="55">
        <f>IFERROR((SUMIF(tbl_główna_GRACZE[I. Nazwisko],tbl_zawodnicy_średnie[[#This Row],[I. Nazwisko]],tbl_główna_GRACZE[to]))/tbl_zawodnicy_średnie[[#This Row],[Played]],0)</f>
        <v>0</v>
      </c>
      <c r="O31" s="55">
        <f>IFERROR((SUMIF(tbl_główna_GRACZE[I. Nazwisko],tbl_zawodnicy_średnie[[#This Row],[I. Nazwisko]],tbl_główna_GRACZE[blk]))/tbl_zawodnicy_średnie[[#This Row],[Played]],0)</f>
        <v>1</v>
      </c>
      <c r="P31" s="55">
        <f>IFERROR((SUMIF(tbl_główna_GRACZE[I. Nazwisko],tbl_zawodnicy_średnie[[#This Row],[I. Nazwisko]],tbl_główna_GRACZE[asst]))/tbl_zawodnicy_średnie[[#This Row],[Played]],0)</f>
        <v>1.25</v>
      </c>
      <c r="Q31" s="55">
        <f>IFERROR((SUMIF(tbl_główna_GRACZE[I. Nazwisko],tbl_zawodnicy_średnie[[#This Row],[I. Nazwisko]],tbl_główna_GRACZE[min]))/tbl_zawodnicy_średnie[[#This Row],[Played]],0)</f>
        <v>21.75</v>
      </c>
      <c r="R31" s="55">
        <f>IFERROR((SUMIF(tbl_główna_GRACZE[I. Nazwisko],tbl_zawodnicy_średnie[[#This Row],[I. Nazwisko]],tbl_główna_GRACZE[pts]))/tbl_zawodnicy_średnie[[#This Row],[Played]],0)</f>
        <v>2</v>
      </c>
      <c r="S31" s="6">
        <f t="shared" si="9"/>
        <v>7.25</v>
      </c>
      <c r="T31" s="4">
        <f t="shared" si="0"/>
        <v>0.2</v>
      </c>
      <c r="U31" s="4">
        <f t="shared" si="1"/>
        <v>0.5</v>
      </c>
      <c r="V31" s="4">
        <f t="shared" si="2"/>
        <v>0.3</v>
      </c>
      <c r="W31" s="4">
        <f>IFERROR(tbl_zawodnicy_średnie[[#This Row],[2pm]]/tbl_zawodnicy_średnie[[#This Row],[2pa]],0)</f>
        <v>0.125</v>
      </c>
      <c r="X31" s="4">
        <f t="shared" si="3"/>
        <v>0.27777777777777779</v>
      </c>
      <c r="Y31" s="4">
        <f t="shared" si="4"/>
        <v>0.25</v>
      </c>
      <c r="Z31" s="6">
        <f t="shared" si="10"/>
        <v>8.5</v>
      </c>
      <c r="AA31" s="4">
        <f t="shared" si="5"/>
        <v>1</v>
      </c>
      <c r="AB31" s="4">
        <f t="shared" si="6"/>
        <v>0.2</v>
      </c>
      <c r="AC31" s="26">
        <f>IFERROR((SUMIF(tbl_główna_GRACZE[I. Nazwisko],tbl_zawodnicy_średnie[[#This Row],[I. Nazwisko]],tbl_główna_GRACZE[USG%]))/tbl_zawodnicy_średnie[[#This Row],[Played]],0)</f>
        <v>5.5608141654505609E-2</v>
      </c>
      <c r="AD31" s="25">
        <f>IFERROR(tbl_zawodnicy_średnie[[#This Row],[pts]]*(40/tbl_zawodnicy_średnie[[#This Row],[min]]),0)</f>
        <v>3.6781609195402298</v>
      </c>
      <c r="AE31" s="25">
        <f>IFERROR(tbl_zawodnicy_średnie[[#This Row],[reb total]]*(40/tbl_zawodnicy_średnie[[#This Row],[min]]),0)</f>
        <v>13.333333333333334</v>
      </c>
      <c r="AF31" s="30">
        <f>IFERROR(tbl_zawodnicy_średnie[[#This Row],[asst]]*(40/tbl_zawodnicy_średnie[[#This Row],[min]]),0)</f>
        <v>2.2988505747126435</v>
      </c>
      <c r="AG31" s="5">
        <f t="shared" si="7"/>
        <v>0.8</v>
      </c>
      <c r="AH31" s="5">
        <f>IFERROR((tbl_zawodnicy_średnie[[#This Row],[stl]]+tbl_zawodnicy_średnie[[#This Row],[blk]])*(40/tbl_zawodnicy_średnie[[#This Row],[min]]),0)</f>
        <v>3.2183908045977012</v>
      </c>
      <c r="AI31" s="4">
        <f>IFERROR((SUMIF(tbl_główna_GRACZE[I. Nazwisko],tbl_zawodnicy_średnie[[#This Row],[I. Nazwisko]],tbl_główna_GRACZE[DI]))/tbl_zawodnicy_średnie[[#This Row],[Played]],0)</f>
        <v>0.13371971595655804</v>
      </c>
      <c r="AJ31" s="25">
        <f>tbl_zawodnicy_średnie[[#This Row],[stl]]+tbl_zawodnicy_średnie[[#This Row],[blk]]+(tbl_zawodnicy_średnie[[#This Row],[dreb]]*0.5)</f>
        <v>4.375</v>
      </c>
      <c r="AK31" s="29">
        <f>IFERROR((tbl_zawodnicy_średnie[[#This Row],[stl]]+tbl_zawodnicy_średnie[[#This Row],[blk]]+0.5*tbl_zawodnicy_średnie[[#This Row],[dreb]])/tbl_zawodnicy_średnie[[#This Row],[min]],0)</f>
        <v>0.20114942528735633</v>
      </c>
      <c r="AL31" s="6">
        <f t="shared" si="8"/>
        <v>5.05</v>
      </c>
      <c r="AM31" s="6">
        <f>IFERROR(tbl_zawodnicy_średnie[[#This Row],[GmSc]]*(40/tbl_zawodnicy_średnie[[#This Row],[min]]),0)</f>
        <v>9.2873563218390807</v>
      </c>
      <c r="AN31" s="6">
        <f>IFERROR(tbl_zawodnicy_średnie[[#This Row],[EVAL]]*(40/tbl_zawodnicy_średnie[[#This Row],[min]]),0)</f>
        <v>15.632183908045977</v>
      </c>
      <c r="AO31" s="6">
        <f>tbl_zawodnicy_średnie[[#This Row],[fgm]]-tbl_zawodnicy_średnie[[#This Row],[3pm]]</f>
        <v>0.25</v>
      </c>
      <c r="AP31" s="6">
        <f>tbl_zawodnicy_średnie[[#This Row],[fga]]-tbl_zawodnicy_średnie[[#This Row],[3pa]]</f>
        <v>2</v>
      </c>
      <c r="AQ31">
        <v>21</v>
      </c>
      <c r="AR31" s="6" t="str">
        <f>tbl_zawodnicy_średnie[[#This Row],[I. Nazwisko]]&amp;" ["&amp;VLOOKUP(tbl_zawodnicy_średnie[[#This Row],[zespół]],tab_nazwy_zespołów[],2,0)&amp;"]"</f>
        <v>Ł. Flaga [BYP]</v>
      </c>
    </row>
    <row r="32" spans="1:44" ht="14.5" customHeight="1" x14ac:dyDescent="0.35">
      <c r="A32" t="s">
        <v>46</v>
      </c>
      <c r="B32" t="s">
        <v>180</v>
      </c>
      <c r="C32" s="10">
        <f>SUMIF(tbl_główna_GRACZE[I. Nazwisko],tbl_zawodnicy_średnie[[#This Row],[I. Nazwisko]],tbl_główna_GRACZE[Played?])</f>
        <v>2</v>
      </c>
      <c r="D32" s="55">
        <f>IFERROR((SUMIF(tbl_główna_GRACZE[I. Nazwisko],tbl_zawodnicy_średnie[[#This Row],[I. Nazwisko]],tbl_główna_GRACZE[fgm]))/tbl_zawodnicy_średnie[[#This Row],[Played]],0)</f>
        <v>0</v>
      </c>
      <c r="E32" s="55">
        <f>IFERROR((SUMIF(tbl_główna_GRACZE[I. Nazwisko],tbl_zawodnicy_średnie[[#This Row],[I. Nazwisko]],tbl_główna_GRACZE[fga]))/tbl_zawodnicy_średnie[[#This Row],[Played]],0)</f>
        <v>4.5</v>
      </c>
      <c r="F32" s="55">
        <f>IFERROR((SUMIF(tbl_główna_GRACZE[I. Nazwisko],tbl_zawodnicy_średnie[[#This Row],[I. Nazwisko]],tbl_główna_GRACZE[3pm]))/tbl_zawodnicy_średnie[[#This Row],[Played]],0)</f>
        <v>0</v>
      </c>
      <c r="G32" s="55">
        <f>IFERROR((SUMIF(tbl_główna_GRACZE[I. Nazwisko],tbl_zawodnicy_średnie[[#This Row],[I. Nazwisko]],tbl_główna_GRACZE[3pa]))/tbl_zawodnicy_średnie[[#This Row],[Played]],0)</f>
        <v>2</v>
      </c>
      <c r="H32" s="55">
        <f>IFERROR((SUMIF(tbl_główna_GRACZE[I. Nazwisko],tbl_zawodnicy_średnie[[#This Row],[I. Nazwisko]],tbl_główna_GRACZE[ftm]))/tbl_zawodnicy_średnie[[#This Row],[Played]],0)</f>
        <v>0</v>
      </c>
      <c r="I32" s="55">
        <f>IFERROR((SUMIF(tbl_główna_GRACZE[I. Nazwisko],tbl_zawodnicy_średnie[[#This Row],[I. Nazwisko]],tbl_główna_GRACZE[fta]))/tbl_zawodnicy_średnie[[#This Row],[Played]],0)</f>
        <v>0</v>
      </c>
      <c r="J32" s="55">
        <f>IFERROR((SUMIF(tbl_główna_GRACZE[I. Nazwisko],tbl_zawodnicy_średnie[[#This Row],[I. Nazwisko]],tbl_główna_GRACZE[oreb]))/tbl_zawodnicy_średnie[[#This Row],[Played]],0)</f>
        <v>0</v>
      </c>
      <c r="K32" s="55">
        <f>IFERROR((SUMIF(tbl_główna_GRACZE[I. Nazwisko],tbl_zawodnicy_średnie[[#This Row],[I. Nazwisko]],tbl_główna_GRACZE[dreb]))/tbl_zawodnicy_średnie[[#This Row],[Played]],0)</f>
        <v>3</v>
      </c>
      <c r="L32" s="55">
        <f>IFERROR((SUMIF(tbl_główna_GRACZE[I. Nazwisko],tbl_zawodnicy_średnie[[#This Row],[I. Nazwisko]],tbl_główna_GRACZE[foul]))/tbl_zawodnicy_średnie[[#This Row],[Played]],0)</f>
        <v>0</v>
      </c>
      <c r="M32" s="55">
        <f>IFERROR((SUMIF(tbl_główna_GRACZE[I. Nazwisko],tbl_zawodnicy_średnie[[#This Row],[I. Nazwisko]],tbl_główna_GRACZE[stl]))/tbl_zawodnicy_średnie[[#This Row],[Played]],0)</f>
        <v>0.5</v>
      </c>
      <c r="N32" s="55">
        <f>IFERROR((SUMIF(tbl_główna_GRACZE[I. Nazwisko],tbl_zawodnicy_średnie[[#This Row],[I. Nazwisko]],tbl_główna_GRACZE[to]))/tbl_zawodnicy_średnie[[#This Row],[Played]],0)</f>
        <v>0</v>
      </c>
      <c r="O32" s="55">
        <f>IFERROR((SUMIF(tbl_główna_GRACZE[I. Nazwisko],tbl_zawodnicy_średnie[[#This Row],[I. Nazwisko]],tbl_główna_GRACZE[blk]))/tbl_zawodnicy_średnie[[#This Row],[Played]],0)</f>
        <v>0.5</v>
      </c>
      <c r="P32" s="55">
        <f>IFERROR((SUMIF(tbl_główna_GRACZE[I. Nazwisko],tbl_zawodnicy_średnie[[#This Row],[I. Nazwisko]],tbl_główna_GRACZE[asst]))/tbl_zawodnicy_średnie[[#This Row],[Played]],0)</f>
        <v>0.5</v>
      </c>
      <c r="Q32" s="55">
        <f>IFERROR((SUMIF(tbl_główna_GRACZE[I. Nazwisko],tbl_zawodnicy_średnie[[#This Row],[I. Nazwisko]],tbl_główna_GRACZE[min]))/tbl_zawodnicy_średnie[[#This Row],[Played]],0)</f>
        <v>12.5</v>
      </c>
      <c r="R32" s="55">
        <f>IFERROR((SUMIF(tbl_główna_GRACZE[I. Nazwisko],tbl_zawodnicy_średnie[[#This Row],[I. Nazwisko]],tbl_główna_GRACZE[pts]))/tbl_zawodnicy_średnie[[#This Row],[Played]],0)</f>
        <v>0</v>
      </c>
      <c r="S32" s="6">
        <f t="shared" si="9"/>
        <v>3</v>
      </c>
      <c r="T32" s="4">
        <f t="shared" si="0"/>
        <v>0</v>
      </c>
      <c r="U32" s="4">
        <f t="shared" si="1"/>
        <v>0</v>
      </c>
      <c r="V32" s="4">
        <f t="shared" si="2"/>
        <v>0</v>
      </c>
      <c r="W32" s="4">
        <f>IFERROR(tbl_zawodnicy_średnie[[#This Row],[2pm]]/tbl_zawodnicy_średnie[[#This Row],[2pa]],0)</f>
        <v>0</v>
      </c>
      <c r="X32" s="4">
        <f t="shared" si="3"/>
        <v>0</v>
      </c>
      <c r="Y32" s="4">
        <f t="shared" si="4"/>
        <v>0</v>
      </c>
      <c r="Z32" s="6">
        <f t="shared" si="10"/>
        <v>0</v>
      </c>
      <c r="AA32" s="4">
        <f t="shared" si="5"/>
        <v>0</v>
      </c>
      <c r="AB32" s="4">
        <f t="shared" si="6"/>
        <v>0.44444444444444442</v>
      </c>
      <c r="AC32" s="26">
        <f>IFERROR((SUMIF(tbl_główna_GRACZE[I. Nazwisko],tbl_zawodnicy_średnie[[#This Row],[I. Nazwisko]],tbl_główna_GRACZE[USG%]))/tbl_zawodnicy_średnie[[#This Row],[Played]],0)</f>
        <v>6.8570484480483154E-2</v>
      </c>
      <c r="AD32" s="25">
        <f>IFERROR(tbl_zawodnicy_średnie[[#This Row],[pts]]*(40/tbl_zawodnicy_średnie[[#This Row],[min]]),0)</f>
        <v>0</v>
      </c>
      <c r="AE32" s="25">
        <f>IFERROR(tbl_zawodnicy_średnie[[#This Row],[reb total]]*(40/tbl_zawodnicy_średnie[[#This Row],[min]]),0)</f>
        <v>9.6000000000000014</v>
      </c>
      <c r="AF32" s="30">
        <f>IFERROR(tbl_zawodnicy_średnie[[#This Row],[asst]]*(40/tbl_zawodnicy_średnie[[#This Row],[min]]),0)</f>
        <v>1.6</v>
      </c>
      <c r="AG32" s="5">
        <f t="shared" si="7"/>
        <v>0</v>
      </c>
      <c r="AH32" s="5">
        <f>IFERROR((tbl_zawodnicy_średnie[[#This Row],[stl]]+tbl_zawodnicy_średnie[[#This Row],[blk]])*(40/tbl_zawodnicy_średnie[[#This Row],[min]]),0)</f>
        <v>3.2</v>
      </c>
      <c r="AI32" s="4">
        <f>IFERROR((SUMIF(tbl_główna_GRACZE[I. Nazwisko],tbl_zawodnicy_średnie[[#This Row],[I. Nazwisko]],tbl_główna_GRACZE[DI]))/tbl_zawodnicy_średnie[[#This Row],[Played]],0)</f>
        <v>0.1111111111111111</v>
      </c>
      <c r="AJ32" s="25">
        <f>tbl_zawodnicy_średnie[[#This Row],[stl]]+tbl_zawodnicy_średnie[[#This Row],[blk]]+(tbl_zawodnicy_średnie[[#This Row],[dreb]]*0.5)</f>
        <v>2.5</v>
      </c>
      <c r="AK32" s="29">
        <f>IFERROR((tbl_zawodnicy_średnie[[#This Row],[stl]]+tbl_zawodnicy_średnie[[#This Row],[blk]]+0.5*tbl_zawodnicy_średnie[[#This Row],[dreb]])/tbl_zawodnicy_średnie[[#This Row],[min]],0)</f>
        <v>0.2</v>
      </c>
      <c r="AL32" s="6">
        <f t="shared" si="8"/>
        <v>-1.0499999999999998</v>
      </c>
      <c r="AM32" s="6">
        <f>IFERROR(tbl_zawodnicy_średnie[[#This Row],[GmSc]]*(40/tbl_zawodnicy_średnie[[#This Row],[min]]),0)</f>
        <v>-3.3599999999999994</v>
      </c>
      <c r="AN32" s="6">
        <f>IFERROR(tbl_zawodnicy_średnie[[#This Row],[EVAL]]*(40/tbl_zawodnicy_średnie[[#This Row],[min]]),0)</f>
        <v>0</v>
      </c>
      <c r="AO32" s="6">
        <f>tbl_zawodnicy_średnie[[#This Row],[fgm]]-tbl_zawodnicy_średnie[[#This Row],[3pm]]</f>
        <v>0</v>
      </c>
      <c r="AP32" s="6">
        <f>tbl_zawodnicy_średnie[[#This Row],[fga]]-tbl_zawodnicy_średnie[[#This Row],[3pa]]</f>
        <v>2.5</v>
      </c>
      <c r="AQ32">
        <v>22</v>
      </c>
      <c r="AR32" s="6" t="str">
        <f>tbl_zawodnicy_średnie[[#This Row],[I. Nazwisko]]&amp;" ["&amp;VLOOKUP(tbl_zawodnicy_średnie[[#This Row],[zespół]],tab_nazwy_zespołów[],2,0)&amp;"]"</f>
        <v>P. Piotrowski [BYP]</v>
      </c>
    </row>
    <row r="33" spans="1:44" ht="14.5" customHeight="1" x14ac:dyDescent="0.35">
      <c r="A33" t="s">
        <v>48</v>
      </c>
      <c r="B33" t="s">
        <v>181</v>
      </c>
      <c r="C33" s="20">
        <f>SUMIF(tbl_główna_GRACZE[I. Nazwisko],tbl_zawodnicy_średnie[[#This Row],[I. Nazwisko]],tbl_główna_GRACZE[Played?])</f>
        <v>3</v>
      </c>
      <c r="D33" s="55">
        <f>IFERROR((SUMIF(tbl_główna_GRACZE[I. Nazwisko],tbl_zawodnicy_średnie[[#This Row],[I. Nazwisko]],tbl_główna_GRACZE[fgm]))/tbl_zawodnicy_średnie[[#This Row],[Played]],0)</f>
        <v>9.6666666666666661</v>
      </c>
      <c r="E33" s="55">
        <f>IFERROR((SUMIF(tbl_główna_GRACZE[I. Nazwisko],tbl_zawodnicy_średnie[[#This Row],[I. Nazwisko]],tbl_główna_GRACZE[fga]))/tbl_zawodnicy_średnie[[#This Row],[Played]],0)</f>
        <v>18.666666666666668</v>
      </c>
      <c r="F33" s="55">
        <f>IFERROR((SUMIF(tbl_główna_GRACZE[I. Nazwisko],tbl_zawodnicy_średnie[[#This Row],[I. Nazwisko]],tbl_główna_GRACZE[3pm]))/tbl_zawodnicy_średnie[[#This Row],[Played]],0)</f>
        <v>0</v>
      </c>
      <c r="G33" s="55">
        <f>IFERROR((SUMIF(tbl_główna_GRACZE[I. Nazwisko],tbl_zawodnicy_średnie[[#This Row],[I. Nazwisko]],tbl_główna_GRACZE[3pa]))/tbl_zawodnicy_średnie[[#This Row],[Played]],0)</f>
        <v>2</v>
      </c>
      <c r="H33" s="55">
        <f>IFERROR((SUMIF(tbl_główna_GRACZE[I. Nazwisko],tbl_zawodnicy_średnie[[#This Row],[I. Nazwisko]],tbl_główna_GRACZE[ftm]))/tbl_zawodnicy_średnie[[#This Row],[Played]],0)</f>
        <v>4.666666666666667</v>
      </c>
      <c r="I33" s="55">
        <f>IFERROR((SUMIF(tbl_główna_GRACZE[I. Nazwisko],tbl_zawodnicy_średnie[[#This Row],[I. Nazwisko]],tbl_główna_GRACZE[fta]))/tbl_zawodnicy_średnie[[#This Row],[Played]],0)</f>
        <v>8</v>
      </c>
      <c r="J33" s="55">
        <f>IFERROR((SUMIF(tbl_główna_GRACZE[I. Nazwisko],tbl_zawodnicy_średnie[[#This Row],[I. Nazwisko]],tbl_główna_GRACZE[oreb]))/tbl_zawodnicy_średnie[[#This Row],[Played]],0)</f>
        <v>2.6666666666666665</v>
      </c>
      <c r="K33" s="55">
        <f>IFERROR((SUMIF(tbl_główna_GRACZE[I. Nazwisko],tbl_zawodnicy_średnie[[#This Row],[I. Nazwisko]],tbl_główna_GRACZE[dreb]))/tbl_zawodnicy_średnie[[#This Row],[Played]],0)</f>
        <v>5</v>
      </c>
      <c r="L33" s="55">
        <f>IFERROR((SUMIF(tbl_główna_GRACZE[I. Nazwisko],tbl_zawodnicy_średnie[[#This Row],[I. Nazwisko]],tbl_główna_GRACZE[foul]))/tbl_zawodnicy_średnie[[#This Row],[Played]],0)</f>
        <v>1.3333333333333333</v>
      </c>
      <c r="M33" s="55">
        <f>IFERROR((SUMIF(tbl_główna_GRACZE[I. Nazwisko],tbl_zawodnicy_średnie[[#This Row],[I. Nazwisko]],tbl_główna_GRACZE[stl]))/tbl_zawodnicy_średnie[[#This Row],[Played]],0)</f>
        <v>2.3333333333333335</v>
      </c>
      <c r="N33" s="55">
        <f>IFERROR((SUMIF(tbl_główna_GRACZE[I. Nazwisko],tbl_zawodnicy_średnie[[#This Row],[I. Nazwisko]],tbl_główna_GRACZE[to]))/tbl_zawodnicy_średnie[[#This Row],[Played]],0)</f>
        <v>0</v>
      </c>
      <c r="O33" s="55">
        <f>IFERROR((SUMIF(tbl_główna_GRACZE[I. Nazwisko],tbl_zawodnicy_średnie[[#This Row],[I. Nazwisko]],tbl_główna_GRACZE[blk]))/tbl_zawodnicy_średnie[[#This Row],[Played]],0)</f>
        <v>1</v>
      </c>
      <c r="P33" s="55">
        <f>IFERROR((SUMIF(tbl_główna_GRACZE[I. Nazwisko],tbl_zawodnicy_średnie[[#This Row],[I. Nazwisko]],tbl_główna_GRACZE[asst]))/tbl_zawodnicy_średnie[[#This Row],[Played]],0)</f>
        <v>1.3333333333333333</v>
      </c>
      <c r="Q33" s="55">
        <f>IFERROR((SUMIF(tbl_główna_GRACZE[I. Nazwisko],tbl_zawodnicy_średnie[[#This Row],[I. Nazwisko]],tbl_główna_GRACZE[min]))/tbl_zawodnicy_średnie[[#This Row],[Played]],0)</f>
        <v>32</v>
      </c>
      <c r="R33" s="55">
        <f>IFERROR((SUMIF(tbl_główna_GRACZE[I. Nazwisko],tbl_zawodnicy_średnie[[#This Row],[I. Nazwisko]],tbl_główna_GRACZE[pts]))/tbl_zawodnicy_średnie[[#This Row],[Played]],0)</f>
        <v>24</v>
      </c>
      <c r="S33" s="6">
        <f t="shared" si="9"/>
        <v>7.6666666666666661</v>
      </c>
      <c r="T33" s="4">
        <f t="shared" si="0"/>
        <v>0.51785714285714279</v>
      </c>
      <c r="U33" s="4">
        <f t="shared" si="1"/>
        <v>0</v>
      </c>
      <c r="V33" s="4">
        <f t="shared" si="2"/>
        <v>0.58333333333333337</v>
      </c>
      <c r="W33" s="4">
        <f>IFERROR(tbl_zawodnicy_średnie[[#This Row],[2pm]]/tbl_zawodnicy_średnie[[#This Row],[2pa]],0)</f>
        <v>0.57999999999999996</v>
      </c>
      <c r="X33" s="4">
        <f t="shared" si="3"/>
        <v>0.54086538461538458</v>
      </c>
      <c r="Y33" s="4">
        <f t="shared" si="4"/>
        <v>0.51785714285714279</v>
      </c>
      <c r="Z33" s="6">
        <f t="shared" si="10"/>
        <v>24.000000000000004</v>
      </c>
      <c r="AA33" s="4">
        <f t="shared" si="5"/>
        <v>0.42857142857142855</v>
      </c>
      <c r="AB33" s="4">
        <f t="shared" si="6"/>
        <v>0.10714285714285714</v>
      </c>
      <c r="AC33" s="26">
        <f>IFERROR((SUMIF(tbl_główna_GRACZE[I. Nazwisko],tbl_zawodnicy_średnie[[#This Row],[I. Nazwisko]],tbl_główna_GRACZE[USG%]))/tbl_zawodnicy_średnie[[#This Row],[Played]],0)</f>
        <v>0.28611900107024085</v>
      </c>
      <c r="AD33" s="25">
        <f>IFERROR(tbl_zawodnicy_średnie[[#This Row],[pts]]*(40/tbl_zawodnicy_średnie[[#This Row],[min]]),0)</f>
        <v>30</v>
      </c>
      <c r="AE33" s="25">
        <f>IFERROR(tbl_zawodnicy_średnie[[#This Row],[reb total]]*(40/tbl_zawodnicy_średnie[[#This Row],[min]]),0)</f>
        <v>9.5833333333333321</v>
      </c>
      <c r="AF33" s="30">
        <f>IFERROR(tbl_zawodnicy_średnie[[#This Row],[asst]]*(40/tbl_zawodnicy_średnie[[#This Row],[min]]),0)</f>
        <v>1.6666666666666665</v>
      </c>
      <c r="AG33" s="5">
        <f t="shared" si="7"/>
        <v>1.2857142857142856</v>
      </c>
      <c r="AH33" s="5">
        <f>IFERROR((tbl_zawodnicy_średnie[[#This Row],[stl]]+tbl_zawodnicy_średnie[[#This Row],[blk]])*(40/tbl_zawodnicy_średnie[[#This Row],[min]]),0)</f>
        <v>4.166666666666667</v>
      </c>
      <c r="AI33" s="4">
        <f>IFERROR((SUMIF(tbl_główna_GRACZE[I. Nazwisko],tbl_zawodnicy_średnie[[#This Row],[I. Nazwisko]],tbl_główna_GRACZE[DI]))/tbl_zawodnicy_średnie[[#This Row],[Played]],0)</f>
        <v>0.16334541062801933</v>
      </c>
      <c r="AJ33" s="25">
        <f>tbl_zawodnicy_średnie[[#This Row],[stl]]+tbl_zawodnicy_średnie[[#This Row],[blk]]+(tbl_zawodnicy_średnie[[#This Row],[dreb]]*0.5)</f>
        <v>5.8333333333333339</v>
      </c>
      <c r="AK33" s="29">
        <f>IFERROR((tbl_zawodnicy_średnie[[#This Row],[stl]]+tbl_zawodnicy_średnie[[#This Row],[blk]]+0.5*tbl_zawodnicy_średnie[[#This Row],[dreb]])/tbl_zawodnicy_średnie[[#This Row],[min]],0)</f>
        <v>0.18229166666666669</v>
      </c>
      <c r="AL33" s="6">
        <f t="shared" si="8"/>
        <v>20.8</v>
      </c>
      <c r="AM33" s="6">
        <f>IFERROR(tbl_zawodnicy_średnie[[#This Row],[GmSc]]*(40/tbl_zawodnicy_średnie[[#This Row],[min]]),0)</f>
        <v>26</v>
      </c>
      <c r="AN33" s="6">
        <f>IFERROR(tbl_zawodnicy_średnie[[#This Row],[EVAL]]*(40/tbl_zawodnicy_średnie[[#This Row],[min]]),0)</f>
        <v>30.000000000000004</v>
      </c>
      <c r="AO33" s="6">
        <f>tbl_zawodnicy_średnie[[#This Row],[fgm]]-tbl_zawodnicy_średnie[[#This Row],[3pm]]</f>
        <v>9.6666666666666661</v>
      </c>
      <c r="AP33" s="6">
        <f>tbl_zawodnicy_średnie[[#This Row],[fga]]-tbl_zawodnicy_średnie[[#This Row],[3pa]]</f>
        <v>16.666666666666668</v>
      </c>
      <c r="AQ33">
        <v>23</v>
      </c>
      <c r="AR33" s="6" t="str">
        <f>tbl_zawodnicy_średnie[[#This Row],[I. Nazwisko]]&amp;" ["&amp;VLOOKUP(tbl_zawodnicy_średnie[[#This Row],[zespół]],tab_nazwy_zespołów[],2,0)&amp;"]"</f>
        <v>S. Gąsiorowski [ŁOD]</v>
      </c>
    </row>
    <row r="34" spans="1:44" ht="14.5" customHeight="1" x14ac:dyDescent="0.35">
      <c r="A34" t="s">
        <v>48</v>
      </c>
      <c r="B34" t="s">
        <v>182</v>
      </c>
      <c r="C34" s="9">
        <f>SUMIF(tbl_główna_GRACZE[I. Nazwisko],tbl_zawodnicy_średnie[[#This Row],[I. Nazwisko]],tbl_główna_GRACZE[Played?])</f>
        <v>4</v>
      </c>
      <c r="D34" s="55">
        <f>IFERROR((SUMIF(tbl_główna_GRACZE[I. Nazwisko],tbl_zawodnicy_średnie[[#This Row],[I. Nazwisko]],tbl_główna_GRACZE[fgm]))/tbl_zawodnicy_średnie[[#This Row],[Played]],0)</f>
        <v>1.25</v>
      </c>
      <c r="E34" s="55">
        <f>IFERROR((SUMIF(tbl_główna_GRACZE[I. Nazwisko],tbl_zawodnicy_średnie[[#This Row],[I. Nazwisko]],tbl_główna_GRACZE[fga]))/tbl_zawodnicy_średnie[[#This Row],[Played]],0)</f>
        <v>7</v>
      </c>
      <c r="F34" s="55">
        <f>IFERROR((SUMIF(tbl_główna_GRACZE[I. Nazwisko],tbl_zawodnicy_średnie[[#This Row],[I. Nazwisko]],tbl_główna_GRACZE[3pm]))/tbl_zawodnicy_średnie[[#This Row],[Played]],0)</f>
        <v>0.5</v>
      </c>
      <c r="G34" s="55">
        <f>IFERROR((SUMIF(tbl_główna_GRACZE[I. Nazwisko],tbl_zawodnicy_średnie[[#This Row],[I. Nazwisko]],tbl_główna_GRACZE[3pa]))/tbl_zawodnicy_średnie[[#This Row],[Played]],0)</f>
        <v>3.5</v>
      </c>
      <c r="H34" s="55">
        <f>IFERROR((SUMIF(tbl_główna_GRACZE[I. Nazwisko],tbl_zawodnicy_średnie[[#This Row],[I. Nazwisko]],tbl_główna_GRACZE[ftm]))/tbl_zawodnicy_średnie[[#This Row],[Played]],0)</f>
        <v>0.25</v>
      </c>
      <c r="I34" s="55">
        <f>IFERROR((SUMIF(tbl_główna_GRACZE[I. Nazwisko],tbl_zawodnicy_średnie[[#This Row],[I. Nazwisko]],tbl_główna_GRACZE[fta]))/tbl_zawodnicy_średnie[[#This Row],[Played]],0)</f>
        <v>1</v>
      </c>
      <c r="J34" s="55">
        <f>IFERROR((SUMIF(tbl_główna_GRACZE[I. Nazwisko],tbl_zawodnicy_średnie[[#This Row],[I. Nazwisko]],tbl_główna_GRACZE[oreb]))/tbl_zawodnicy_średnie[[#This Row],[Played]],0)</f>
        <v>0.75</v>
      </c>
      <c r="K34" s="55">
        <f>IFERROR((SUMIF(tbl_główna_GRACZE[I. Nazwisko],tbl_zawodnicy_średnie[[#This Row],[I. Nazwisko]],tbl_główna_GRACZE[dreb]))/tbl_zawodnicy_średnie[[#This Row],[Played]],0)</f>
        <v>2</v>
      </c>
      <c r="L34" s="55">
        <f>IFERROR((SUMIF(tbl_główna_GRACZE[I. Nazwisko],tbl_zawodnicy_średnie[[#This Row],[I. Nazwisko]],tbl_główna_GRACZE[foul]))/tbl_zawodnicy_średnie[[#This Row],[Played]],0)</f>
        <v>0.5</v>
      </c>
      <c r="M34" s="55">
        <f>IFERROR((SUMIF(tbl_główna_GRACZE[I. Nazwisko],tbl_zawodnicy_średnie[[#This Row],[I. Nazwisko]],tbl_główna_GRACZE[stl]))/tbl_zawodnicy_średnie[[#This Row],[Played]],0)</f>
        <v>1.25</v>
      </c>
      <c r="N34" s="55">
        <f>IFERROR((SUMIF(tbl_główna_GRACZE[I. Nazwisko],tbl_zawodnicy_średnie[[#This Row],[I. Nazwisko]],tbl_główna_GRACZE[to]))/tbl_zawodnicy_średnie[[#This Row],[Played]],0)</f>
        <v>0</v>
      </c>
      <c r="O34" s="55">
        <f>IFERROR((SUMIF(tbl_główna_GRACZE[I. Nazwisko],tbl_zawodnicy_średnie[[#This Row],[I. Nazwisko]],tbl_główna_GRACZE[blk]))/tbl_zawodnicy_średnie[[#This Row],[Played]],0)</f>
        <v>0.25</v>
      </c>
      <c r="P34" s="55">
        <f>IFERROR((SUMIF(tbl_główna_GRACZE[I. Nazwisko],tbl_zawodnicy_średnie[[#This Row],[I. Nazwisko]],tbl_główna_GRACZE[asst]))/tbl_zawodnicy_średnie[[#This Row],[Played]],0)</f>
        <v>0.75</v>
      </c>
      <c r="Q34" s="55">
        <f>IFERROR((SUMIF(tbl_główna_GRACZE[I. Nazwisko],tbl_zawodnicy_średnie[[#This Row],[I. Nazwisko]],tbl_główna_GRACZE[min]))/tbl_zawodnicy_średnie[[#This Row],[Played]],0)</f>
        <v>24.25</v>
      </c>
      <c r="R34" s="55">
        <f>IFERROR((SUMIF(tbl_główna_GRACZE[I. Nazwisko],tbl_zawodnicy_średnie[[#This Row],[I. Nazwisko]],tbl_główna_GRACZE[pts]))/tbl_zawodnicy_średnie[[#This Row],[Played]],0)</f>
        <v>3.25</v>
      </c>
      <c r="S34" s="6">
        <f t="shared" si="9"/>
        <v>2.75</v>
      </c>
      <c r="T34" s="4">
        <f t="shared" si="0"/>
        <v>0.17857142857142858</v>
      </c>
      <c r="U34" s="4">
        <f t="shared" si="1"/>
        <v>0.14285714285714285</v>
      </c>
      <c r="V34" s="4">
        <f t="shared" si="2"/>
        <v>0.25</v>
      </c>
      <c r="W34" s="4">
        <f>IFERROR(tbl_zawodnicy_średnie[[#This Row],[2pm]]/tbl_zawodnicy_średnie[[#This Row],[2pa]],0)</f>
        <v>0.21428571428571427</v>
      </c>
      <c r="X34" s="4">
        <f t="shared" si="3"/>
        <v>0.21841397849462366</v>
      </c>
      <c r="Y34" s="4">
        <f t="shared" si="4"/>
        <v>0.21428571428571427</v>
      </c>
      <c r="Z34" s="6">
        <f t="shared" si="10"/>
        <v>1.75</v>
      </c>
      <c r="AA34" s="4">
        <f t="shared" si="5"/>
        <v>0.14285714285714285</v>
      </c>
      <c r="AB34" s="4">
        <f t="shared" si="6"/>
        <v>0.5</v>
      </c>
      <c r="AC34" s="26">
        <f>IFERROR((SUMIF(tbl_główna_GRACZE[I. Nazwisko],tbl_zawodnicy_średnie[[#This Row],[I. Nazwisko]],tbl_główna_GRACZE[USG%]))/tbl_zawodnicy_średnie[[#This Row],[Played]],0)</f>
        <v>8.7037378191796216E-2</v>
      </c>
      <c r="AD34" s="25">
        <f>IFERROR(tbl_zawodnicy_średnie[[#This Row],[pts]]*(40/tbl_zawodnicy_średnie[[#This Row],[min]]),0)</f>
        <v>5.3608247422680408</v>
      </c>
      <c r="AE34" s="25">
        <f>IFERROR(tbl_zawodnicy_średnie[[#This Row],[reb total]]*(40/tbl_zawodnicy_średnie[[#This Row],[min]]),0)</f>
        <v>4.536082474226804</v>
      </c>
      <c r="AF34" s="30">
        <f>IFERROR(tbl_zawodnicy_średnie[[#This Row],[asst]]*(40/tbl_zawodnicy_średnie[[#This Row],[min]]),0)</f>
        <v>1.2371134020618557</v>
      </c>
      <c r="AG34" s="5">
        <f t="shared" si="7"/>
        <v>0.4642857142857143</v>
      </c>
      <c r="AH34" s="5">
        <f>IFERROR((tbl_zawodnicy_średnie[[#This Row],[stl]]+tbl_zawodnicy_średnie[[#This Row],[blk]])*(40/tbl_zawodnicy_średnie[[#This Row],[min]]),0)</f>
        <v>2.4742268041237114</v>
      </c>
      <c r="AI34" s="4">
        <f>IFERROR((SUMIF(tbl_główna_GRACZE[I. Nazwisko],tbl_zawodnicy_średnie[[#This Row],[I. Nazwisko]],tbl_główna_GRACZE[DI]))/tbl_zawodnicy_średnie[[#This Row],[Played]],0)</f>
        <v>8.4027777777777785E-2</v>
      </c>
      <c r="AJ34" s="25">
        <f>tbl_zawodnicy_średnie[[#This Row],[stl]]+tbl_zawodnicy_średnie[[#This Row],[blk]]+(tbl_zawodnicy_średnie[[#This Row],[dreb]]*0.5)</f>
        <v>2.5</v>
      </c>
      <c r="AK34" s="29">
        <f>IFERROR((tbl_zawodnicy_średnie[[#This Row],[stl]]+tbl_zawodnicy_średnie[[#This Row],[blk]]+0.5*tbl_zawodnicy_średnie[[#This Row],[dreb]])/tbl_zawodnicy_średnie[[#This Row],[min]],0)</f>
        <v>0.10309278350515463</v>
      </c>
      <c r="AL34" s="6">
        <f t="shared" si="8"/>
        <v>1.6250000000000002</v>
      </c>
      <c r="AM34" s="6">
        <f>IFERROR(tbl_zawodnicy_średnie[[#This Row],[GmSc]]*(40/tbl_zawodnicy_średnie[[#This Row],[min]]),0)</f>
        <v>2.6804123711340209</v>
      </c>
      <c r="AN34" s="6">
        <f>IFERROR(tbl_zawodnicy_średnie[[#This Row],[EVAL]]*(40/tbl_zawodnicy_średnie[[#This Row],[min]]),0)</f>
        <v>2.8865979381443299</v>
      </c>
      <c r="AO34" s="6">
        <f>tbl_zawodnicy_średnie[[#This Row],[fgm]]-tbl_zawodnicy_średnie[[#This Row],[3pm]]</f>
        <v>0.75</v>
      </c>
      <c r="AP34" s="6">
        <f>tbl_zawodnicy_średnie[[#This Row],[fga]]-tbl_zawodnicy_średnie[[#This Row],[3pa]]</f>
        <v>3.5</v>
      </c>
      <c r="AQ34">
        <v>24</v>
      </c>
      <c r="AR34" s="6" t="str">
        <f>tbl_zawodnicy_średnie[[#This Row],[I. Nazwisko]]&amp;" ["&amp;VLOOKUP(tbl_zawodnicy_średnie[[#This Row],[zespół]],tab_nazwy_zespołów[],2,0)&amp;"]"</f>
        <v>F. Gąsiorowski [ŁOD]</v>
      </c>
    </row>
    <row r="35" spans="1:44" ht="14.5" customHeight="1" x14ac:dyDescent="0.35">
      <c r="A35" t="s">
        <v>48</v>
      </c>
      <c r="B35" t="s">
        <v>183</v>
      </c>
      <c r="C35" s="9">
        <f>SUMIF(tbl_główna_GRACZE[I. Nazwisko],tbl_zawodnicy_średnie[[#This Row],[I. Nazwisko]],tbl_główna_GRACZE[Played?])</f>
        <v>4</v>
      </c>
      <c r="D35" s="55">
        <f>IFERROR((SUMIF(tbl_główna_GRACZE[I. Nazwisko],tbl_zawodnicy_średnie[[#This Row],[I. Nazwisko]],tbl_główna_GRACZE[fgm]))/tbl_zawodnicy_średnie[[#This Row],[Played]],0)</f>
        <v>2.5</v>
      </c>
      <c r="E35" s="55">
        <f>IFERROR((SUMIF(tbl_główna_GRACZE[I. Nazwisko],tbl_zawodnicy_średnie[[#This Row],[I. Nazwisko]],tbl_główna_GRACZE[fga]))/tbl_zawodnicy_średnie[[#This Row],[Played]],0)</f>
        <v>8.25</v>
      </c>
      <c r="F35" s="55">
        <f>IFERROR((SUMIF(tbl_główna_GRACZE[I. Nazwisko],tbl_zawodnicy_średnie[[#This Row],[I. Nazwisko]],tbl_główna_GRACZE[3pm]))/tbl_zawodnicy_średnie[[#This Row],[Played]],0)</f>
        <v>1</v>
      </c>
      <c r="G35" s="55">
        <f>IFERROR((SUMIF(tbl_główna_GRACZE[I. Nazwisko],tbl_zawodnicy_średnie[[#This Row],[I. Nazwisko]],tbl_główna_GRACZE[3pa]))/tbl_zawodnicy_średnie[[#This Row],[Played]],0)</f>
        <v>2.5</v>
      </c>
      <c r="H35" s="55">
        <f>IFERROR((SUMIF(tbl_główna_GRACZE[I. Nazwisko],tbl_zawodnicy_średnie[[#This Row],[I. Nazwisko]],tbl_główna_GRACZE[ftm]))/tbl_zawodnicy_średnie[[#This Row],[Played]],0)</f>
        <v>1.25</v>
      </c>
      <c r="I35" s="55">
        <f>IFERROR((SUMIF(tbl_główna_GRACZE[I. Nazwisko],tbl_zawodnicy_średnie[[#This Row],[I. Nazwisko]],tbl_główna_GRACZE[fta]))/tbl_zawodnicy_średnie[[#This Row],[Played]],0)</f>
        <v>2</v>
      </c>
      <c r="J35" s="55">
        <f>IFERROR((SUMIF(tbl_główna_GRACZE[I. Nazwisko],tbl_zawodnicy_średnie[[#This Row],[I. Nazwisko]],tbl_główna_GRACZE[oreb]))/tbl_zawodnicy_średnie[[#This Row],[Played]],0)</f>
        <v>1.25</v>
      </c>
      <c r="K35" s="55">
        <f>IFERROR((SUMIF(tbl_główna_GRACZE[I. Nazwisko],tbl_zawodnicy_średnie[[#This Row],[I. Nazwisko]],tbl_główna_GRACZE[dreb]))/tbl_zawodnicy_średnie[[#This Row],[Played]],0)</f>
        <v>3</v>
      </c>
      <c r="L35" s="55">
        <f>IFERROR((SUMIF(tbl_główna_GRACZE[I. Nazwisko],tbl_zawodnicy_średnie[[#This Row],[I. Nazwisko]],tbl_główna_GRACZE[foul]))/tbl_zawodnicy_średnie[[#This Row],[Played]],0)</f>
        <v>0</v>
      </c>
      <c r="M35" s="55">
        <f>IFERROR((SUMIF(tbl_główna_GRACZE[I. Nazwisko],tbl_zawodnicy_średnie[[#This Row],[I. Nazwisko]],tbl_główna_GRACZE[stl]))/tbl_zawodnicy_średnie[[#This Row],[Played]],0)</f>
        <v>2.25</v>
      </c>
      <c r="N35" s="55">
        <f>IFERROR((SUMIF(tbl_główna_GRACZE[I. Nazwisko],tbl_zawodnicy_średnie[[#This Row],[I. Nazwisko]],tbl_główna_GRACZE[to]))/tbl_zawodnicy_średnie[[#This Row],[Played]],0)</f>
        <v>0</v>
      </c>
      <c r="O35" s="55">
        <f>IFERROR((SUMIF(tbl_główna_GRACZE[I. Nazwisko],tbl_zawodnicy_średnie[[#This Row],[I. Nazwisko]],tbl_główna_GRACZE[blk]))/tbl_zawodnicy_średnie[[#This Row],[Played]],0)</f>
        <v>0</v>
      </c>
      <c r="P35" s="55">
        <f>IFERROR((SUMIF(tbl_główna_GRACZE[I. Nazwisko],tbl_zawodnicy_średnie[[#This Row],[I. Nazwisko]],tbl_główna_GRACZE[asst]))/tbl_zawodnicy_średnie[[#This Row],[Played]],0)</f>
        <v>3.75</v>
      </c>
      <c r="Q35" s="55">
        <f>IFERROR((SUMIF(tbl_główna_GRACZE[I. Nazwisko],tbl_zawodnicy_średnie[[#This Row],[I. Nazwisko]],tbl_główna_GRACZE[min]))/tbl_zawodnicy_średnie[[#This Row],[Played]],0)</f>
        <v>24.25</v>
      </c>
      <c r="R35" s="55">
        <f>IFERROR((SUMIF(tbl_główna_GRACZE[I. Nazwisko],tbl_zawodnicy_średnie[[#This Row],[I. Nazwisko]],tbl_główna_GRACZE[pts]))/tbl_zawodnicy_średnie[[#This Row],[Played]],0)</f>
        <v>7.25</v>
      </c>
      <c r="S35" s="6">
        <f t="shared" si="9"/>
        <v>4.25</v>
      </c>
      <c r="T35" s="4">
        <f t="shared" si="0"/>
        <v>0.30303030303030304</v>
      </c>
      <c r="U35" s="4">
        <f t="shared" si="1"/>
        <v>0.4</v>
      </c>
      <c r="V35" s="4">
        <f t="shared" si="2"/>
        <v>0.625</v>
      </c>
      <c r="W35" s="4">
        <f>IFERROR(tbl_zawodnicy_średnie[[#This Row],[2pm]]/tbl_zawodnicy_średnie[[#This Row],[2pa]],0)</f>
        <v>0.2608695652173913</v>
      </c>
      <c r="X35" s="4">
        <f t="shared" si="3"/>
        <v>0.39704271631982474</v>
      </c>
      <c r="Y35" s="4">
        <f t="shared" si="4"/>
        <v>0.36363636363636365</v>
      </c>
      <c r="Z35" s="6">
        <f t="shared" si="10"/>
        <v>11</v>
      </c>
      <c r="AA35" s="4">
        <f t="shared" si="5"/>
        <v>0.24242424242424243</v>
      </c>
      <c r="AB35" s="4">
        <f t="shared" si="6"/>
        <v>0.30303030303030304</v>
      </c>
      <c r="AC35" s="26">
        <f>IFERROR((SUMIF(tbl_główna_GRACZE[I. Nazwisko],tbl_zawodnicy_średnie[[#This Row],[I. Nazwisko]],tbl_główna_GRACZE[USG%]))/tbl_zawodnicy_średnie[[#This Row],[Played]],0)</f>
        <v>0.11046493509160776</v>
      </c>
      <c r="AD35" s="25">
        <f>IFERROR(tbl_zawodnicy_średnie[[#This Row],[pts]]*(40/tbl_zawodnicy_średnie[[#This Row],[min]]),0)</f>
        <v>11.958762886597938</v>
      </c>
      <c r="AE35" s="25">
        <f>IFERROR(tbl_zawodnicy_średnie[[#This Row],[reb total]]*(40/tbl_zawodnicy_średnie[[#This Row],[min]]),0)</f>
        <v>7.0103092783505154</v>
      </c>
      <c r="AF35" s="30">
        <f>IFERROR(tbl_zawodnicy_średnie[[#This Row],[asst]]*(40/tbl_zawodnicy_średnie[[#This Row],[min]]),0)</f>
        <v>6.1855670103092777</v>
      </c>
      <c r="AG35" s="5">
        <f t="shared" si="7"/>
        <v>0.87878787878787878</v>
      </c>
      <c r="AH35" s="5">
        <f>IFERROR((tbl_zawodnicy_średnie[[#This Row],[stl]]+tbl_zawodnicy_średnie[[#This Row],[blk]])*(40/tbl_zawodnicy_średnie[[#This Row],[min]]),0)</f>
        <v>3.7113402061855667</v>
      </c>
      <c r="AI35" s="4">
        <f>IFERROR((SUMIF(tbl_główna_GRACZE[I. Nazwisko],tbl_zawodnicy_średnie[[#This Row],[I. Nazwisko]],tbl_główna_GRACZE[DI]))/tbl_zawodnicy_średnie[[#This Row],[Played]],0)</f>
        <v>0.12278079710144926</v>
      </c>
      <c r="AJ35" s="25">
        <f>tbl_zawodnicy_średnie[[#This Row],[stl]]+tbl_zawodnicy_średnie[[#This Row],[blk]]+(tbl_zawodnicy_średnie[[#This Row],[dreb]]*0.5)</f>
        <v>3.75</v>
      </c>
      <c r="AK35" s="29">
        <f>IFERROR((tbl_zawodnicy_średnie[[#This Row],[stl]]+tbl_zawodnicy_średnie[[#This Row],[blk]]+0.5*tbl_zawodnicy_średnie[[#This Row],[dreb]])/tbl_zawodnicy_średnie[[#This Row],[min]],0)</f>
        <v>0.15463917525773196</v>
      </c>
      <c r="AL35" s="6">
        <f t="shared" si="8"/>
        <v>8.8250000000000011</v>
      </c>
      <c r="AM35" s="6">
        <f>IFERROR(tbl_zawodnicy_średnie[[#This Row],[GmSc]]*(40/tbl_zawodnicy_średnie[[#This Row],[min]]),0)</f>
        <v>14.556701030927837</v>
      </c>
      <c r="AN35" s="6">
        <f>IFERROR(tbl_zawodnicy_średnie[[#This Row],[EVAL]]*(40/tbl_zawodnicy_średnie[[#This Row],[min]]),0)</f>
        <v>18.144329896907216</v>
      </c>
      <c r="AO35" s="6">
        <f>tbl_zawodnicy_średnie[[#This Row],[fgm]]-tbl_zawodnicy_średnie[[#This Row],[3pm]]</f>
        <v>1.5</v>
      </c>
      <c r="AP35" s="6">
        <f>tbl_zawodnicy_średnie[[#This Row],[fga]]-tbl_zawodnicy_średnie[[#This Row],[3pa]]</f>
        <v>5.75</v>
      </c>
      <c r="AQ35">
        <v>25</v>
      </c>
      <c r="AR35" s="6" t="str">
        <f>tbl_zawodnicy_średnie[[#This Row],[I. Nazwisko]]&amp;" ["&amp;VLOOKUP(tbl_zawodnicy_średnie[[#This Row],[zespół]],tab_nazwy_zespołów[],2,0)&amp;"]"</f>
        <v>T. Prażmowski [ŁOD]</v>
      </c>
    </row>
    <row r="36" spans="1:44" ht="14.5" customHeight="1" x14ac:dyDescent="0.35">
      <c r="A36" t="s">
        <v>48</v>
      </c>
      <c r="B36" t="s">
        <v>184</v>
      </c>
      <c r="C36" s="9">
        <f>SUMIF(tbl_główna_GRACZE[I. Nazwisko],tbl_zawodnicy_średnie[[#This Row],[I. Nazwisko]],tbl_główna_GRACZE[Played?])</f>
        <v>4</v>
      </c>
      <c r="D36" s="55">
        <f>IFERROR((SUMIF(tbl_główna_GRACZE[I. Nazwisko],tbl_zawodnicy_średnie[[#This Row],[I. Nazwisko]],tbl_główna_GRACZE[fgm]))/tbl_zawodnicy_średnie[[#This Row],[Played]],0)</f>
        <v>3.25</v>
      </c>
      <c r="E36" s="55">
        <f>IFERROR((SUMIF(tbl_główna_GRACZE[I. Nazwisko],tbl_zawodnicy_średnie[[#This Row],[I. Nazwisko]],tbl_główna_GRACZE[fga]))/tbl_zawodnicy_średnie[[#This Row],[Played]],0)</f>
        <v>9.75</v>
      </c>
      <c r="F36" s="55">
        <f>IFERROR((SUMIF(tbl_główna_GRACZE[I. Nazwisko],tbl_zawodnicy_średnie[[#This Row],[I. Nazwisko]],tbl_główna_GRACZE[3pm]))/tbl_zawodnicy_średnie[[#This Row],[Played]],0)</f>
        <v>2</v>
      </c>
      <c r="G36" s="55">
        <f>IFERROR((SUMIF(tbl_główna_GRACZE[I. Nazwisko],tbl_zawodnicy_średnie[[#This Row],[I. Nazwisko]],tbl_główna_GRACZE[3pa]))/tbl_zawodnicy_średnie[[#This Row],[Played]],0)</f>
        <v>7.75</v>
      </c>
      <c r="H36" s="55">
        <f>IFERROR((SUMIF(tbl_główna_GRACZE[I. Nazwisko],tbl_zawodnicy_średnie[[#This Row],[I. Nazwisko]],tbl_główna_GRACZE[ftm]))/tbl_zawodnicy_średnie[[#This Row],[Played]],0)</f>
        <v>0</v>
      </c>
      <c r="I36" s="55">
        <f>IFERROR((SUMIF(tbl_główna_GRACZE[I. Nazwisko],tbl_zawodnicy_średnie[[#This Row],[I. Nazwisko]],tbl_główna_GRACZE[fta]))/tbl_zawodnicy_średnie[[#This Row],[Played]],0)</f>
        <v>0</v>
      </c>
      <c r="J36" s="55">
        <f>IFERROR((SUMIF(tbl_główna_GRACZE[I. Nazwisko],tbl_zawodnicy_średnie[[#This Row],[I. Nazwisko]],tbl_główna_GRACZE[oreb]))/tbl_zawodnicy_średnie[[#This Row],[Played]],0)</f>
        <v>0.5</v>
      </c>
      <c r="K36" s="55">
        <f>IFERROR((SUMIF(tbl_główna_GRACZE[I. Nazwisko],tbl_zawodnicy_średnie[[#This Row],[I. Nazwisko]],tbl_główna_GRACZE[dreb]))/tbl_zawodnicy_średnie[[#This Row],[Played]],0)</f>
        <v>5.75</v>
      </c>
      <c r="L36" s="55">
        <f>IFERROR((SUMIF(tbl_główna_GRACZE[I. Nazwisko],tbl_zawodnicy_średnie[[#This Row],[I. Nazwisko]],tbl_główna_GRACZE[foul]))/tbl_zawodnicy_średnie[[#This Row],[Played]],0)</f>
        <v>1.5</v>
      </c>
      <c r="M36" s="55">
        <f>IFERROR((SUMIF(tbl_główna_GRACZE[I. Nazwisko],tbl_zawodnicy_średnie[[#This Row],[I. Nazwisko]],tbl_główna_GRACZE[stl]))/tbl_zawodnicy_średnie[[#This Row],[Played]],0)</f>
        <v>2.75</v>
      </c>
      <c r="N36" s="55">
        <f>IFERROR((SUMIF(tbl_główna_GRACZE[I. Nazwisko],tbl_zawodnicy_średnie[[#This Row],[I. Nazwisko]],tbl_główna_GRACZE[to]))/tbl_zawodnicy_średnie[[#This Row],[Played]],0)</f>
        <v>0</v>
      </c>
      <c r="O36" s="55">
        <f>IFERROR((SUMIF(tbl_główna_GRACZE[I. Nazwisko],tbl_zawodnicy_średnie[[#This Row],[I. Nazwisko]],tbl_główna_GRACZE[blk]))/tbl_zawodnicy_średnie[[#This Row],[Played]],0)</f>
        <v>0.5</v>
      </c>
      <c r="P36" s="55">
        <f>IFERROR((SUMIF(tbl_główna_GRACZE[I. Nazwisko],tbl_zawodnicy_średnie[[#This Row],[I. Nazwisko]],tbl_główna_GRACZE[asst]))/tbl_zawodnicy_średnie[[#This Row],[Played]],0)</f>
        <v>1.75</v>
      </c>
      <c r="Q36" s="55">
        <f>IFERROR((SUMIF(tbl_główna_GRACZE[I. Nazwisko],tbl_zawodnicy_średnie[[#This Row],[I. Nazwisko]],tbl_główna_GRACZE[min]))/tbl_zawodnicy_średnie[[#This Row],[Played]],0)</f>
        <v>33</v>
      </c>
      <c r="R36" s="55">
        <f>IFERROR((SUMIF(tbl_główna_GRACZE[I. Nazwisko],tbl_zawodnicy_średnie[[#This Row],[I. Nazwisko]],tbl_główna_GRACZE[pts]))/tbl_zawodnicy_średnie[[#This Row],[Played]],0)</f>
        <v>8.5</v>
      </c>
      <c r="S36" s="6">
        <f t="shared" si="9"/>
        <v>6.25</v>
      </c>
      <c r="T36" s="4">
        <f t="shared" si="0"/>
        <v>0.33333333333333331</v>
      </c>
      <c r="U36" s="4">
        <f t="shared" si="1"/>
        <v>0.25806451612903225</v>
      </c>
      <c r="V36" s="4">
        <f t="shared" si="2"/>
        <v>0</v>
      </c>
      <c r="W36" s="4">
        <f>IFERROR(tbl_zawodnicy_średnie[[#This Row],[2pm]]/tbl_zawodnicy_średnie[[#This Row],[2pa]],0)</f>
        <v>0.625</v>
      </c>
      <c r="X36" s="4">
        <f t="shared" si="3"/>
        <v>0.4358974358974359</v>
      </c>
      <c r="Y36" s="4">
        <f t="shared" si="4"/>
        <v>0.4358974358974359</v>
      </c>
      <c r="Z36" s="6">
        <f t="shared" si="10"/>
        <v>13.25</v>
      </c>
      <c r="AA36" s="4">
        <f t="shared" si="5"/>
        <v>0</v>
      </c>
      <c r="AB36" s="4">
        <f t="shared" si="6"/>
        <v>0.79487179487179482</v>
      </c>
      <c r="AC36" s="26">
        <f>IFERROR((SUMIF(tbl_główna_GRACZE[I. Nazwisko],tbl_zawodnicy_średnie[[#This Row],[I. Nazwisko]],tbl_główna_GRACZE[USG%]))/tbl_zawodnicy_średnie[[#This Row],[Played]],0)</f>
        <v>0.11243650873112854</v>
      </c>
      <c r="AD36" s="25">
        <f>IFERROR(tbl_zawodnicy_średnie[[#This Row],[pts]]*(40/tbl_zawodnicy_średnie[[#This Row],[min]]),0)</f>
        <v>10.303030303030303</v>
      </c>
      <c r="AE36" s="25">
        <f>IFERROR(tbl_zawodnicy_średnie[[#This Row],[reb total]]*(40/tbl_zawodnicy_średnie[[#This Row],[min]]),0)</f>
        <v>7.5757575757575761</v>
      </c>
      <c r="AF36" s="30">
        <f>IFERROR(tbl_zawodnicy_średnie[[#This Row],[asst]]*(40/tbl_zawodnicy_średnie[[#This Row],[min]]),0)</f>
        <v>2.1212121212121211</v>
      </c>
      <c r="AG36" s="5">
        <f t="shared" si="7"/>
        <v>0.87179487179487181</v>
      </c>
      <c r="AH36" s="5">
        <f>IFERROR((tbl_zawodnicy_średnie[[#This Row],[stl]]+tbl_zawodnicy_średnie[[#This Row],[blk]])*(40/tbl_zawodnicy_średnie[[#This Row],[min]]),0)</f>
        <v>3.9393939393939394</v>
      </c>
      <c r="AI36" s="4">
        <f>IFERROR((SUMIF(tbl_główna_GRACZE[I. Nazwisko],tbl_zawodnicy_średnie[[#This Row],[I. Nazwisko]],tbl_główna_GRACZE[DI]))/tbl_zawodnicy_średnie[[#This Row],[Played]],0)</f>
        <v>0.16639492753623186</v>
      </c>
      <c r="AJ36" s="25">
        <f>tbl_zawodnicy_średnie[[#This Row],[stl]]+tbl_zawodnicy_średnie[[#This Row],[blk]]+(tbl_zawodnicy_średnie[[#This Row],[dreb]]*0.5)</f>
        <v>6.125</v>
      </c>
      <c r="AK36" s="29">
        <f>IFERROR((tbl_zawodnicy_średnie[[#This Row],[stl]]+tbl_zawodnicy_średnie[[#This Row],[blk]]+0.5*tbl_zawodnicy_średnie[[#This Row],[dreb]])/tbl_zawodnicy_średnie[[#This Row],[min]],0)</f>
        <v>0.18560606060606061</v>
      </c>
      <c r="AL36" s="6">
        <f t="shared" si="8"/>
        <v>9.3750000000000018</v>
      </c>
      <c r="AM36" s="6">
        <f>IFERROR(tbl_zawodnicy_średnie[[#This Row],[GmSc]]*(40/tbl_zawodnicy_średnie[[#This Row],[min]]),0)</f>
        <v>11.363636363636367</v>
      </c>
      <c r="AN36" s="6">
        <f>IFERROR(tbl_zawodnicy_średnie[[#This Row],[EVAL]]*(40/tbl_zawodnicy_średnie[[#This Row],[min]]),0)</f>
        <v>16.060606060606062</v>
      </c>
      <c r="AO36" s="6">
        <f>tbl_zawodnicy_średnie[[#This Row],[fgm]]-tbl_zawodnicy_średnie[[#This Row],[3pm]]</f>
        <v>1.25</v>
      </c>
      <c r="AP36" s="6">
        <f>tbl_zawodnicy_średnie[[#This Row],[fga]]-tbl_zawodnicy_średnie[[#This Row],[3pa]]</f>
        <v>2</v>
      </c>
      <c r="AQ36">
        <v>26</v>
      </c>
      <c r="AR36" s="6" t="str">
        <f>tbl_zawodnicy_średnie[[#This Row],[I. Nazwisko]]&amp;" ["&amp;VLOOKUP(tbl_zawodnicy_średnie[[#This Row],[zespół]],tab_nazwy_zespołów[],2,0)&amp;"]"</f>
        <v>M. Leśniak [ŁOD]</v>
      </c>
    </row>
    <row r="37" spans="1:44" ht="14.5" customHeight="1" x14ac:dyDescent="0.35">
      <c r="A37" t="s">
        <v>48</v>
      </c>
      <c r="B37" t="s">
        <v>185</v>
      </c>
      <c r="C37" s="9">
        <f>SUMIF(tbl_główna_GRACZE[I. Nazwisko],tbl_zawodnicy_średnie[[#This Row],[I. Nazwisko]],tbl_główna_GRACZE[Played?])</f>
        <v>2</v>
      </c>
      <c r="D37" s="55">
        <f>IFERROR((SUMIF(tbl_główna_GRACZE[I. Nazwisko],tbl_zawodnicy_średnie[[#This Row],[I. Nazwisko]],tbl_główna_GRACZE[fgm]))/tbl_zawodnicy_średnie[[#This Row],[Played]],0)</f>
        <v>2</v>
      </c>
      <c r="E37" s="55">
        <f>IFERROR((SUMIF(tbl_główna_GRACZE[I. Nazwisko],tbl_zawodnicy_średnie[[#This Row],[I. Nazwisko]],tbl_główna_GRACZE[fga]))/tbl_zawodnicy_średnie[[#This Row],[Played]],0)</f>
        <v>6.5</v>
      </c>
      <c r="F37" s="55">
        <f>IFERROR((SUMIF(tbl_główna_GRACZE[I. Nazwisko],tbl_zawodnicy_średnie[[#This Row],[I. Nazwisko]],tbl_główna_GRACZE[3pm]))/tbl_zawodnicy_średnie[[#This Row],[Played]],0)</f>
        <v>1.5</v>
      </c>
      <c r="G37" s="55">
        <f>IFERROR((SUMIF(tbl_główna_GRACZE[I. Nazwisko],tbl_zawodnicy_średnie[[#This Row],[I. Nazwisko]],tbl_główna_GRACZE[3pa]))/tbl_zawodnicy_średnie[[#This Row],[Played]],0)</f>
        <v>4</v>
      </c>
      <c r="H37" s="55">
        <f>IFERROR((SUMIF(tbl_główna_GRACZE[I. Nazwisko],tbl_zawodnicy_średnie[[#This Row],[I. Nazwisko]],tbl_główna_GRACZE[ftm]))/tbl_zawodnicy_średnie[[#This Row],[Played]],0)</f>
        <v>1</v>
      </c>
      <c r="I37" s="55">
        <f>IFERROR((SUMIF(tbl_główna_GRACZE[I. Nazwisko],tbl_zawodnicy_średnie[[#This Row],[I. Nazwisko]],tbl_główna_GRACZE[fta]))/tbl_zawodnicy_średnie[[#This Row],[Played]],0)</f>
        <v>2</v>
      </c>
      <c r="J37" s="55">
        <f>IFERROR((SUMIF(tbl_główna_GRACZE[I. Nazwisko],tbl_zawodnicy_średnie[[#This Row],[I. Nazwisko]],tbl_główna_GRACZE[oreb]))/tbl_zawodnicy_średnie[[#This Row],[Played]],0)</f>
        <v>0</v>
      </c>
      <c r="K37" s="55">
        <f>IFERROR((SUMIF(tbl_główna_GRACZE[I. Nazwisko],tbl_zawodnicy_średnie[[#This Row],[I. Nazwisko]],tbl_główna_GRACZE[dreb]))/tbl_zawodnicy_średnie[[#This Row],[Played]],0)</f>
        <v>4.5</v>
      </c>
      <c r="L37" s="55">
        <f>IFERROR((SUMIF(tbl_główna_GRACZE[I. Nazwisko],tbl_zawodnicy_średnie[[#This Row],[I. Nazwisko]],tbl_główna_GRACZE[foul]))/tbl_zawodnicy_średnie[[#This Row],[Played]],0)</f>
        <v>0.5</v>
      </c>
      <c r="M37" s="55">
        <f>IFERROR((SUMIF(tbl_główna_GRACZE[I. Nazwisko],tbl_zawodnicy_średnie[[#This Row],[I. Nazwisko]],tbl_główna_GRACZE[stl]))/tbl_zawodnicy_średnie[[#This Row],[Played]],0)</f>
        <v>3</v>
      </c>
      <c r="N37" s="55">
        <f>IFERROR((SUMIF(tbl_główna_GRACZE[I. Nazwisko],tbl_zawodnicy_średnie[[#This Row],[I. Nazwisko]],tbl_główna_GRACZE[to]))/tbl_zawodnicy_średnie[[#This Row],[Played]],0)</f>
        <v>0</v>
      </c>
      <c r="O37" s="55">
        <f>IFERROR((SUMIF(tbl_główna_GRACZE[I. Nazwisko],tbl_zawodnicy_średnie[[#This Row],[I. Nazwisko]],tbl_główna_GRACZE[blk]))/tbl_zawodnicy_średnie[[#This Row],[Played]],0)</f>
        <v>0.5</v>
      </c>
      <c r="P37" s="55">
        <f>IFERROR((SUMIF(tbl_główna_GRACZE[I. Nazwisko],tbl_zawodnicy_średnie[[#This Row],[I. Nazwisko]],tbl_główna_GRACZE[asst]))/tbl_zawodnicy_średnie[[#This Row],[Played]],0)</f>
        <v>2</v>
      </c>
      <c r="Q37" s="55">
        <f>IFERROR((SUMIF(tbl_główna_GRACZE[I. Nazwisko],tbl_zawodnicy_średnie[[#This Row],[I. Nazwisko]],tbl_główna_GRACZE[min]))/tbl_zawodnicy_średnie[[#This Row],[Played]],0)</f>
        <v>21</v>
      </c>
      <c r="R37" s="55">
        <f>IFERROR((SUMIF(tbl_główna_GRACZE[I. Nazwisko],tbl_zawodnicy_średnie[[#This Row],[I. Nazwisko]],tbl_główna_GRACZE[pts]))/tbl_zawodnicy_średnie[[#This Row],[Played]],0)</f>
        <v>6.5</v>
      </c>
      <c r="S37" s="6">
        <f t="shared" si="9"/>
        <v>4.5</v>
      </c>
      <c r="T37" s="4">
        <f t="shared" si="0"/>
        <v>0.30769230769230771</v>
      </c>
      <c r="U37" s="4">
        <f t="shared" si="1"/>
        <v>0.375</v>
      </c>
      <c r="V37" s="4">
        <f t="shared" si="2"/>
        <v>0.5</v>
      </c>
      <c r="W37" s="4">
        <f>IFERROR(tbl_zawodnicy_średnie[[#This Row],[2pm]]/tbl_zawodnicy_średnie[[#This Row],[2pa]],0)</f>
        <v>0.2</v>
      </c>
      <c r="X37" s="4">
        <f t="shared" si="3"/>
        <v>0.44037940379403795</v>
      </c>
      <c r="Y37" s="4">
        <f t="shared" si="4"/>
        <v>0.42307692307692307</v>
      </c>
      <c r="Z37" s="6">
        <f t="shared" si="10"/>
        <v>11</v>
      </c>
      <c r="AA37" s="4">
        <f t="shared" si="5"/>
        <v>0.30769230769230771</v>
      </c>
      <c r="AB37" s="4">
        <f t="shared" si="6"/>
        <v>0.61538461538461542</v>
      </c>
      <c r="AC37" s="26">
        <f>IFERROR((SUMIF(tbl_główna_GRACZE[I. Nazwisko],tbl_zawodnicy_średnie[[#This Row],[I. Nazwisko]],tbl_główna_GRACZE[USG%]))/tbl_zawodnicy_średnie[[#This Row],[Played]],0)</f>
        <v>8.8436692506459955E-2</v>
      </c>
      <c r="AD37" s="25">
        <f>IFERROR(tbl_zawodnicy_średnie[[#This Row],[pts]]*(40/tbl_zawodnicy_średnie[[#This Row],[min]]),0)</f>
        <v>12.38095238095238</v>
      </c>
      <c r="AE37" s="25">
        <f>IFERROR(tbl_zawodnicy_średnie[[#This Row],[reb total]]*(40/tbl_zawodnicy_średnie[[#This Row],[min]]),0)</f>
        <v>8.5714285714285712</v>
      </c>
      <c r="AF37" s="30">
        <f>IFERROR(tbl_zawodnicy_średnie[[#This Row],[asst]]*(40/tbl_zawodnicy_średnie[[#This Row],[min]]),0)</f>
        <v>3.8095238095238093</v>
      </c>
      <c r="AG37" s="5">
        <f t="shared" si="7"/>
        <v>1</v>
      </c>
      <c r="AH37" s="5">
        <f>IFERROR((tbl_zawodnicy_średnie[[#This Row],[stl]]+tbl_zawodnicy_średnie[[#This Row],[blk]])*(40/tbl_zawodnicy_średnie[[#This Row],[min]]),0)</f>
        <v>6.6666666666666661</v>
      </c>
      <c r="AI37" s="4">
        <f>IFERROR((SUMIF(tbl_główna_GRACZE[I. Nazwisko],tbl_zawodnicy_średnie[[#This Row],[I. Nazwisko]],tbl_główna_GRACZE[DI]))/tbl_zawodnicy_średnie[[#This Row],[Played]],0)</f>
        <v>0.21527777777777779</v>
      </c>
      <c r="AJ37" s="25">
        <f>tbl_zawodnicy_średnie[[#This Row],[stl]]+tbl_zawodnicy_średnie[[#This Row],[blk]]+(tbl_zawodnicy_średnie[[#This Row],[dreb]]*0.5)</f>
        <v>5.75</v>
      </c>
      <c r="AK37" s="29">
        <f>IFERROR((tbl_zawodnicy_średnie[[#This Row],[stl]]+tbl_zawodnicy_średnie[[#This Row],[blk]]+0.5*tbl_zawodnicy_średnie[[#This Row],[dreb]])/tbl_zawodnicy_średnie[[#This Row],[min]],0)</f>
        <v>0.27380952380952384</v>
      </c>
      <c r="AL37" s="6">
        <f t="shared" si="8"/>
        <v>8.4499999999999993</v>
      </c>
      <c r="AM37" s="6">
        <f>IFERROR(tbl_zawodnicy_średnie[[#This Row],[GmSc]]*(40/tbl_zawodnicy_średnie[[#This Row],[min]]),0)</f>
        <v>16.095238095238091</v>
      </c>
      <c r="AN37" s="6">
        <f>IFERROR(tbl_zawodnicy_średnie[[#This Row],[EVAL]]*(40/tbl_zawodnicy_średnie[[#This Row],[min]]),0)</f>
        <v>20.952380952380953</v>
      </c>
      <c r="AO37" s="6">
        <f>tbl_zawodnicy_średnie[[#This Row],[fgm]]-tbl_zawodnicy_średnie[[#This Row],[3pm]]</f>
        <v>0.5</v>
      </c>
      <c r="AP37" s="6">
        <f>tbl_zawodnicy_średnie[[#This Row],[fga]]-tbl_zawodnicy_średnie[[#This Row],[3pa]]</f>
        <v>2.5</v>
      </c>
      <c r="AQ37">
        <v>27</v>
      </c>
      <c r="AR37" s="6" t="str">
        <f>tbl_zawodnicy_średnie[[#This Row],[I. Nazwisko]]&amp;" ["&amp;VLOOKUP(tbl_zawodnicy_średnie[[#This Row],[zespół]],tab_nazwy_zespołów[],2,0)&amp;"]"</f>
        <v>K. Bereda [ŁOD]</v>
      </c>
    </row>
    <row r="38" spans="1:44" ht="14.5" customHeight="1" x14ac:dyDescent="0.35">
      <c r="A38" t="s">
        <v>48</v>
      </c>
      <c r="B38" t="s">
        <v>186</v>
      </c>
      <c r="C38" s="9">
        <f>SUMIF(tbl_główna_GRACZE[I. Nazwisko],tbl_zawodnicy_średnie[[#This Row],[I. Nazwisko]],tbl_główna_GRACZE[Played?])</f>
        <v>4</v>
      </c>
      <c r="D38" s="55">
        <f>IFERROR((SUMIF(tbl_główna_GRACZE[I. Nazwisko],tbl_zawodnicy_średnie[[#This Row],[I. Nazwisko]],tbl_główna_GRACZE[fgm]))/tbl_zawodnicy_średnie[[#This Row],[Played]],0)</f>
        <v>2.75</v>
      </c>
      <c r="E38" s="55">
        <f>IFERROR((SUMIF(tbl_główna_GRACZE[I. Nazwisko],tbl_zawodnicy_średnie[[#This Row],[I. Nazwisko]],tbl_główna_GRACZE[fga]))/tbl_zawodnicy_średnie[[#This Row],[Played]],0)</f>
        <v>11.5</v>
      </c>
      <c r="F38" s="55">
        <f>IFERROR((SUMIF(tbl_główna_GRACZE[I. Nazwisko],tbl_zawodnicy_średnie[[#This Row],[I. Nazwisko]],tbl_główna_GRACZE[3pm]))/tbl_zawodnicy_średnie[[#This Row],[Played]],0)</f>
        <v>1</v>
      </c>
      <c r="G38" s="55">
        <f>IFERROR((SUMIF(tbl_główna_GRACZE[I. Nazwisko],tbl_zawodnicy_średnie[[#This Row],[I. Nazwisko]],tbl_główna_GRACZE[3pa]))/tbl_zawodnicy_średnie[[#This Row],[Played]],0)</f>
        <v>3</v>
      </c>
      <c r="H38" s="55">
        <f>IFERROR((SUMIF(tbl_główna_GRACZE[I. Nazwisko],tbl_zawodnicy_średnie[[#This Row],[I. Nazwisko]],tbl_główna_GRACZE[ftm]))/tbl_zawodnicy_średnie[[#This Row],[Played]],0)</f>
        <v>0.25</v>
      </c>
      <c r="I38" s="55">
        <f>IFERROR((SUMIF(tbl_główna_GRACZE[I. Nazwisko],tbl_zawodnicy_średnie[[#This Row],[I. Nazwisko]],tbl_główna_GRACZE[fta]))/tbl_zawodnicy_średnie[[#This Row],[Played]],0)</f>
        <v>2</v>
      </c>
      <c r="J38" s="55">
        <f>IFERROR((SUMIF(tbl_główna_GRACZE[I. Nazwisko],tbl_zawodnicy_średnie[[#This Row],[I. Nazwisko]],tbl_główna_GRACZE[oreb]))/tbl_zawodnicy_średnie[[#This Row],[Played]],0)</f>
        <v>2</v>
      </c>
      <c r="K38" s="55">
        <f>IFERROR((SUMIF(tbl_główna_GRACZE[I. Nazwisko],tbl_zawodnicy_średnie[[#This Row],[I. Nazwisko]],tbl_główna_GRACZE[dreb]))/tbl_zawodnicy_średnie[[#This Row],[Played]],0)</f>
        <v>3.25</v>
      </c>
      <c r="L38" s="55">
        <f>IFERROR((SUMIF(tbl_główna_GRACZE[I. Nazwisko],tbl_zawodnicy_średnie[[#This Row],[I. Nazwisko]],tbl_główna_GRACZE[foul]))/tbl_zawodnicy_średnie[[#This Row],[Played]],0)</f>
        <v>0.5</v>
      </c>
      <c r="M38" s="55">
        <f>IFERROR((SUMIF(tbl_główna_GRACZE[I. Nazwisko],tbl_zawodnicy_średnie[[#This Row],[I. Nazwisko]],tbl_główna_GRACZE[stl]))/tbl_zawodnicy_średnie[[#This Row],[Played]],0)</f>
        <v>2.25</v>
      </c>
      <c r="N38" s="55">
        <f>IFERROR((SUMIF(tbl_główna_GRACZE[I. Nazwisko],tbl_zawodnicy_średnie[[#This Row],[I. Nazwisko]],tbl_główna_GRACZE[to]))/tbl_zawodnicy_średnie[[#This Row],[Played]],0)</f>
        <v>0</v>
      </c>
      <c r="O38" s="55">
        <f>IFERROR((SUMIF(tbl_główna_GRACZE[I. Nazwisko],tbl_zawodnicy_średnie[[#This Row],[I. Nazwisko]],tbl_główna_GRACZE[blk]))/tbl_zawodnicy_średnie[[#This Row],[Played]],0)</f>
        <v>0</v>
      </c>
      <c r="P38" s="55">
        <f>IFERROR((SUMIF(tbl_główna_GRACZE[I. Nazwisko],tbl_zawodnicy_średnie[[#This Row],[I. Nazwisko]],tbl_główna_GRACZE[asst]))/tbl_zawodnicy_średnie[[#This Row],[Played]],0)</f>
        <v>3.25</v>
      </c>
      <c r="Q38" s="55">
        <f>IFERROR((SUMIF(tbl_główna_GRACZE[I. Nazwisko],tbl_zawodnicy_średnie[[#This Row],[I. Nazwisko]],tbl_główna_GRACZE[min]))/tbl_zawodnicy_średnie[[#This Row],[Played]],0)</f>
        <v>26</v>
      </c>
      <c r="R38" s="55">
        <f>IFERROR((SUMIF(tbl_główna_GRACZE[I. Nazwisko],tbl_zawodnicy_średnie[[#This Row],[I. Nazwisko]],tbl_główna_GRACZE[pts]))/tbl_zawodnicy_średnie[[#This Row],[Played]],0)</f>
        <v>6.75</v>
      </c>
      <c r="S38" s="6">
        <f t="shared" si="9"/>
        <v>5.25</v>
      </c>
      <c r="T38" s="4">
        <f t="shared" si="0"/>
        <v>0.2391304347826087</v>
      </c>
      <c r="U38" s="4">
        <f t="shared" si="1"/>
        <v>0.33333333333333331</v>
      </c>
      <c r="V38" s="4">
        <f t="shared" si="2"/>
        <v>0.125</v>
      </c>
      <c r="W38" s="4">
        <f>IFERROR(tbl_zawodnicy_średnie[[#This Row],[2pm]]/tbl_zawodnicy_średnie[[#This Row],[2pa]],0)</f>
        <v>0.20588235294117646</v>
      </c>
      <c r="X38" s="4">
        <f t="shared" si="3"/>
        <v>0.27261712439418417</v>
      </c>
      <c r="Y38" s="4">
        <f t="shared" si="4"/>
        <v>0.28260869565217389</v>
      </c>
      <c r="Z38" s="6">
        <f t="shared" si="10"/>
        <v>7</v>
      </c>
      <c r="AA38" s="4">
        <f t="shared" si="5"/>
        <v>0.17391304347826086</v>
      </c>
      <c r="AB38" s="4">
        <f t="shared" si="6"/>
        <v>0.2608695652173913</v>
      </c>
      <c r="AC38" s="26">
        <f>IFERROR((SUMIF(tbl_główna_GRACZE[I. Nazwisko],tbl_zawodnicy_średnie[[#This Row],[I. Nazwisko]],tbl_główna_GRACZE[USG%]))/tbl_zawodnicy_średnie[[#This Row],[Played]],0)</f>
        <v>0.14423797878084924</v>
      </c>
      <c r="AD38" s="25">
        <f>IFERROR(tbl_zawodnicy_średnie[[#This Row],[pts]]*(40/tbl_zawodnicy_średnie[[#This Row],[min]]),0)</f>
        <v>10.384615384615385</v>
      </c>
      <c r="AE38" s="25">
        <f>IFERROR(tbl_zawodnicy_średnie[[#This Row],[reb total]]*(40/tbl_zawodnicy_średnie[[#This Row],[min]]),0)</f>
        <v>8.0769230769230766</v>
      </c>
      <c r="AF38" s="30">
        <f>IFERROR(tbl_zawodnicy_średnie[[#This Row],[asst]]*(40/tbl_zawodnicy_średnie[[#This Row],[min]]),0)</f>
        <v>5</v>
      </c>
      <c r="AG38" s="5">
        <f t="shared" si="7"/>
        <v>0.58695652173913049</v>
      </c>
      <c r="AH38" s="5">
        <f>IFERROR((tbl_zawodnicy_średnie[[#This Row],[stl]]+tbl_zawodnicy_średnie[[#This Row],[blk]])*(40/tbl_zawodnicy_średnie[[#This Row],[min]]),0)</f>
        <v>3.4615384615384617</v>
      </c>
      <c r="AI38" s="4">
        <f>IFERROR((SUMIF(tbl_główna_GRACZE[I. Nazwisko],tbl_zawodnicy_średnie[[#This Row],[I. Nazwisko]],tbl_główna_GRACZE[DI]))/tbl_zawodnicy_średnie[[#This Row],[Played]],0)</f>
        <v>0.10910326086956522</v>
      </c>
      <c r="AJ38" s="25">
        <f>tbl_zawodnicy_średnie[[#This Row],[stl]]+tbl_zawodnicy_średnie[[#This Row],[blk]]+(tbl_zawodnicy_średnie[[#This Row],[dreb]]*0.5)</f>
        <v>3.875</v>
      </c>
      <c r="AK38" s="29">
        <f>IFERROR((tbl_zawodnicy_średnie[[#This Row],[stl]]+tbl_zawodnicy_średnie[[#This Row],[blk]]+0.5*tbl_zawodnicy_średnie[[#This Row],[dreb]])/tbl_zawodnicy_średnie[[#This Row],[min]],0)</f>
        <v>0.14903846153846154</v>
      </c>
      <c r="AL38" s="6">
        <f t="shared" si="8"/>
        <v>6</v>
      </c>
      <c r="AM38" s="6">
        <f>IFERROR(tbl_zawodnicy_średnie[[#This Row],[GmSc]]*(40/tbl_zawodnicy_średnie[[#This Row],[min]]),0)</f>
        <v>9.2307692307692317</v>
      </c>
      <c r="AN38" s="6">
        <f>IFERROR(tbl_zawodnicy_średnie[[#This Row],[EVAL]]*(40/tbl_zawodnicy_średnie[[#This Row],[min]]),0)</f>
        <v>10.76923076923077</v>
      </c>
      <c r="AO38" s="6">
        <f>tbl_zawodnicy_średnie[[#This Row],[fgm]]-tbl_zawodnicy_średnie[[#This Row],[3pm]]</f>
        <v>1.75</v>
      </c>
      <c r="AP38" s="6">
        <f>tbl_zawodnicy_średnie[[#This Row],[fga]]-tbl_zawodnicy_średnie[[#This Row],[3pa]]</f>
        <v>8.5</v>
      </c>
      <c r="AQ38">
        <v>28</v>
      </c>
      <c r="AR38" s="6" t="str">
        <f>tbl_zawodnicy_średnie[[#This Row],[I. Nazwisko]]&amp;" ["&amp;VLOOKUP(tbl_zawodnicy_średnie[[#This Row],[zespół]],tab_nazwy_zespołów[],2,0)&amp;"]"</f>
        <v>M. Łukasiuk [ŁOD]</v>
      </c>
    </row>
    <row r="39" spans="1:44" ht="14.5" customHeight="1" x14ac:dyDescent="0.35">
      <c r="A39" t="s">
        <v>48</v>
      </c>
      <c r="B39" t="s">
        <v>187</v>
      </c>
      <c r="C39" s="9">
        <f>SUMIF(tbl_główna_GRACZE[I. Nazwisko],tbl_zawodnicy_średnie[[#This Row],[I. Nazwisko]],tbl_główna_GRACZE[Played?])</f>
        <v>3</v>
      </c>
      <c r="D39" s="55">
        <f>IFERROR((SUMIF(tbl_główna_GRACZE[I. Nazwisko],tbl_zawodnicy_średnie[[#This Row],[I. Nazwisko]],tbl_główna_GRACZE[fgm]))/tbl_zawodnicy_średnie[[#This Row],[Played]],0)</f>
        <v>3.3333333333333335</v>
      </c>
      <c r="E39" s="55">
        <f>IFERROR((SUMIF(tbl_główna_GRACZE[I. Nazwisko],tbl_zawodnicy_średnie[[#This Row],[I. Nazwisko]],tbl_główna_GRACZE[fga]))/tbl_zawodnicy_średnie[[#This Row],[Played]],0)</f>
        <v>9.3333333333333339</v>
      </c>
      <c r="F39" s="55">
        <f>IFERROR((SUMIF(tbl_główna_GRACZE[I. Nazwisko],tbl_zawodnicy_średnie[[#This Row],[I. Nazwisko]],tbl_główna_GRACZE[3pm]))/tbl_zawodnicy_średnie[[#This Row],[Played]],0)</f>
        <v>0.33333333333333331</v>
      </c>
      <c r="G39" s="55">
        <f>IFERROR((SUMIF(tbl_główna_GRACZE[I. Nazwisko],tbl_zawodnicy_średnie[[#This Row],[I. Nazwisko]],tbl_główna_GRACZE[3pa]))/tbl_zawodnicy_średnie[[#This Row],[Played]],0)</f>
        <v>0.33333333333333331</v>
      </c>
      <c r="H39" s="55">
        <f>IFERROR((SUMIF(tbl_główna_GRACZE[I. Nazwisko],tbl_zawodnicy_średnie[[#This Row],[I. Nazwisko]],tbl_główna_GRACZE[ftm]))/tbl_zawodnicy_średnie[[#This Row],[Played]],0)</f>
        <v>1.3333333333333333</v>
      </c>
      <c r="I39" s="55">
        <f>IFERROR((SUMIF(tbl_główna_GRACZE[I. Nazwisko],tbl_zawodnicy_średnie[[#This Row],[I. Nazwisko]],tbl_główna_GRACZE[fta]))/tbl_zawodnicy_średnie[[#This Row],[Played]],0)</f>
        <v>3.6666666666666665</v>
      </c>
      <c r="J39" s="55">
        <f>IFERROR((SUMIF(tbl_główna_GRACZE[I. Nazwisko],tbl_zawodnicy_średnie[[#This Row],[I. Nazwisko]],tbl_główna_GRACZE[oreb]))/tbl_zawodnicy_średnie[[#This Row],[Played]],0)</f>
        <v>3.6666666666666665</v>
      </c>
      <c r="K39" s="55">
        <f>IFERROR((SUMIF(tbl_główna_GRACZE[I. Nazwisko],tbl_zawodnicy_średnie[[#This Row],[I. Nazwisko]],tbl_główna_GRACZE[dreb]))/tbl_zawodnicy_średnie[[#This Row],[Played]],0)</f>
        <v>4.666666666666667</v>
      </c>
      <c r="L39" s="55">
        <f>IFERROR((SUMIF(tbl_główna_GRACZE[I. Nazwisko],tbl_zawodnicy_średnie[[#This Row],[I. Nazwisko]],tbl_główna_GRACZE[foul]))/tbl_zawodnicy_średnie[[#This Row],[Played]],0)</f>
        <v>1.3333333333333333</v>
      </c>
      <c r="M39" s="55">
        <f>IFERROR((SUMIF(tbl_główna_GRACZE[I. Nazwisko],tbl_zawodnicy_średnie[[#This Row],[I. Nazwisko]],tbl_główna_GRACZE[stl]))/tbl_zawodnicy_średnie[[#This Row],[Played]],0)</f>
        <v>1.3333333333333333</v>
      </c>
      <c r="N39" s="55">
        <f>IFERROR((SUMIF(tbl_główna_GRACZE[I. Nazwisko],tbl_zawodnicy_średnie[[#This Row],[I. Nazwisko]],tbl_główna_GRACZE[to]))/tbl_zawodnicy_średnie[[#This Row],[Played]],0)</f>
        <v>0</v>
      </c>
      <c r="O39" s="55">
        <f>IFERROR((SUMIF(tbl_główna_GRACZE[I. Nazwisko],tbl_zawodnicy_średnie[[#This Row],[I. Nazwisko]],tbl_główna_GRACZE[blk]))/tbl_zawodnicy_średnie[[#This Row],[Played]],0)</f>
        <v>0.33333333333333331</v>
      </c>
      <c r="P39" s="55">
        <f>IFERROR((SUMIF(tbl_główna_GRACZE[I. Nazwisko],tbl_zawodnicy_średnie[[#This Row],[I. Nazwisko]],tbl_główna_GRACZE[asst]))/tbl_zawodnicy_średnie[[#This Row],[Played]],0)</f>
        <v>1.6666666666666667</v>
      </c>
      <c r="Q39" s="55">
        <f>IFERROR((SUMIF(tbl_główna_GRACZE[I. Nazwisko],tbl_zawodnicy_średnie[[#This Row],[I. Nazwisko]],tbl_główna_GRACZE[min]))/tbl_zawodnicy_średnie[[#This Row],[Played]],0)</f>
        <v>25</v>
      </c>
      <c r="R39" s="55">
        <f>IFERROR((SUMIF(tbl_główna_GRACZE[I. Nazwisko],tbl_zawodnicy_średnie[[#This Row],[I. Nazwisko]],tbl_główna_GRACZE[pts]))/tbl_zawodnicy_średnie[[#This Row],[Played]],0)</f>
        <v>8.3333333333333339</v>
      </c>
      <c r="S39" s="6">
        <f t="shared" si="9"/>
        <v>8.3333333333333339</v>
      </c>
      <c r="T39" s="4">
        <f t="shared" si="0"/>
        <v>0.35714285714285715</v>
      </c>
      <c r="U39" s="4">
        <f t="shared" si="1"/>
        <v>1</v>
      </c>
      <c r="V39" s="4">
        <f t="shared" si="2"/>
        <v>0.36363636363636365</v>
      </c>
      <c r="W39" s="4">
        <f>IFERROR(tbl_zawodnicy_średnie[[#This Row],[2pm]]/tbl_zawodnicy_średnie[[#This Row],[2pa]],0)</f>
        <v>0.33333333333333331</v>
      </c>
      <c r="X39" s="4">
        <f t="shared" si="3"/>
        <v>0.38063337393422658</v>
      </c>
      <c r="Y39" s="4">
        <f t="shared" si="4"/>
        <v>0.375</v>
      </c>
      <c r="Z39" s="6">
        <f t="shared" si="10"/>
        <v>11.666666666666668</v>
      </c>
      <c r="AA39" s="4">
        <f t="shared" si="5"/>
        <v>0.39285714285714279</v>
      </c>
      <c r="AB39" s="4">
        <f t="shared" si="6"/>
        <v>3.5714285714285712E-2</v>
      </c>
      <c r="AC39" s="26">
        <f>IFERROR((SUMIF(tbl_główna_GRACZE[I. Nazwisko],tbl_zawodnicy_średnie[[#This Row],[I. Nazwisko]],tbl_główna_GRACZE[USG%]))/tbl_zawodnicy_średnie[[#This Row],[Played]],0)</f>
        <v>0.13964470547405061</v>
      </c>
      <c r="AD39" s="25">
        <f>IFERROR(tbl_zawodnicy_średnie[[#This Row],[pts]]*(40/tbl_zawodnicy_średnie[[#This Row],[min]]),0)</f>
        <v>13.333333333333336</v>
      </c>
      <c r="AE39" s="25">
        <f>IFERROR(tbl_zawodnicy_średnie[[#This Row],[reb total]]*(40/tbl_zawodnicy_średnie[[#This Row],[min]]),0)</f>
        <v>13.333333333333336</v>
      </c>
      <c r="AF39" s="30">
        <f>IFERROR(tbl_zawodnicy_średnie[[#This Row],[asst]]*(40/tbl_zawodnicy_średnie[[#This Row],[min]]),0)</f>
        <v>2.666666666666667</v>
      </c>
      <c r="AG39" s="5">
        <f t="shared" si="7"/>
        <v>0.8928571428571429</v>
      </c>
      <c r="AH39" s="5">
        <f>IFERROR((tbl_zawodnicy_średnie[[#This Row],[stl]]+tbl_zawodnicy_średnie[[#This Row],[blk]])*(40/tbl_zawodnicy_średnie[[#This Row],[min]]),0)</f>
        <v>2.6666666666666665</v>
      </c>
      <c r="AI39" s="4">
        <f>IFERROR((SUMIF(tbl_główna_GRACZE[I. Nazwisko],tbl_zawodnicy_średnie[[#This Row],[I. Nazwisko]],tbl_główna_GRACZE[DI]))/tbl_zawodnicy_średnie[[#This Row],[Played]],0)</f>
        <v>8.6855877616747179E-2</v>
      </c>
      <c r="AJ39" s="25">
        <f>tbl_zawodnicy_średnie[[#This Row],[stl]]+tbl_zawodnicy_średnie[[#This Row],[blk]]+(tbl_zawodnicy_średnie[[#This Row],[dreb]]*0.5)</f>
        <v>4</v>
      </c>
      <c r="AK39" s="29">
        <f>IFERROR((tbl_zawodnicy_średnie[[#This Row],[stl]]+tbl_zawodnicy_średnie[[#This Row],[blk]]+0.5*tbl_zawodnicy_średnie[[#This Row],[dreb]])/tbl_zawodnicy_średnie[[#This Row],[min]],0)</f>
        <v>0.16</v>
      </c>
      <c r="AL39" s="6">
        <f t="shared" si="8"/>
        <v>8.9</v>
      </c>
      <c r="AM39" s="6">
        <f>IFERROR(tbl_zawodnicy_średnie[[#This Row],[GmSc]]*(40/tbl_zawodnicy_średnie[[#This Row],[min]]),0)</f>
        <v>14.240000000000002</v>
      </c>
      <c r="AN39" s="6">
        <f>IFERROR(tbl_zawodnicy_średnie[[#This Row],[EVAL]]*(40/tbl_zawodnicy_średnie[[#This Row],[min]]),0)</f>
        <v>18.666666666666668</v>
      </c>
      <c r="AO39" s="6">
        <f>tbl_zawodnicy_średnie[[#This Row],[fgm]]-tbl_zawodnicy_średnie[[#This Row],[3pm]]</f>
        <v>3</v>
      </c>
      <c r="AP39" s="6">
        <f>tbl_zawodnicy_średnie[[#This Row],[fga]]-tbl_zawodnicy_średnie[[#This Row],[3pa]]</f>
        <v>9</v>
      </c>
      <c r="AQ39">
        <v>29</v>
      </c>
      <c r="AR39" s="6" t="str">
        <f>tbl_zawodnicy_średnie[[#This Row],[I. Nazwisko]]&amp;" ["&amp;VLOOKUP(tbl_zawodnicy_średnie[[#This Row],[zespół]],tab_nazwy_zespołów[],2,0)&amp;"]"</f>
        <v>M. Mąkowski [ŁOD]</v>
      </c>
    </row>
    <row r="40" spans="1:44" ht="14.5" customHeight="1" x14ac:dyDescent="0.35">
      <c r="A40" t="s">
        <v>50</v>
      </c>
      <c r="B40" t="s">
        <v>188</v>
      </c>
      <c r="C40" s="9">
        <f>SUMIF(tbl_główna_GRACZE[I. Nazwisko],tbl_zawodnicy_średnie[[#This Row],[I. Nazwisko]],tbl_główna_GRACZE[Played?])</f>
        <v>4</v>
      </c>
      <c r="D40" s="55">
        <f>IFERROR((SUMIF(tbl_główna_GRACZE[I. Nazwisko],tbl_zawodnicy_średnie[[#This Row],[I. Nazwisko]],tbl_główna_GRACZE[fgm]))/tbl_zawodnicy_średnie[[#This Row],[Played]],0)</f>
        <v>7.5</v>
      </c>
      <c r="E40" s="55">
        <f>IFERROR((SUMIF(tbl_główna_GRACZE[I. Nazwisko],tbl_zawodnicy_średnie[[#This Row],[I. Nazwisko]],tbl_główna_GRACZE[fga]))/tbl_zawodnicy_średnie[[#This Row],[Played]],0)</f>
        <v>21</v>
      </c>
      <c r="F40" s="55">
        <f>IFERROR((SUMIF(tbl_główna_GRACZE[I. Nazwisko],tbl_zawodnicy_średnie[[#This Row],[I. Nazwisko]],tbl_główna_GRACZE[3pm]))/tbl_zawodnicy_średnie[[#This Row],[Played]],0)</f>
        <v>2.75</v>
      </c>
      <c r="G40" s="55">
        <f>IFERROR((SUMIF(tbl_główna_GRACZE[I. Nazwisko],tbl_zawodnicy_średnie[[#This Row],[I. Nazwisko]],tbl_główna_GRACZE[3pa]))/tbl_zawodnicy_średnie[[#This Row],[Played]],0)</f>
        <v>11.75</v>
      </c>
      <c r="H40" s="55">
        <f>IFERROR((SUMIF(tbl_główna_GRACZE[I. Nazwisko],tbl_zawodnicy_średnie[[#This Row],[I. Nazwisko]],tbl_główna_GRACZE[ftm]))/tbl_zawodnicy_średnie[[#This Row],[Played]],0)</f>
        <v>3.25</v>
      </c>
      <c r="I40" s="55">
        <f>IFERROR((SUMIF(tbl_główna_GRACZE[I. Nazwisko],tbl_zawodnicy_średnie[[#This Row],[I. Nazwisko]],tbl_główna_GRACZE[fta]))/tbl_zawodnicy_średnie[[#This Row],[Played]],0)</f>
        <v>5.25</v>
      </c>
      <c r="J40" s="55">
        <f>IFERROR((SUMIF(tbl_główna_GRACZE[I. Nazwisko],tbl_zawodnicy_średnie[[#This Row],[I. Nazwisko]],tbl_główna_GRACZE[oreb]))/tbl_zawodnicy_średnie[[#This Row],[Played]],0)</f>
        <v>0.5</v>
      </c>
      <c r="K40" s="55">
        <f>IFERROR((SUMIF(tbl_główna_GRACZE[I. Nazwisko],tbl_zawodnicy_średnie[[#This Row],[I. Nazwisko]],tbl_główna_GRACZE[dreb]))/tbl_zawodnicy_średnie[[#This Row],[Played]],0)</f>
        <v>8.75</v>
      </c>
      <c r="L40" s="55">
        <f>IFERROR((SUMIF(tbl_główna_GRACZE[I. Nazwisko],tbl_zawodnicy_średnie[[#This Row],[I. Nazwisko]],tbl_główna_GRACZE[foul]))/tbl_zawodnicy_średnie[[#This Row],[Played]],0)</f>
        <v>3.25</v>
      </c>
      <c r="M40" s="55">
        <f>IFERROR((SUMIF(tbl_główna_GRACZE[I. Nazwisko],tbl_zawodnicy_średnie[[#This Row],[I. Nazwisko]],tbl_główna_GRACZE[stl]))/tbl_zawodnicy_średnie[[#This Row],[Played]],0)</f>
        <v>1.75</v>
      </c>
      <c r="N40" s="55">
        <f>IFERROR((SUMIF(tbl_główna_GRACZE[I. Nazwisko],tbl_zawodnicy_średnie[[#This Row],[I. Nazwisko]],tbl_główna_GRACZE[to]))/tbl_zawodnicy_średnie[[#This Row],[Played]],0)</f>
        <v>0</v>
      </c>
      <c r="O40" s="55">
        <f>IFERROR((SUMIF(tbl_główna_GRACZE[I. Nazwisko],tbl_zawodnicy_średnie[[#This Row],[I. Nazwisko]],tbl_główna_GRACZE[blk]))/tbl_zawodnicy_średnie[[#This Row],[Played]],0)</f>
        <v>1</v>
      </c>
      <c r="P40" s="55">
        <f>IFERROR((SUMIF(tbl_główna_GRACZE[I. Nazwisko],tbl_zawodnicy_średnie[[#This Row],[I. Nazwisko]],tbl_główna_GRACZE[asst]))/tbl_zawodnicy_średnie[[#This Row],[Played]],0)</f>
        <v>2.25</v>
      </c>
      <c r="Q40" s="55">
        <f>IFERROR((SUMIF(tbl_główna_GRACZE[I. Nazwisko],tbl_zawodnicy_średnie[[#This Row],[I. Nazwisko]],tbl_główna_GRACZE[min]))/tbl_zawodnicy_średnie[[#This Row],[Played]],0)</f>
        <v>39.75</v>
      </c>
      <c r="R40" s="55">
        <f>IFERROR((SUMIF(tbl_główna_GRACZE[I. Nazwisko],tbl_zawodnicy_średnie[[#This Row],[I. Nazwisko]],tbl_główna_GRACZE[pts]))/tbl_zawodnicy_średnie[[#This Row],[Played]],0)</f>
        <v>21</v>
      </c>
      <c r="S40" s="6">
        <f t="shared" si="9"/>
        <v>9.25</v>
      </c>
      <c r="T40" s="4">
        <f t="shared" si="0"/>
        <v>0.35714285714285715</v>
      </c>
      <c r="U40" s="4">
        <f t="shared" si="1"/>
        <v>0.23404255319148937</v>
      </c>
      <c r="V40" s="4">
        <f t="shared" si="2"/>
        <v>0.61904761904761907</v>
      </c>
      <c r="W40" s="4">
        <f>IFERROR(tbl_zawodnicy_średnie[[#This Row],[2pm]]/tbl_zawodnicy_średnie[[#This Row],[2pa]],0)</f>
        <v>0.51351351351351349</v>
      </c>
      <c r="X40" s="4">
        <f t="shared" si="3"/>
        <v>0.45045045045045046</v>
      </c>
      <c r="Y40" s="4">
        <f t="shared" si="4"/>
        <v>0.42261904761904762</v>
      </c>
      <c r="Z40" s="6">
        <f t="shared" si="10"/>
        <v>19.75</v>
      </c>
      <c r="AA40" s="4">
        <f t="shared" si="5"/>
        <v>0.25</v>
      </c>
      <c r="AB40" s="4">
        <f t="shared" si="6"/>
        <v>0.55952380952380953</v>
      </c>
      <c r="AC40" s="26">
        <f>IFERROR((SUMIF(tbl_główna_GRACZE[I. Nazwisko],tbl_zawodnicy_średnie[[#This Row],[I. Nazwisko]],tbl_główna_GRACZE[USG%]))/tbl_zawodnicy_średnie[[#This Row],[Played]],0)</f>
        <v>0.33533371820253155</v>
      </c>
      <c r="AD40" s="25">
        <f>IFERROR(tbl_zawodnicy_średnie[[#This Row],[pts]]*(40/tbl_zawodnicy_średnie[[#This Row],[min]]),0)</f>
        <v>21.132075471698112</v>
      </c>
      <c r="AE40" s="25">
        <f>IFERROR(tbl_zawodnicy_średnie[[#This Row],[reb total]]*(40/tbl_zawodnicy_średnie[[#This Row],[min]]),0)</f>
        <v>9.3081761006289305</v>
      </c>
      <c r="AF40" s="30">
        <f>IFERROR(tbl_zawodnicy_średnie[[#This Row],[asst]]*(40/tbl_zawodnicy_średnie[[#This Row],[min]]),0)</f>
        <v>2.2641509433962264</v>
      </c>
      <c r="AG40" s="5">
        <f t="shared" si="7"/>
        <v>1</v>
      </c>
      <c r="AH40" s="5">
        <f>IFERROR((tbl_zawodnicy_średnie[[#This Row],[stl]]+tbl_zawodnicy_średnie[[#This Row],[blk]])*(40/tbl_zawodnicy_średnie[[#This Row],[min]]),0)</f>
        <v>2.7672955974842766</v>
      </c>
      <c r="AI40" s="4">
        <f>IFERROR((SUMIF(tbl_główna_GRACZE[I. Nazwisko],tbl_zawodnicy_średnie[[#This Row],[I. Nazwisko]],tbl_główna_GRACZE[DI]))/tbl_zawodnicy_średnie[[#This Row],[Played]],0)</f>
        <v>0.22007575757575756</v>
      </c>
      <c r="AJ40" s="25">
        <f>tbl_zawodnicy_średnie[[#This Row],[stl]]+tbl_zawodnicy_średnie[[#This Row],[blk]]+(tbl_zawodnicy_średnie[[#This Row],[dreb]]*0.5)</f>
        <v>7.125</v>
      </c>
      <c r="AK40" s="29">
        <f>IFERROR((tbl_zawodnicy_średnie[[#This Row],[stl]]+tbl_zawodnicy_średnie[[#This Row],[blk]]+0.5*tbl_zawodnicy_średnie[[#This Row],[dreb]])/tbl_zawodnicy_średnie[[#This Row],[min]],0)</f>
        <v>0.17924528301886791</v>
      </c>
      <c r="AL40" s="6">
        <f t="shared" si="8"/>
        <v>15.499999999999998</v>
      </c>
      <c r="AM40" s="6">
        <f>IFERROR(tbl_zawodnicy_średnie[[#This Row],[GmSc]]*(40/tbl_zawodnicy_średnie[[#This Row],[min]]),0)</f>
        <v>15.597484276729558</v>
      </c>
      <c r="AN40" s="6">
        <f>IFERROR(tbl_zawodnicy_średnie[[#This Row],[EVAL]]*(40/tbl_zawodnicy_średnie[[#This Row],[min]]),0)</f>
        <v>19.874213836477988</v>
      </c>
      <c r="AO40" s="6">
        <f>tbl_zawodnicy_średnie[[#This Row],[fgm]]-tbl_zawodnicy_średnie[[#This Row],[3pm]]</f>
        <v>4.75</v>
      </c>
      <c r="AP40" s="6">
        <f>tbl_zawodnicy_średnie[[#This Row],[fga]]-tbl_zawodnicy_średnie[[#This Row],[3pa]]</f>
        <v>9.25</v>
      </c>
      <c r="AQ40">
        <v>30</v>
      </c>
      <c r="AR40" s="6" t="str">
        <f>tbl_zawodnicy_średnie[[#This Row],[I. Nazwisko]]&amp;" ["&amp;VLOOKUP(tbl_zawodnicy_średnie[[#This Row],[zespół]],tab_nazwy_zespołów[],2,0)&amp;"]"</f>
        <v>D. Hentosz [KON]</v>
      </c>
    </row>
    <row r="41" spans="1:44" ht="14.5" customHeight="1" x14ac:dyDescent="0.35">
      <c r="A41" t="s">
        <v>50</v>
      </c>
      <c r="B41" t="s">
        <v>189</v>
      </c>
      <c r="C41" s="9">
        <f>SUMIF(tbl_główna_GRACZE[I. Nazwisko],tbl_zawodnicy_średnie[[#This Row],[I. Nazwisko]],tbl_główna_GRACZE[Played?])</f>
        <v>3</v>
      </c>
      <c r="D41" s="55">
        <f>IFERROR((SUMIF(tbl_główna_GRACZE[I. Nazwisko],tbl_zawodnicy_średnie[[#This Row],[I. Nazwisko]],tbl_główna_GRACZE[fgm]))/tbl_zawodnicy_średnie[[#This Row],[Played]],0)</f>
        <v>1.6666666666666667</v>
      </c>
      <c r="E41" s="55">
        <f>IFERROR((SUMIF(tbl_główna_GRACZE[I. Nazwisko],tbl_zawodnicy_średnie[[#This Row],[I. Nazwisko]],tbl_główna_GRACZE[fga]))/tbl_zawodnicy_średnie[[#This Row],[Played]],0)</f>
        <v>8</v>
      </c>
      <c r="F41" s="55">
        <f>IFERROR((SUMIF(tbl_główna_GRACZE[I. Nazwisko],tbl_zawodnicy_średnie[[#This Row],[I. Nazwisko]],tbl_główna_GRACZE[3pm]))/tbl_zawodnicy_średnie[[#This Row],[Played]],0)</f>
        <v>0.66666666666666663</v>
      </c>
      <c r="G41" s="55">
        <f>IFERROR((SUMIF(tbl_główna_GRACZE[I. Nazwisko],tbl_zawodnicy_średnie[[#This Row],[I. Nazwisko]],tbl_główna_GRACZE[3pa]))/tbl_zawodnicy_średnie[[#This Row],[Played]],0)</f>
        <v>3</v>
      </c>
      <c r="H41" s="55">
        <f>IFERROR((SUMIF(tbl_główna_GRACZE[I. Nazwisko],tbl_zawodnicy_średnie[[#This Row],[I. Nazwisko]],tbl_główna_GRACZE[ftm]))/tbl_zawodnicy_średnie[[#This Row],[Played]],0)</f>
        <v>0.33333333333333331</v>
      </c>
      <c r="I41" s="55">
        <f>IFERROR((SUMIF(tbl_główna_GRACZE[I. Nazwisko],tbl_zawodnicy_średnie[[#This Row],[I. Nazwisko]],tbl_główna_GRACZE[fta]))/tbl_zawodnicy_średnie[[#This Row],[Played]],0)</f>
        <v>1.3333333333333333</v>
      </c>
      <c r="J41" s="55">
        <f>IFERROR((SUMIF(tbl_główna_GRACZE[I. Nazwisko],tbl_zawodnicy_średnie[[#This Row],[I. Nazwisko]],tbl_główna_GRACZE[oreb]))/tbl_zawodnicy_średnie[[#This Row],[Played]],0)</f>
        <v>1.3333333333333333</v>
      </c>
      <c r="K41" s="55">
        <f>IFERROR((SUMIF(tbl_główna_GRACZE[I. Nazwisko],tbl_zawodnicy_średnie[[#This Row],[I. Nazwisko]],tbl_główna_GRACZE[dreb]))/tbl_zawodnicy_średnie[[#This Row],[Played]],0)</f>
        <v>1.6666666666666667</v>
      </c>
      <c r="L41" s="55">
        <f>IFERROR((SUMIF(tbl_główna_GRACZE[I. Nazwisko],tbl_zawodnicy_średnie[[#This Row],[I. Nazwisko]],tbl_główna_GRACZE[foul]))/tbl_zawodnicy_średnie[[#This Row],[Played]],0)</f>
        <v>0.66666666666666663</v>
      </c>
      <c r="M41" s="55">
        <f>IFERROR((SUMIF(tbl_główna_GRACZE[I. Nazwisko],tbl_zawodnicy_średnie[[#This Row],[I. Nazwisko]],tbl_główna_GRACZE[stl]))/tbl_zawodnicy_średnie[[#This Row],[Played]],0)</f>
        <v>0.66666666666666663</v>
      </c>
      <c r="N41" s="55">
        <f>IFERROR((SUMIF(tbl_główna_GRACZE[I. Nazwisko],tbl_zawodnicy_średnie[[#This Row],[I. Nazwisko]],tbl_główna_GRACZE[to]))/tbl_zawodnicy_średnie[[#This Row],[Played]],0)</f>
        <v>0</v>
      </c>
      <c r="O41" s="55">
        <f>IFERROR((SUMIF(tbl_główna_GRACZE[I. Nazwisko],tbl_zawodnicy_średnie[[#This Row],[I. Nazwisko]],tbl_główna_GRACZE[blk]))/tbl_zawodnicy_średnie[[#This Row],[Played]],0)</f>
        <v>0.33333333333333331</v>
      </c>
      <c r="P41" s="55">
        <f>IFERROR((SUMIF(tbl_główna_GRACZE[I. Nazwisko],tbl_zawodnicy_średnie[[#This Row],[I. Nazwisko]],tbl_główna_GRACZE[asst]))/tbl_zawodnicy_średnie[[#This Row],[Played]],0)</f>
        <v>0</v>
      </c>
      <c r="Q41" s="55">
        <f>IFERROR((SUMIF(tbl_główna_GRACZE[I. Nazwisko],tbl_zawodnicy_średnie[[#This Row],[I. Nazwisko]],tbl_główna_GRACZE[min]))/tbl_zawodnicy_średnie[[#This Row],[Played]],0)</f>
        <v>20.333333333333332</v>
      </c>
      <c r="R41" s="55">
        <f>IFERROR((SUMIF(tbl_główna_GRACZE[I. Nazwisko],tbl_zawodnicy_średnie[[#This Row],[I. Nazwisko]],tbl_główna_GRACZE[pts]))/tbl_zawodnicy_średnie[[#This Row],[Played]],0)</f>
        <v>4</v>
      </c>
      <c r="S41" s="6">
        <f t="shared" si="9"/>
        <v>3</v>
      </c>
      <c r="T41" s="4">
        <f t="shared" si="0"/>
        <v>0.20833333333333334</v>
      </c>
      <c r="U41" s="4">
        <f t="shared" si="1"/>
        <v>0.22222222222222221</v>
      </c>
      <c r="V41" s="4">
        <f t="shared" si="2"/>
        <v>0.25</v>
      </c>
      <c r="W41" s="4">
        <f>IFERROR(tbl_zawodnicy_średnie[[#This Row],[2pm]]/tbl_zawodnicy_średnie[[#This Row],[2pa]],0)</f>
        <v>0.2</v>
      </c>
      <c r="X41" s="4">
        <f t="shared" si="3"/>
        <v>0.23291925465838512</v>
      </c>
      <c r="Y41" s="4">
        <f t="shared" si="4"/>
        <v>0.25</v>
      </c>
      <c r="Z41" s="6">
        <f t="shared" si="10"/>
        <v>0.66666666666666696</v>
      </c>
      <c r="AA41" s="4">
        <f t="shared" si="5"/>
        <v>0.16666666666666666</v>
      </c>
      <c r="AB41" s="4">
        <f t="shared" si="6"/>
        <v>0.375</v>
      </c>
      <c r="AC41" s="26">
        <f>IFERROR((SUMIF(tbl_główna_GRACZE[I. Nazwisko],tbl_zawodnicy_średnie[[#This Row],[I. Nazwisko]],tbl_główna_GRACZE[USG%]))/tbl_zawodnicy_średnie[[#This Row],[Played]],0)</f>
        <v>0.12281881407325861</v>
      </c>
      <c r="AD41" s="25">
        <f>IFERROR(tbl_zawodnicy_średnie[[#This Row],[pts]]*(40/tbl_zawodnicy_średnie[[#This Row],[min]]),0)</f>
        <v>7.8688524590163942</v>
      </c>
      <c r="AE41" s="25">
        <f>IFERROR(tbl_zawodnicy_średnie[[#This Row],[reb total]]*(40/tbl_zawodnicy_średnie[[#This Row],[min]]),0)</f>
        <v>5.9016393442622954</v>
      </c>
      <c r="AF41" s="30">
        <f>IFERROR(tbl_zawodnicy_średnie[[#This Row],[asst]]*(40/tbl_zawodnicy_średnie[[#This Row],[min]]),0)</f>
        <v>0</v>
      </c>
      <c r="AG41" s="5">
        <f t="shared" si="7"/>
        <v>0.5</v>
      </c>
      <c r="AH41" s="5">
        <f>IFERROR((tbl_zawodnicy_średnie[[#This Row],[stl]]+tbl_zawodnicy_średnie[[#This Row],[blk]])*(40/tbl_zawodnicy_średnie[[#This Row],[min]]),0)</f>
        <v>1.9672131147540985</v>
      </c>
      <c r="AI41" s="4">
        <f>IFERROR((SUMIF(tbl_główna_GRACZE[I. Nazwisko],tbl_zawodnicy_średnie[[#This Row],[I. Nazwisko]],tbl_główna_GRACZE[DI]))/tbl_zawodnicy_średnie[[#This Row],[Played]],0)</f>
        <v>8.8888888888888892E-2</v>
      </c>
      <c r="AJ41" s="25">
        <f>tbl_zawodnicy_średnie[[#This Row],[stl]]+tbl_zawodnicy_średnie[[#This Row],[blk]]+(tbl_zawodnicy_średnie[[#This Row],[dreb]]*0.5)</f>
        <v>1.8333333333333335</v>
      </c>
      <c r="AK41" s="29">
        <f>IFERROR((tbl_zawodnicy_średnie[[#This Row],[stl]]+tbl_zawodnicy_średnie[[#This Row],[blk]]+0.5*tbl_zawodnicy_średnie[[#This Row],[dreb]])/tbl_zawodnicy_średnie[[#This Row],[min]],0)</f>
        <v>9.0163934426229525E-2</v>
      </c>
      <c r="AL41" s="6">
        <f t="shared" si="8"/>
        <v>1.0000000000000007</v>
      </c>
      <c r="AM41" s="6">
        <f>IFERROR(tbl_zawodnicy_średnie[[#This Row],[GmSc]]*(40/tbl_zawodnicy_średnie[[#This Row],[min]]),0)</f>
        <v>1.9672131147540999</v>
      </c>
      <c r="AN41" s="6">
        <f>IFERROR(tbl_zawodnicy_średnie[[#This Row],[EVAL]]*(40/tbl_zawodnicy_średnie[[#This Row],[min]]),0)</f>
        <v>1.3114754098360664</v>
      </c>
      <c r="AO41" s="6">
        <f>tbl_zawodnicy_średnie[[#This Row],[fgm]]-tbl_zawodnicy_średnie[[#This Row],[3pm]]</f>
        <v>1</v>
      </c>
      <c r="AP41" s="6">
        <f>tbl_zawodnicy_średnie[[#This Row],[fga]]-tbl_zawodnicy_średnie[[#This Row],[3pa]]</f>
        <v>5</v>
      </c>
      <c r="AQ41">
        <v>31</v>
      </c>
      <c r="AR41" s="6" t="str">
        <f>tbl_zawodnicy_średnie[[#This Row],[I. Nazwisko]]&amp;" ["&amp;VLOOKUP(tbl_zawodnicy_średnie[[#This Row],[zespół]],tab_nazwy_zespołów[],2,0)&amp;"]"</f>
        <v>A. Franko [KON]</v>
      </c>
    </row>
    <row r="42" spans="1:44" ht="14.5" customHeight="1" x14ac:dyDescent="0.35">
      <c r="A42" t="s">
        <v>50</v>
      </c>
      <c r="B42" t="s">
        <v>190</v>
      </c>
      <c r="C42" s="9">
        <f>SUMIF(tbl_główna_GRACZE[I. Nazwisko],tbl_zawodnicy_średnie[[#This Row],[I. Nazwisko]],tbl_główna_GRACZE[Played?])</f>
        <v>4</v>
      </c>
      <c r="D42" s="55">
        <f>IFERROR((SUMIF(tbl_główna_GRACZE[I. Nazwisko],tbl_zawodnicy_średnie[[#This Row],[I. Nazwisko]],tbl_główna_GRACZE[fgm]))/tbl_zawodnicy_średnie[[#This Row],[Played]],0)</f>
        <v>2</v>
      </c>
      <c r="E42" s="55">
        <f>IFERROR((SUMIF(tbl_główna_GRACZE[I. Nazwisko],tbl_zawodnicy_średnie[[#This Row],[I. Nazwisko]],tbl_główna_GRACZE[fga]))/tbl_zawodnicy_średnie[[#This Row],[Played]],0)</f>
        <v>10</v>
      </c>
      <c r="F42" s="55">
        <f>IFERROR((SUMIF(tbl_główna_GRACZE[I. Nazwisko],tbl_zawodnicy_średnie[[#This Row],[I. Nazwisko]],tbl_główna_GRACZE[3pm]))/tbl_zawodnicy_średnie[[#This Row],[Played]],0)</f>
        <v>1</v>
      </c>
      <c r="G42" s="55">
        <f>IFERROR((SUMIF(tbl_główna_GRACZE[I. Nazwisko],tbl_zawodnicy_średnie[[#This Row],[I. Nazwisko]],tbl_główna_GRACZE[3pa]))/tbl_zawodnicy_średnie[[#This Row],[Played]],0)</f>
        <v>6.75</v>
      </c>
      <c r="H42" s="55">
        <f>IFERROR((SUMIF(tbl_główna_GRACZE[I. Nazwisko],tbl_zawodnicy_średnie[[#This Row],[I. Nazwisko]],tbl_główna_GRACZE[ftm]))/tbl_zawodnicy_średnie[[#This Row],[Played]],0)</f>
        <v>0.5</v>
      </c>
      <c r="I42" s="55">
        <f>IFERROR((SUMIF(tbl_główna_GRACZE[I. Nazwisko],tbl_zawodnicy_średnie[[#This Row],[I. Nazwisko]],tbl_główna_GRACZE[fta]))/tbl_zawodnicy_średnie[[#This Row],[Played]],0)</f>
        <v>0.75</v>
      </c>
      <c r="J42" s="55">
        <f>IFERROR((SUMIF(tbl_główna_GRACZE[I. Nazwisko],tbl_zawodnicy_średnie[[#This Row],[I. Nazwisko]],tbl_główna_GRACZE[oreb]))/tbl_zawodnicy_średnie[[#This Row],[Played]],0)</f>
        <v>0.75</v>
      </c>
      <c r="K42" s="55">
        <f>IFERROR((SUMIF(tbl_główna_GRACZE[I. Nazwisko],tbl_zawodnicy_średnie[[#This Row],[I. Nazwisko]],tbl_główna_GRACZE[dreb]))/tbl_zawodnicy_średnie[[#This Row],[Played]],0)</f>
        <v>4.75</v>
      </c>
      <c r="L42" s="55">
        <f>IFERROR((SUMIF(tbl_główna_GRACZE[I. Nazwisko],tbl_zawodnicy_średnie[[#This Row],[I. Nazwisko]],tbl_główna_GRACZE[foul]))/tbl_zawodnicy_średnie[[#This Row],[Played]],0)</f>
        <v>0.75</v>
      </c>
      <c r="M42" s="55">
        <f>IFERROR((SUMIF(tbl_główna_GRACZE[I. Nazwisko],tbl_zawodnicy_średnie[[#This Row],[I. Nazwisko]],tbl_główna_GRACZE[stl]))/tbl_zawodnicy_średnie[[#This Row],[Played]],0)</f>
        <v>2</v>
      </c>
      <c r="N42" s="55">
        <f>IFERROR((SUMIF(tbl_główna_GRACZE[I. Nazwisko],tbl_zawodnicy_średnie[[#This Row],[I. Nazwisko]],tbl_główna_GRACZE[to]))/tbl_zawodnicy_średnie[[#This Row],[Played]],0)</f>
        <v>0</v>
      </c>
      <c r="O42" s="55">
        <f>IFERROR((SUMIF(tbl_główna_GRACZE[I. Nazwisko],tbl_zawodnicy_średnie[[#This Row],[I. Nazwisko]],tbl_główna_GRACZE[blk]))/tbl_zawodnicy_średnie[[#This Row],[Played]],0)</f>
        <v>0.75</v>
      </c>
      <c r="P42" s="55">
        <f>IFERROR((SUMIF(tbl_główna_GRACZE[I. Nazwisko],tbl_zawodnicy_średnie[[#This Row],[I. Nazwisko]],tbl_główna_GRACZE[asst]))/tbl_zawodnicy_średnie[[#This Row],[Played]],0)</f>
        <v>4.25</v>
      </c>
      <c r="Q42" s="55">
        <f>IFERROR((SUMIF(tbl_główna_GRACZE[I. Nazwisko],tbl_zawodnicy_średnie[[#This Row],[I. Nazwisko]],tbl_główna_GRACZE[min]))/tbl_zawodnicy_średnie[[#This Row],[Played]],0)</f>
        <v>30</v>
      </c>
      <c r="R42" s="55">
        <f>IFERROR((SUMIF(tbl_główna_GRACZE[I. Nazwisko],tbl_zawodnicy_średnie[[#This Row],[I. Nazwisko]],tbl_główna_GRACZE[pts]))/tbl_zawodnicy_średnie[[#This Row],[Played]],0)</f>
        <v>5.75</v>
      </c>
      <c r="S42" s="6">
        <f t="shared" si="9"/>
        <v>5.5</v>
      </c>
      <c r="T42" s="4">
        <f t="shared" si="0"/>
        <v>0.2</v>
      </c>
      <c r="U42" s="4">
        <f t="shared" si="1"/>
        <v>0.14814814814814814</v>
      </c>
      <c r="V42" s="4">
        <f t="shared" si="2"/>
        <v>0.66666666666666663</v>
      </c>
      <c r="W42" s="4">
        <f>IFERROR(tbl_zawodnicy_średnie[[#This Row],[2pm]]/tbl_zawodnicy_średnie[[#This Row],[2pa]],0)</f>
        <v>0.30769230769230771</v>
      </c>
      <c r="X42" s="4">
        <f t="shared" si="3"/>
        <v>0.27831558567279768</v>
      </c>
      <c r="Y42" s="4">
        <f t="shared" si="4"/>
        <v>0.25</v>
      </c>
      <c r="Z42" s="6">
        <f t="shared" si="10"/>
        <v>10</v>
      </c>
      <c r="AA42" s="4">
        <f t="shared" si="5"/>
        <v>7.4999999999999997E-2</v>
      </c>
      <c r="AB42" s="4">
        <f t="shared" si="6"/>
        <v>0.67500000000000004</v>
      </c>
      <c r="AC42" s="26">
        <f>IFERROR((SUMIF(tbl_główna_GRACZE[I. Nazwisko],tbl_zawodnicy_średnie[[#This Row],[I. Nazwisko]],tbl_główna_GRACZE[USG%]))/tbl_zawodnicy_średnie[[#This Row],[Played]],0)</f>
        <v>0.14634582012735137</v>
      </c>
      <c r="AD42" s="25">
        <f>IFERROR(tbl_zawodnicy_średnie[[#This Row],[pts]]*(40/tbl_zawodnicy_średnie[[#This Row],[min]]),0)</f>
        <v>7.6666666666666661</v>
      </c>
      <c r="AE42" s="25">
        <f>IFERROR(tbl_zawodnicy_średnie[[#This Row],[reb total]]*(40/tbl_zawodnicy_średnie[[#This Row],[min]]),0)</f>
        <v>7.333333333333333</v>
      </c>
      <c r="AF42" s="30">
        <f>IFERROR(tbl_zawodnicy_średnie[[#This Row],[asst]]*(40/tbl_zawodnicy_średnie[[#This Row],[min]]),0)</f>
        <v>5.6666666666666661</v>
      </c>
      <c r="AG42" s="5">
        <f t="shared" si="7"/>
        <v>0.57499999999999996</v>
      </c>
      <c r="AH42" s="5">
        <f>IFERROR((tbl_zawodnicy_średnie[[#This Row],[stl]]+tbl_zawodnicy_średnie[[#This Row],[blk]])*(40/tbl_zawodnicy_średnie[[#This Row],[min]]),0)</f>
        <v>3.6666666666666665</v>
      </c>
      <c r="AI42" s="4">
        <f>IFERROR((SUMIF(tbl_główna_GRACZE[I. Nazwisko],tbl_zawodnicy_średnie[[#This Row],[I. Nazwisko]],tbl_główna_GRACZE[DI]))/tbl_zawodnicy_średnie[[#This Row],[Played]],0)</f>
        <v>0.24109848484848484</v>
      </c>
      <c r="AJ42" s="25">
        <f>tbl_zawodnicy_średnie[[#This Row],[stl]]+tbl_zawodnicy_średnie[[#This Row],[blk]]+(tbl_zawodnicy_średnie[[#This Row],[dreb]]*0.5)</f>
        <v>5.125</v>
      </c>
      <c r="AK42" s="29">
        <f>IFERROR((tbl_zawodnicy_średnie[[#This Row],[stl]]+tbl_zawodnicy_średnie[[#This Row],[blk]]+0.5*tbl_zawodnicy_średnie[[#This Row],[dreb]])/tbl_zawodnicy_średnie[[#This Row],[min]],0)</f>
        <v>0.17083333333333334</v>
      </c>
      <c r="AL42" s="6">
        <f t="shared" si="8"/>
        <v>6.9</v>
      </c>
      <c r="AM42" s="6">
        <f>IFERROR(tbl_zawodnicy_średnie[[#This Row],[GmSc]]*(40/tbl_zawodnicy_średnie[[#This Row],[min]]),0)</f>
        <v>9.1999999999999993</v>
      </c>
      <c r="AN42" s="6">
        <f>IFERROR(tbl_zawodnicy_średnie[[#This Row],[EVAL]]*(40/tbl_zawodnicy_średnie[[#This Row],[min]]),0)</f>
        <v>13.333333333333332</v>
      </c>
      <c r="AO42" s="6">
        <f>tbl_zawodnicy_średnie[[#This Row],[fgm]]-tbl_zawodnicy_średnie[[#This Row],[3pm]]</f>
        <v>1</v>
      </c>
      <c r="AP42" s="6">
        <f>tbl_zawodnicy_średnie[[#This Row],[fga]]-tbl_zawodnicy_średnie[[#This Row],[3pa]]</f>
        <v>3.25</v>
      </c>
      <c r="AQ42">
        <v>32</v>
      </c>
      <c r="AR42" s="6" t="str">
        <f>tbl_zawodnicy_średnie[[#This Row],[I. Nazwisko]]&amp;" ["&amp;VLOOKUP(tbl_zawodnicy_średnie[[#This Row],[zespół]],tab_nazwy_zespołów[],2,0)&amp;"]"</f>
        <v>M. Matusik [KON]</v>
      </c>
    </row>
    <row r="43" spans="1:44" ht="14.5" customHeight="1" x14ac:dyDescent="0.35">
      <c r="A43" t="s">
        <v>50</v>
      </c>
      <c r="B43" t="s">
        <v>191</v>
      </c>
      <c r="C43" s="9">
        <f>SUMIF(tbl_główna_GRACZE[I. Nazwisko],tbl_zawodnicy_średnie[[#This Row],[I. Nazwisko]],tbl_główna_GRACZE[Played?])</f>
        <v>4</v>
      </c>
      <c r="D43" s="55">
        <f>IFERROR((SUMIF(tbl_główna_GRACZE[I. Nazwisko],tbl_zawodnicy_średnie[[#This Row],[I. Nazwisko]],tbl_główna_GRACZE[fgm]))/tbl_zawodnicy_średnie[[#This Row],[Played]],0)</f>
        <v>1.5</v>
      </c>
      <c r="E43" s="55">
        <f>IFERROR((SUMIF(tbl_główna_GRACZE[I. Nazwisko],tbl_zawodnicy_średnie[[#This Row],[I. Nazwisko]],tbl_główna_GRACZE[fga]))/tbl_zawodnicy_średnie[[#This Row],[Played]],0)</f>
        <v>6.75</v>
      </c>
      <c r="F43" s="55">
        <f>IFERROR((SUMIF(tbl_główna_GRACZE[I. Nazwisko],tbl_zawodnicy_średnie[[#This Row],[I. Nazwisko]],tbl_główna_GRACZE[3pm]))/tbl_zawodnicy_średnie[[#This Row],[Played]],0)</f>
        <v>0</v>
      </c>
      <c r="G43" s="55">
        <f>IFERROR((SUMIF(tbl_główna_GRACZE[I. Nazwisko],tbl_zawodnicy_średnie[[#This Row],[I. Nazwisko]],tbl_główna_GRACZE[3pa]))/tbl_zawodnicy_średnie[[#This Row],[Played]],0)</f>
        <v>0.25</v>
      </c>
      <c r="H43" s="55">
        <f>IFERROR((SUMIF(tbl_główna_GRACZE[I. Nazwisko],tbl_zawodnicy_średnie[[#This Row],[I. Nazwisko]],tbl_główna_GRACZE[ftm]))/tbl_zawodnicy_średnie[[#This Row],[Played]],0)</f>
        <v>2</v>
      </c>
      <c r="I43" s="55">
        <f>IFERROR((SUMIF(tbl_główna_GRACZE[I. Nazwisko],tbl_zawodnicy_średnie[[#This Row],[I. Nazwisko]],tbl_główna_GRACZE[fta]))/tbl_zawodnicy_średnie[[#This Row],[Played]],0)</f>
        <v>2.5</v>
      </c>
      <c r="J43" s="55">
        <f>IFERROR((SUMIF(tbl_główna_GRACZE[I. Nazwisko],tbl_zawodnicy_średnie[[#This Row],[I. Nazwisko]],tbl_główna_GRACZE[oreb]))/tbl_zawodnicy_średnie[[#This Row],[Played]],0)</f>
        <v>2.5</v>
      </c>
      <c r="K43" s="55">
        <f>IFERROR((SUMIF(tbl_główna_GRACZE[I. Nazwisko],tbl_zawodnicy_średnie[[#This Row],[I. Nazwisko]],tbl_główna_GRACZE[dreb]))/tbl_zawodnicy_średnie[[#This Row],[Played]],0)</f>
        <v>4.75</v>
      </c>
      <c r="L43" s="55">
        <f>IFERROR((SUMIF(tbl_główna_GRACZE[I. Nazwisko],tbl_zawodnicy_średnie[[#This Row],[I. Nazwisko]],tbl_główna_GRACZE[foul]))/tbl_zawodnicy_średnie[[#This Row],[Played]],0)</f>
        <v>0.25</v>
      </c>
      <c r="M43" s="55">
        <f>IFERROR((SUMIF(tbl_główna_GRACZE[I. Nazwisko],tbl_zawodnicy_średnie[[#This Row],[I. Nazwisko]],tbl_główna_GRACZE[stl]))/tbl_zawodnicy_średnie[[#This Row],[Played]],0)</f>
        <v>0.75</v>
      </c>
      <c r="N43" s="55">
        <f>IFERROR((SUMIF(tbl_główna_GRACZE[I. Nazwisko],tbl_zawodnicy_średnie[[#This Row],[I. Nazwisko]],tbl_główna_GRACZE[to]))/tbl_zawodnicy_średnie[[#This Row],[Played]],0)</f>
        <v>0</v>
      </c>
      <c r="O43" s="55">
        <f>IFERROR((SUMIF(tbl_główna_GRACZE[I. Nazwisko],tbl_zawodnicy_średnie[[#This Row],[I. Nazwisko]],tbl_główna_GRACZE[blk]))/tbl_zawodnicy_średnie[[#This Row],[Played]],0)</f>
        <v>0.25</v>
      </c>
      <c r="P43" s="55">
        <f>IFERROR((SUMIF(tbl_główna_GRACZE[I. Nazwisko],tbl_zawodnicy_średnie[[#This Row],[I. Nazwisko]],tbl_główna_GRACZE[asst]))/tbl_zawodnicy_średnie[[#This Row],[Played]],0)</f>
        <v>1</v>
      </c>
      <c r="Q43" s="55">
        <f>IFERROR((SUMIF(tbl_główna_GRACZE[I. Nazwisko],tbl_zawodnicy_średnie[[#This Row],[I. Nazwisko]],tbl_główna_GRACZE[min]))/tbl_zawodnicy_średnie[[#This Row],[Played]],0)</f>
        <v>29.25</v>
      </c>
      <c r="R43" s="55">
        <f>IFERROR((SUMIF(tbl_główna_GRACZE[I. Nazwisko],tbl_zawodnicy_średnie[[#This Row],[I. Nazwisko]],tbl_główna_GRACZE[pts]))/tbl_zawodnicy_średnie[[#This Row],[Played]],0)</f>
        <v>5</v>
      </c>
      <c r="S43" s="6">
        <f t="shared" ref="S43:S66" si="11">J43+K43</f>
        <v>7.25</v>
      </c>
      <c r="T43" s="4">
        <f t="shared" ref="T43:T66" si="12">IFERROR(D43/E43,0)</f>
        <v>0.22222222222222221</v>
      </c>
      <c r="U43" s="4">
        <f t="shared" ref="U43:U66" si="13">IFERROR(F43/G43,0)</f>
        <v>0</v>
      </c>
      <c r="V43" s="4">
        <f t="shared" ref="V43:V66" si="14">IFERROR(H43/I43,0)</f>
        <v>0.8</v>
      </c>
      <c r="W43" s="4">
        <f>IFERROR(tbl_zawodnicy_średnie[[#This Row],[2pm]]/tbl_zawodnicy_średnie[[#This Row],[2pa]],0)</f>
        <v>0.23076923076923078</v>
      </c>
      <c r="X43" s="4">
        <f t="shared" ref="X43:X66" si="15">IFERROR(R43/(2*(E43+0.44*I43)),0)</f>
        <v>0.31847133757961787</v>
      </c>
      <c r="Y43" s="4">
        <f t="shared" ref="Y43:Y66" si="16">IFERROR((D43+0.5*F43)/E43,0)</f>
        <v>0.22222222222222221</v>
      </c>
      <c r="Z43" s="6">
        <f t="shared" ref="Z43:Z66" si="17">M43+O43+P43+R43+S43-(E43-D43)-(I43-H43)</f>
        <v>8.5</v>
      </c>
      <c r="AA43" s="4">
        <f t="shared" ref="AA43:AA66" si="18">IFERROR(I43/E43,)</f>
        <v>0.37037037037037035</v>
      </c>
      <c r="AB43" s="4">
        <f t="shared" ref="AB43:AB66" si="19">IFERROR(G43/E43,0)</f>
        <v>3.7037037037037035E-2</v>
      </c>
      <c r="AC43" s="26">
        <f>IFERROR((SUMIF(tbl_główna_GRACZE[I. Nazwisko],tbl_zawodnicy_średnie[[#This Row],[I. Nazwisko]],tbl_główna_GRACZE[USG%]))/tbl_zawodnicy_średnie[[#This Row],[Played]],0)</f>
        <v>0.11248870694733321</v>
      </c>
      <c r="AD43" s="25">
        <f>IFERROR(tbl_zawodnicy_średnie[[#This Row],[pts]]*(40/tbl_zawodnicy_średnie[[#This Row],[min]]),0)</f>
        <v>6.8376068376068382</v>
      </c>
      <c r="AE43" s="25">
        <f>IFERROR(tbl_zawodnicy_średnie[[#This Row],[reb total]]*(40/tbl_zawodnicy_średnie[[#This Row],[min]]),0)</f>
        <v>9.9145299145299148</v>
      </c>
      <c r="AF43" s="30">
        <f>IFERROR(tbl_zawodnicy_średnie[[#This Row],[asst]]*(40/tbl_zawodnicy_średnie[[#This Row],[min]]),0)</f>
        <v>1.3675213675213675</v>
      </c>
      <c r="AG43" s="5">
        <f t="shared" ref="AG43:AG66" si="20">IFERROR(R43/E43,0)</f>
        <v>0.7407407407407407</v>
      </c>
      <c r="AH43" s="5">
        <f>IFERROR((tbl_zawodnicy_średnie[[#This Row],[stl]]+tbl_zawodnicy_średnie[[#This Row],[blk]])*(40/tbl_zawodnicy_średnie[[#This Row],[min]]),0)</f>
        <v>1.3675213675213675</v>
      </c>
      <c r="AI43" s="4">
        <f>IFERROR((SUMIF(tbl_główna_GRACZE[I. Nazwisko],tbl_zawodnicy_średnie[[#This Row],[I. Nazwisko]],tbl_główna_GRACZE[DI]))/tbl_zawodnicy_średnie[[#This Row],[Played]],0)</f>
        <v>9.5454545454545459E-2</v>
      </c>
      <c r="AJ43" s="25">
        <f>tbl_zawodnicy_średnie[[#This Row],[stl]]+tbl_zawodnicy_średnie[[#This Row],[blk]]+(tbl_zawodnicy_średnie[[#This Row],[dreb]]*0.5)</f>
        <v>3.375</v>
      </c>
      <c r="AK43" s="29">
        <f>IFERROR((tbl_zawodnicy_średnie[[#This Row],[stl]]+tbl_zawodnicy_średnie[[#This Row],[blk]]+0.5*tbl_zawodnicy_średnie[[#This Row],[dreb]])/tbl_zawodnicy_średnie[[#This Row],[min]],0)</f>
        <v>0.11538461538461539</v>
      </c>
      <c r="AL43" s="6">
        <f t="shared" ref="AL43:AL67" si="21">IFERROR(R43+0.4*D43-0.7*E43-0.4*(I43-H43)+0.7*J43+0.3*K43+M43+0.7*P43+0.7*O43,0)</f>
        <v>5.4749999999999996</v>
      </c>
      <c r="AM43" s="6">
        <f>IFERROR(tbl_zawodnicy_średnie[[#This Row],[GmSc]]*(40/tbl_zawodnicy_średnie[[#This Row],[min]]),0)</f>
        <v>7.4871794871794872</v>
      </c>
      <c r="AN43" s="6">
        <f>IFERROR(tbl_zawodnicy_średnie[[#This Row],[EVAL]]*(40/tbl_zawodnicy_średnie[[#This Row],[min]]),0)</f>
        <v>11.623931623931623</v>
      </c>
      <c r="AO43" s="6">
        <f>tbl_zawodnicy_średnie[[#This Row],[fgm]]-tbl_zawodnicy_średnie[[#This Row],[3pm]]</f>
        <v>1.5</v>
      </c>
      <c r="AP43" s="6">
        <f>tbl_zawodnicy_średnie[[#This Row],[fga]]-tbl_zawodnicy_średnie[[#This Row],[3pa]]</f>
        <v>6.5</v>
      </c>
      <c r="AQ43">
        <v>33</v>
      </c>
      <c r="AR43" s="6" t="str">
        <f>tbl_zawodnicy_średnie[[#This Row],[I. Nazwisko]]&amp;" ["&amp;VLOOKUP(tbl_zawodnicy_średnie[[#This Row],[zespół]],tab_nazwy_zespołów[],2,0)&amp;"]"</f>
        <v>D. Więcław [KON]</v>
      </c>
    </row>
    <row r="44" spans="1:44" ht="14.5" customHeight="1" x14ac:dyDescent="0.35">
      <c r="A44" t="s">
        <v>50</v>
      </c>
      <c r="B44" t="s">
        <v>192</v>
      </c>
      <c r="C44" s="9">
        <f>SUMIF(tbl_główna_GRACZE[I. Nazwisko],tbl_zawodnicy_średnie[[#This Row],[I. Nazwisko]],tbl_główna_GRACZE[Played?])</f>
        <v>3</v>
      </c>
      <c r="D44" s="55">
        <f>IFERROR((SUMIF(tbl_główna_GRACZE[I. Nazwisko],tbl_zawodnicy_średnie[[#This Row],[I. Nazwisko]],tbl_główna_GRACZE[fgm]))/tbl_zawodnicy_średnie[[#This Row],[Played]],0)</f>
        <v>1.6666666666666667</v>
      </c>
      <c r="E44" s="55">
        <f>IFERROR((SUMIF(tbl_główna_GRACZE[I. Nazwisko],tbl_zawodnicy_średnie[[#This Row],[I. Nazwisko]],tbl_główna_GRACZE[fga]))/tbl_zawodnicy_średnie[[#This Row],[Played]],0)</f>
        <v>4.333333333333333</v>
      </c>
      <c r="F44" s="55">
        <f>IFERROR((SUMIF(tbl_główna_GRACZE[I. Nazwisko],tbl_zawodnicy_średnie[[#This Row],[I. Nazwisko]],tbl_główna_GRACZE[3pm]))/tbl_zawodnicy_średnie[[#This Row],[Played]],0)</f>
        <v>0</v>
      </c>
      <c r="G44" s="55">
        <f>IFERROR((SUMIF(tbl_główna_GRACZE[I. Nazwisko],tbl_zawodnicy_średnie[[#This Row],[I. Nazwisko]],tbl_główna_GRACZE[3pa]))/tbl_zawodnicy_średnie[[#This Row],[Played]],0)</f>
        <v>0</v>
      </c>
      <c r="H44" s="55">
        <f>IFERROR((SUMIF(tbl_główna_GRACZE[I. Nazwisko],tbl_zawodnicy_średnie[[#This Row],[I. Nazwisko]],tbl_główna_GRACZE[ftm]))/tbl_zawodnicy_średnie[[#This Row],[Played]],0)</f>
        <v>0</v>
      </c>
      <c r="I44" s="55">
        <f>IFERROR((SUMIF(tbl_główna_GRACZE[I. Nazwisko],tbl_zawodnicy_średnie[[#This Row],[I. Nazwisko]],tbl_główna_GRACZE[fta]))/tbl_zawodnicy_średnie[[#This Row],[Played]],0)</f>
        <v>0.66666666666666663</v>
      </c>
      <c r="J44" s="55">
        <f>IFERROR((SUMIF(tbl_główna_GRACZE[I. Nazwisko],tbl_zawodnicy_średnie[[#This Row],[I. Nazwisko]],tbl_główna_GRACZE[oreb]))/tbl_zawodnicy_średnie[[#This Row],[Played]],0)</f>
        <v>2</v>
      </c>
      <c r="K44" s="55">
        <f>IFERROR((SUMIF(tbl_główna_GRACZE[I. Nazwisko],tbl_zawodnicy_średnie[[#This Row],[I. Nazwisko]],tbl_główna_GRACZE[dreb]))/tbl_zawodnicy_średnie[[#This Row],[Played]],0)</f>
        <v>4.666666666666667</v>
      </c>
      <c r="L44" s="55">
        <f>IFERROR((SUMIF(tbl_główna_GRACZE[I. Nazwisko],tbl_zawodnicy_średnie[[#This Row],[I. Nazwisko]],tbl_główna_GRACZE[foul]))/tbl_zawodnicy_średnie[[#This Row],[Played]],0)</f>
        <v>1.3333333333333333</v>
      </c>
      <c r="M44" s="55">
        <f>IFERROR((SUMIF(tbl_główna_GRACZE[I. Nazwisko],tbl_zawodnicy_średnie[[#This Row],[I. Nazwisko]],tbl_główna_GRACZE[stl]))/tbl_zawodnicy_średnie[[#This Row],[Played]],0)</f>
        <v>1.3333333333333333</v>
      </c>
      <c r="N44" s="55">
        <f>IFERROR((SUMIF(tbl_główna_GRACZE[I. Nazwisko],tbl_zawodnicy_średnie[[#This Row],[I. Nazwisko]],tbl_główna_GRACZE[to]))/tbl_zawodnicy_średnie[[#This Row],[Played]],0)</f>
        <v>0</v>
      </c>
      <c r="O44" s="55">
        <f>IFERROR((SUMIF(tbl_główna_GRACZE[I. Nazwisko],tbl_zawodnicy_średnie[[#This Row],[I. Nazwisko]],tbl_główna_GRACZE[blk]))/tbl_zawodnicy_średnie[[#This Row],[Played]],0)</f>
        <v>0</v>
      </c>
      <c r="P44" s="55">
        <f>IFERROR((SUMIF(tbl_główna_GRACZE[I. Nazwisko],tbl_zawodnicy_średnie[[#This Row],[I. Nazwisko]],tbl_główna_GRACZE[asst]))/tbl_zawodnicy_średnie[[#This Row],[Played]],0)</f>
        <v>1.3333333333333333</v>
      </c>
      <c r="Q44" s="55">
        <f>IFERROR((SUMIF(tbl_główna_GRACZE[I. Nazwisko],tbl_zawodnicy_średnie[[#This Row],[I. Nazwisko]],tbl_główna_GRACZE[min]))/tbl_zawodnicy_średnie[[#This Row],[Played]],0)</f>
        <v>27</v>
      </c>
      <c r="R44" s="55">
        <f>IFERROR((SUMIF(tbl_główna_GRACZE[I. Nazwisko],tbl_zawodnicy_średnie[[#This Row],[I. Nazwisko]],tbl_główna_GRACZE[pts]))/tbl_zawodnicy_średnie[[#This Row],[Played]],0)</f>
        <v>3.3333333333333335</v>
      </c>
      <c r="S44" s="6">
        <f t="shared" si="11"/>
        <v>6.666666666666667</v>
      </c>
      <c r="T44" s="4">
        <f t="shared" si="12"/>
        <v>0.38461538461538464</v>
      </c>
      <c r="U44" s="4">
        <f t="shared" si="13"/>
        <v>0</v>
      </c>
      <c r="V44" s="4">
        <f t="shared" si="14"/>
        <v>0</v>
      </c>
      <c r="W44" s="4">
        <f>IFERROR(tbl_zawodnicy_średnie[[#This Row],[2pm]]/tbl_zawodnicy_średnie[[#This Row],[2pa]],0)</f>
        <v>0.38461538461538464</v>
      </c>
      <c r="X44" s="4">
        <f t="shared" si="15"/>
        <v>0.36023054755043232</v>
      </c>
      <c r="Y44" s="4">
        <f t="shared" si="16"/>
        <v>0.38461538461538464</v>
      </c>
      <c r="Z44" s="6">
        <f t="shared" si="17"/>
        <v>9.3333333333333357</v>
      </c>
      <c r="AA44" s="4">
        <f t="shared" si="18"/>
        <v>0.15384615384615385</v>
      </c>
      <c r="AB44" s="4">
        <f t="shared" si="19"/>
        <v>0</v>
      </c>
      <c r="AC44" s="26">
        <f>IFERROR((SUMIF(tbl_główna_GRACZE[I. Nazwisko],tbl_zawodnicy_średnie[[#This Row],[I. Nazwisko]],tbl_główna_GRACZE[USG%]))/tbl_zawodnicy_średnie[[#This Row],[Played]],0)</f>
        <v>6.7883184220281098E-2</v>
      </c>
      <c r="AD44" s="25">
        <f>IFERROR(tbl_zawodnicy_średnie[[#This Row],[pts]]*(40/tbl_zawodnicy_średnie[[#This Row],[min]]),0)</f>
        <v>4.9382716049382713</v>
      </c>
      <c r="AE44" s="25">
        <f>IFERROR(tbl_zawodnicy_średnie[[#This Row],[reb total]]*(40/tbl_zawodnicy_średnie[[#This Row],[min]]),0)</f>
        <v>9.8765432098765427</v>
      </c>
      <c r="AF44" s="30">
        <f>IFERROR(tbl_zawodnicy_średnie[[#This Row],[asst]]*(40/tbl_zawodnicy_średnie[[#This Row],[min]]),0)</f>
        <v>1.9753086419753085</v>
      </c>
      <c r="AG44" s="5">
        <f t="shared" si="20"/>
        <v>0.76923076923076927</v>
      </c>
      <c r="AH44" s="5">
        <f>IFERROR((tbl_zawodnicy_średnie[[#This Row],[stl]]+tbl_zawodnicy_średnie[[#This Row],[blk]])*(40/tbl_zawodnicy_średnie[[#This Row],[min]]),0)</f>
        <v>1.9753086419753085</v>
      </c>
      <c r="AI44" s="4">
        <f>IFERROR((SUMIF(tbl_główna_GRACZE[I. Nazwisko],tbl_zawodnicy_średnie[[#This Row],[I. Nazwisko]],tbl_główna_GRACZE[DI]))/tbl_zawodnicy_średnie[[#This Row],[Played]],0)</f>
        <v>9.0277777777777776E-2</v>
      </c>
      <c r="AJ44" s="25">
        <f>tbl_zawodnicy_średnie[[#This Row],[stl]]+tbl_zawodnicy_średnie[[#This Row],[blk]]+(tbl_zawodnicy_średnie[[#This Row],[dreb]]*0.5)</f>
        <v>3.666666666666667</v>
      </c>
      <c r="AK44" s="29">
        <f>IFERROR((tbl_zawodnicy_średnie[[#This Row],[stl]]+tbl_zawodnicy_średnie[[#This Row],[blk]]+0.5*tbl_zawodnicy_średnie[[#This Row],[dreb]])/tbl_zawodnicy_średnie[[#This Row],[min]],0)</f>
        <v>0.13580246913580249</v>
      </c>
      <c r="AL44" s="6">
        <f t="shared" si="21"/>
        <v>5.7666666666666675</v>
      </c>
      <c r="AM44" s="6">
        <f>IFERROR(tbl_zawodnicy_średnie[[#This Row],[GmSc]]*(40/tbl_zawodnicy_średnie[[#This Row],[min]]),0)</f>
        <v>8.5432098765432105</v>
      </c>
      <c r="AN44" s="6">
        <f>IFERROR(tbl_zawodnicy_średnie[[#This Row],[EVAL]]*(40/tbl_zawodnicy_średnie[[#This Row],[min]]),0)</f>
        <v>13.827160493827163</v>
      </c>
      <c r="AO44" s="6">
        <f>tbl_zawodnicy_średnie[[#This Row],[fgm]]-tbl_zawodnicy_średnie[[#This Row],[3pm]]</f>
        <v>1.6666666666666667</v>
      </c>
      <c r="AP44" s="6">
        <f>tbl_zawodnicy_średnie[[#This Row],[fga]]-tbl_zawodnicy_średnie[[#This Row],[3pa]]</f>
        <v>4.333333333333333</v>
      </c>
      <c r="AQ44">
        <v>34</v>
      </c>
      <c r="AR44" s="6" t="str">
        <f>tbl_zawodnicy_średnie[[#This Row],[I. Nazwisko]]&amp;" ["&amp;VLOOKUP(tbl_zawodnicy_średnie[[#This Row],[zespół]],tab_nazwy_zespołów[],2,0)&amp;"]"</f>
        <v>D. Wardak [KON]</v>
      </c>
    </row>
    <row r="45" spans="1:44" ht="14.5" customHeight="1" x14ac:dyDescent="0.35">
      <c r="A45" t="s">
        <v>50</v>
      </c>
      <c r="B45" t="s">
        <v>193</v>
      </c>
      <c r="C45" s="9">
        <f>SUMIF(tbl_główna_GRACZE[I. Nazwisko],tbl_zawodnicy_średnie[[#This Row],[I. Nazwisko]],tbl_główna_GRACZE[Played?])</f>
        <v>3</v>
      </c>
      <c r="D45" s="55">
        <f>IFERROR((SUMIF(tbl_główna_GRACZE[I. Nazwisko],tbl_zawodnicy_średnie[[#This Row],[I. Nazwisko]],tbl_główna_GRACZE[fgm]))/tbl_zawodnicy_średnie[[#This Row],[Played]],0)</f>
        <v>0.33333333333333331</v>
      </c>
      <c r="E45" s="55">
        <f>IFERROR((SUMIF(tbl_główna_GRACZE[I. Nazwisko],tbl_zawodnicy_średnie[[#This Row],[I. Nazwisko]],tbl_główna_GRACZE[fga]))/tbl_zawodnicy_średnie[[#This Row],[Played]],0)</f>
        <v>4.666666666666667</v>
      </c>
      <c r="F45" s="55">
        <f>IFERROR((SUMIF(tbl_główna_GRACZE[I. Nazwisko],tbl_zawodnicy_średnie[[#This Row],[I. Nazwisko]],tbl_główna_GRACZE[3pm]))/tbl_zawodnicy_średnie[[#This Row],[Played]],0)</f>
        <v>0</v>
      </c>
      <c r="G45" s="55">
        <f>IFERROR((SUMIF(tbl_główna_GRACZE[I. Nazwisko],tbl_zawodnicy_średnie[[#This Row],[I. Nazwisko]],tbl_główna_GRACZE[3pa]))/tbl_zawodnicy_średnie[[#This Row],[Played]],0)</f>
        <v>0.66666666666666663</v>
      </c>
      <c r="H45" s="55">
        <f>IFERROR((SUMIF(tbl_główna_GRACZE[I. Nazwisko],tbl_zawodnicy_średnie[[#This Row],[I. Nazwisko]],tbl_główna_GRACZE[ftm]))/tbl_zawodnicy_średnie[[#This Row],[Played]],0)</f>
        <v>0</v>
      </c>
      <c r="I45" s="55">
        <f>IFERROR((SUMIF(tbl_główna_GRACZE[I. Nazwisko],tbl_zawodnicy_średnie[[#This Row],[I. Nazwisko]],tbl_główna_GRACZE[fta]))/tbl_zawodnicy_średnie[[#This Row],[Played]],0)</f>
        <v>0</v>
      </c>
      <c r="J45" s="55">
        <f>IFERROR((SUMIF(tbl_główna_GRACZE[I. Nazwisko],tbl_zawodnicy_średnie[[#This Row],[I. Nazwisko]],tbl_główna_GRACZE[oreb]))/tbl_zawodnicy_średnie[[#This Row],[Played]],0)</f>
        <v>1</v>
      </c>
      <c r="K45" s="55">
        <f>IFERROR((SUMIF(tbl_główna_GRACZE[I. Nazwisko],tbl_zawodnicy_średnie[[#This Row],[I. Nazwisko]],tbl_główna_GRACZE[dreb]))/tbl_zawodnicy_średnie[[#This Row],[Played]],0)</f>
        <v>1.6666666666666667</v>
      </c>
      <c r="L45" s="55">
        <f>IFERROR((SUMIF(tbl_główna_GRACZE[I. Nazwisko],tbl_zawodnicy_średnie[[#This Row],[I. Nazwisko]],tbl_główna_GRACZE[foul]))/tbl_zawodnicy_średnie[[#This Row],[Played]],0)</f>
        <v>0.33333333333333331</v>
      </c>
      <c r="M45" s="55">
        <f>IFERROR((SUMIF(tbl_główna_GRACZE[I. Nazwisko],tbl_zawodnicy_średnie[[#This Row],[I. Nazwisko]],tbl_główna_GRACZE[stl]))/tbl_zawodnicy_średnie[[#This Row],[Played]],0)</f>
        <v>1</v>
      </c>
      <c r="N45" s="55">
        <f>IFERROR((SUMIF(tbl_główna_GRACZE[I. Nazwisko],tbl_zawodnicy_średnie[[#This Row],[I. Nazwisko]],tbl_główna_GRACZE[to]))/tbl_zawodnicy_średnie[[#This Row],[Played]],0)</f>
        <v>0</v>
      </c>
      <c r="O45" s="55">
        <f>IFERROR((SUMIF(tbl_główna_GRACZE[I. Nazwisko],tbl_zawodnicy_średnie[[#This Row],[I. Nazwisko]],tbl_główna_GRACZE[blk]))/tbl_zawodnicy_średnie[[#This Row],[Played]],0)</f>
        <v>0</v>
      </c>
      <c r="P45" s="55">
        <f>IFERROR((SUMIF(tbl_główna_GRACZE[I. Nazwisko],tbl_zawodnicy_średnie[[#This Row],[I. Nazwisko]],tbl_główna_GRACZE[asst]))/tbl_zawodnicy_średnie[[#This Row],[Played]],0)</f>
        <v>1.3333333333333333</v>
      </c>
      <c r="Q45" s="55">
        <f>IFERROR((SUMIF(tbl_główna_GRACZE[I. Nazwisko],tbl_zawodnicy_średnie[[#This Row],[I. Nazwisko]],tbl_główna_GRACZE[min]))/tbl_zawodnicy_średnie[[#This Row],[Played]],0)</f>
        <v>18.333333333333332</v>
      </c>
      <c r="R45" s="55">
        <f>IFERROR((SUMIF(tbl_główna_GRACZE[I. Nazwisko],tbl_zawodnicy_średnie[[#This Row],[I. Nazwisko]],tbl_główna_GRACZE[pts]))/tbl_zawodnicy_średnie[[#This Row],[Played]],0)</f>
        <v>0.66666666666666663</v>
      </c>
      <c r="S45" s="6">
        <f t="shared" si="11"/>
        <v>2.666666666666667</v>
      </c>
      <c r="T45" s="4">
        <f t="shared" si="12"/>
        <v>7.1428571428571425E-2</v>
      </c>
      <c r="U45" s="4">
        <f t="shared" si="13"/>
        <v>0</v>
      </c>
      <c r="V45" s="4">
        <f t="shared" si="14"/>
        <v>0</v>
      </c>
      <c r="W45" s="4">
        <f>IFERROR(tbl_zawodnicy_średnie[[#This Row],[2pm]]/tbl_zawodnicy_średnie[[#This Row],[2pa]],0)</f>
        <v>8.3333333333333329E-2</v>
      </c>
      <c r="X45" s="4">
        <f t="shared" si="15"/>
        <v>7.1428571428571425E-2</v>
      </c>
      <c r="Y45" s="4">
        <f t="shared" si="16"/>
        <v>7.1428571428571425E-2</v>
      </c>
      <c r="Z45" s="6">
        <f t="shared" si="17"/>
        <v>1.3333333333333321</v>
      </c>
      <c r="AA45" s="4">
        <f t="shared" si="18"/>
        <v>0</v>
      </c>
      <c r="AB45" s="4">
        <f t="shared" si="19"/>
        <v>0.14285714285714285</v>
      </c>
      <c r="AC45" s="26">
        <f>IFERROR((SUMIF(tbl_główna_GRACZE[I. Nazwisko],tbl_zawodnicy_średnie[[#This Row],[I. Nazwisko]],tbl_główna_GRACZE[USG%]))/tbl_zawodnicy_średnie[[#This Row],[Played]],0)</f>
        <v>6.7803575460614954E-2</v>
      </c>
      <c r="AD45" s="25">
        <f>IFERROR(tbl_zawodnicy_średnie[[#This Row],[pts]]*(40/tbl_zawodnicy_średnie[[#This Row],[min]]),0)</f>
        <v>1.4545454545454546</v>
      </c>
      <c r="AE45" s="25">
        <f>IFERROR(tbl_zawodnicy_średnie[[#This Row],[reb total]]*(40/tbl_zawodnicy_średnie[[#This Row],[min]]),0)</f>
        <v>5.8181818181818192</v>
      </c>
      <c r="AF45" s="30">
        <f>IFERROR(tbl_zawodnicy_średnie[[#This Row],[asst]]*(40/tbl_zawodnicy_średnie[[#This Row],[min]]),0)</f>
        <v>2.9090909090909092</v>
      </c>
      <c r="AG45" s="5">
        <f t="shared" si="20"/>
        <v>0.14285714285714285</v>
      </c>
      <c r="AH45" s="5">
        <f>IFERROR((tbl_zawodnicy_średnie[[#This Row],[stl]]+tbl_zawodnicy_średnie[[#This Row],[blk]])*(40/tbl_zawodnicy_średnie[[#This Row],[min]]),0)</f>
        <v>2.1818181818181821</v>
      </c>
      <c r="AI45" s="4">
        <f>IFERROR((SUMIF(tbl_główna_GRACZE[I. Nazwisko],tbl_zawodnicy_średnie[[#This Row],[I. Nazwisko]],tbl_główna_GRACZE[DI]))/tbl_zawodnicy_średnie[[#This Row],[Played]],0)</f>
        <v>6.9444444444444434E-2</v>
      </c>
      <c r="AJ45" s="25">
        <f>tbl_zawodnicy_średnie[[#This Row],[stl]]+tbl_zawodnicy_średnie[[#This Row],[blk]]+(tbl_zawodnicy_średnie[[#This Row],[dreb]]*0.5)</f>
        <v>1.8333333333333335</v>
      </c>
      <c r="AK45" s="29">
        <f>IFERROR((tbl_zawodnicy_średnie[[#This Row],[stl]]+tbl_zawodnicy_średnie[[#This Row],[blk]]+0.5*tbl_zawodnicy_średnie[[#This Row],[dreb]])/tbl_zawodnicy_średnie[[#This Row],[min]],0)</f>
        <v>0.10000000000000002</v>
      </c>
      <c r="AL45" s="6">
        <f t="shared" si="21"/>
        <v>0.66666666666666641</v>
      </c>
      <c r="AM45" s="6">
        <f>IFERROR(tbl_zawodnicy_średnie[[#This Row],[GmSc]]*(40/tbl_zawodnicy_średnie[[#This Row],[min]]),0)</f>
        <v>1.4545454545454541</v>
      </c>
      <c r="AN45" s="6">
        <f>IFERROR(tbl_zawodnicy_średnie[[#This Row],[EVAL]]*(40/tbl_zawodnicy_średnie[[#This Row],[min]]),0)</f>
        <v>2.909090909090907</v>
      </c>
      <c r="AO45" s="6">
        <f>tbl_zawodnicy_średnie[[#This Row],[fgm]]-tbl_zawodnicy_średnie[[#This Row],[3pm]]</f>
        <v>0.33333333333333331</v>
      </c>
      <c r="AP45" s="6">
        <f>tbl_zawodnicy_średnie[[#This Row],[fga]]-tbl_zawodnicy_średnie[[#This Row],[3pa]]</f>
        <v>4</v>
      </c>
      <c r="AQ45">
        <v>35</v>
      </c>
      <c r="AR45" s="6" t="str">
        <f>tbl_zawodnicy_średnie[[#This Row],[I. Nazwisko]]&amp;" ["&amp;VLOOKUP(tbl_zawodnicy_średnie[[#This Row],[zespół]],tab_nazwy_zespołów[],2,0)&amp;"]"</f>
        <v>A. Godlewski [KON]</v>
      </c>
    </row>
    <row r="46" spans="1:44" ht="14.5" customHeight="1" x14ac:dyDescent="0.35">
      <c r="A46" t="s">
        <v>50</v>
      </c>
      <c r="B46" t="s">
        <v>194</v>
      </c>
      <c r="C46" s="9">
        <f>SUMIF(tbl_główna_GRACZE[I. Nazwisko],tbl_zawodnicy_średnie[[#This Row],[I. Nazwisko]],tbl_główna_GRACZE[Played?])</f>
        <v>3</v>
      </c>
      <c r="D46" s="55">
        <f>IFERROR((SUMIF(tbl_główna_GRACZE[I. Nazwisko],tbl_zawodnicy_średnie[[#This Row],[I. Nazwisko]],tbl_główna_GRACZE[fgm]))/tbl_zawodnicy_średnie[[#This Row],[Played]],0)</f>
        <v>1</v>
      </c>
      <c r="E46" s="55">
        <f>IFERROR((SUMIF(tbl_główna_GRACZE[I. Nazwisko],tbl_zawodnicy_średnie[[#This Row],[I. Nazwisko]],tbl_główna_GRACZE[fga]))/tbl_zawodnicy_średnie[[#This Row],[Played]],0)</f>
        <v>4.666666666666667</v>
      </c>
      <c r="F46" s="55">
        <f>IFERROR((SUMIF(tbl_główna_GRACZE[I. Nazwisko],tbl_zawodnicy_średnie[[#This Row],[I. Nazwisko]],tbl_główna_GRACZE[3pm]))/tbl_zawodnicy_średnie[[#This Row],[Played]],0)</f>
        <v>0</v>
      </c>
      <c r="G46" s="55">
        <f>IFERROR((SUMIF(tbl_główna_GRACZE[I. Nazwisko],tbl_zawodnicy_średnie[[#This Row],[I. Nazwisko]],tbl_główna_GRACZE[3pa]))/tbl_zawodnicy_średnie[[#This Row],[Played]],0)</f>
        <v>0.66666666666666663</v>
      </c>
      <c r="H46" s="55">
        <f>IFERROR((SUMIF(tbl_główna_GRACZE[I. Nazwisko],tbl_zawodnicy_średnie[[#This Row],[I. Nazwisko]],tbl_główna_GRACZE[ftm]))/tbl_zawodnicy_średnie[[#This Row],[Played]],0)</f>
        <v>0.33333333333333331</v>
      </c>
      <c r="I46" s="55">
        <f>IFERROR((SUMIF(tbl_główna_GRACZE[I. Nazwisko],tbl_zawodnicy_średnie[[#This Row],[I. Nazwisko]],tbl_główna_GRACZE[fta]))/tbl_zawodnicy_średnie[[#This Row],[Played]],0)</f>
        <v>1.3333333333333333</v>
      </c>
      <c r="J46" s="55">
        <f>IFERROR((SUMIF(tbl_główna_GRACZE[I. Nazwisko],tbl_zawodnicy_średnie[[#This Row],[I. Nazwisko]],tbl_główna_GRACZE[oreb]))/tbl_zawodnicy_średnie[[#This Row],[Played]],0)</f>
        <v>1</v>
      </c>
      <c r="K46" s="55">
        <f>IFERROR((SUMIF(tbl_główna_GRACZE[I. Nazwisko],tbl_zawodnicy_średnie[[#This Row],[I. Nazwisko]],tbl_główna_GRACZE[dreb]))/tbl_zawodnicy_średnie[[#This Row],[Played]],0)</f>
        <v>1.3333333333333333</v>
      </c>
      <c r="L46" s="55">
        <f>IFERROR((SUMIF(tbl_główna_GRACZE[I. Nazwisko],tbl_zawodnicy_średnie[[#This Row],[I. Nazwisko]],tbl_główna_GRACZE[foul]))/tbl_zawodnicy_średnie[[#This Row],[Played]],0)</f>
        <v>0.33333333333333331</v>
      </c>
      <c r="M46" s="55">
        <f>IFERROR((SUMIF(tbl_główna_GRACZE[I. Nazwisko],tbl_zawodnicy_średnie[[#This Row],[I. Nazwisko]],tbl_główna_GRACZE[stl]))/tbl_zawodnicy_średnie[[#This Row],[Played]],0)</f>
        <v>1</v>
      </c>
      <c r="N46" s="55">
        <f>IFERROR((SUMIF(tbl_główna_GRACZE[I. Nazwisko],tbl_zawodnicy_średnie[[#This Row],[I. Nazwisko]],tbl_główna_GRACZE[to]))/tbl_zawodnicy_średnie[[#This Row],[Played]],0)</f>
        <v>0</v>
      </c>
      <c r="O46" s="55">
        <f>IFERROR((SUMIF(tbl_główna_GRACZE[I. Nazwisko],tbl_zawodnicy_średnie[[#This Row],[I. Nazwisko]],tbl_główna_GRACZE[blk]))/tbl_zawodnicy_średnie[[#This Row],[Played]],0)</f>
        <v>0</v>
      </c>
      <c r="P46" s="55">
        <f>IFERROR((SUMIF(tbl_główna_GRACZE[I. Nazwisko],tbl_zawodnicy_średnie[[#This Row],[I. Nazwisko]],tbl_główna_GRACZE[asst]))/tbl_zawodnicy_średnie[[#This Row],[Played]],0)</f>
        <v>1</v>
      </c>
      <c r="Q46" s="55">
        <f>IFERROR((SUMIF(tbl_główna_GRACZE[I. Nazwisko],tbl_zawodnicy_średnie[[#This Row],[I. Nazwisko]],tbl_główna_GRACZE[min]))/tbl_zawodnicy_średnie[[#This Row],[Played]],0)</f>
        <v>18.333333333333332</v>
      </c>
      <c r="R46" s="55">
        <f>IFERROR((SUMIF(tbl_główna_GRACZE[I. Nazwisko],tbl_zawodnicy_średnie[[#This Row],[I. Nazwisko]],tbl_główna_GRACZE[pts]))/tbl_zawodnicy_średnie[[#This Row],[Played]],0)</f>
        <v>2.3333333333333335</v>
      </c>
      <c r="S46" s="6">
        <f t="shared" si="11"/>
        <v>2.333333333333333</v>
      </c>
      <c r="T46" s="4">
        <f t="shared" si="12"/>
        <v>0.21428571428571427</v>
      </c>
      <c r="U46" s="4">
        <f t="shared" si="13"/>
        <v>0</v>
      </c>
      <c r="V46" s="4">
        <f t="shared" si="14"/>
        <v>0.25</v>
      </c>
      <c r="W46" s="4">
        <f>IFERROR(tbl_zawodnicy_średnie[[#This Row],[2pm]]/tbl_zawodnicy_średnie[[#This Row],[2pa]],0)</f>
        <v>0.25</v>
      </c>
      <c r="X46" s="4">
        <f t="shared" si="15"/>
        <v>0.22208121827411167</v>
      </c>
      <c r="Y46" s="4">
        <f t="shared" si="16"/>
        <v>0.21428571428571427</v>
      </c>
      <c r="Z46" s="6">
        <f t="shared" si="17"/>
        <v>2</v>
      </c>
      <c r="AA46" s="4">
        <f t="shared" si="18"/>
        <v>0.2857142857142857</v>
      </c>
      <c r="AB46" s="4">
        <f t="shared" si="19"/>
        <v>0.14285714285714285</v>
      </c>
      <c r="AC46" s="26">
        <f>IFERROR((SUMIF(tbl_główna_GRACZE[I. Nazwisko],tbl_zawodnicy_średnie[[#This Row],[I. Nazwisko]],tbl_główna_GRACZE[USG%]))/tbl_zawodnicy_średnie[[#This Row],[Played]],0)</f>
        <v>7.7594231031321667E-2</v>
      </c>
      <c r="AD46" s="25">
        <f>IFERROR(tbl_zawodnicy_średnie[[#This Row],[pts]]*(40/tbl_zawodnicy_średnie[[#This Row],[min]]),0)</f>
        <v>5.0909090909090917</v>
      </c>
      <c r="AE46" s="25">
        <f>IFERROR(tbl_zawodnicy_średnie[[#This Row],[reb total]]*(40/tbl_zawodnicy_średnie[[#This Row],[min]]),0)</f>
        <v>5.0909090909090908</v>
      </c>
      <c r="AF46" s="30">
        <f>IFERROR(tbl_zawodnicy_średnie[[#This Row],[asst]]*(40/tbl_zawodnicy_średnie[[#This Row],[min]]),0)</f>
        <v>2.1818181818181821</v>
      </c>
      <c r="AG46" s="5">
        <f t="shared" si="20"/>
        <v>0.5</v>
      </c>
      <c r="AH46" s="5">
        <f>IFERROR((tbl_zawodnicy_średnie[[#This Row],[stl]]+tbl_zawodnicy_średnie[[#This Row],[blk]])*(40/tbl_zawodnicy_średnie[[#This Row],[min]]),0)</f>
        <v>2.1818181818181821</v>
      </c>
      <c r="AI46" s="4">
        <f>IFERROR((SUMIF(tbl_główna_GRACZE[I. Nazwisko],tbl_zawodnicy_średnie[[#This Row],[I. Nazwisko]],tbl_główna_GRACZE[DI]))/tbl_zawodnicy_średnie[[#This Row],[Played]],0)</f>
        <v>8.7500000000000008E-2</v>
      </c>
      <c r="AJ46" s="25">
        <f>tbl_zawodnicy_średnie[[#This Row],[stl]]+tbl_zawodnicy_średnie[[#This Row],[blk]]+(tbl_zawodnicy_średnie[[#This Row],[dreb]]*0.5)</f>
        <v>1.6666666666666665</v>
      </c>
      <c r="AK46" s="29">
        <f>IFERROR((tbl_zawodnicy_średnie[[#This Row],[stl]]+tbl_zawodnicy_średnie[[#This Row],[blk]]+0.5*tbl_zawodnicy_średnie[[#This Row],[dreb]])/tbl_zawodnicy_średnie[[#This Row],[min]],0)</f>
        <v>9.0909090909090912E-2</v>
      </c>
      <c r="AL46" s="6">
        <f t="shared" si="21"/>
        <v>1.8666666666666667</v>
      </c>
      <c r="AM46" s="6">
        <f>IFERROR(tbl_zawodnicy_średnie[[#This Row],[GmSc]]*(40/tbl_zawodnicy_średnie[[#This Row],[min]]),0)</f>
        <v>4.0727272727272732</v>
      </c>
      <c r="AN46" s="6">
        <f>IFERROR(tbl_zawodnicy_średnie[[#This Row],[EVAL]]*(40/tbl_zawodnicy_średnie[[#This Row],[min]]),0)</f>
        <v>4.3636363636363642</v>
      </c>
      <c r="AO46" s="6">
        <f>tbl_zawodnicy_średnie[[#This Row],[fgm]]-tbl_zawodnicy_średnie[[#This Row],[3pm]]</f>
        <v>1</v>
      </c>
      <c r="AP46" s="6">
        <f>tbl_zawodnicy_średnie[[#This Row],[fga]]-tbl_zawodnicy_średnie[[#This Row],[3pa]]</f>
        <v>4</v>
      </c>
      <c r="AQ46">
        <v>36</v>
      </c>
      <c r="AR46" s="6" t="str">
        <f>tbl_zawodnicy_średnie[[#This Row],[I. Nazwisko]]&amp;" ["&amp;VLOOKUP(tbl_zawodnicy_średnie[[#This Row],[zespół]],tab_nazwy_zespołów[],2,0)&amp;"]"</f>
        <v>P. Makieła [KON]</v>
      </c>
    </row>
    <row r="47" spans="1:44" ht="14.5" customHeight="1" x14ac:dyDescent="0.35">
      <c r="A47" t="s">
        <v>52</v>
      </c>
      <c r="B47" t="s">
        <v>355</v>
      </c>
      <c r="C47" s="9">
        <f>SUMIF(tbl_główna_GRACZE[I. Nazwisko],tbl_zawodnicy_średnie[[#This Row],[I. Nazwisko]],tbl_główna_GRACZE[Played?])</f>
        <v>4</v>
      </c>
      <c r="D47" s="55">
        <f>IFERROR((SUMIF(tbl_główna_GRACZE[I. Nazwisko],tbl_zawodnicy_średnie[[#This Row],[I. Nazwisko]],tbl_główna_GRACZE[fgm]))/tbl_zawodnicy_średnie[[#This Row],[Played]],0)</f>
        <v>7.25</v>
      </c>
      <c r="E47" s="55">
        <f>IFERROR((SUMIF(tbl_główna_GRACZE[I. Nazwisko],tbl_zawodnicy_średnie[[#This Row],[I. Nazwisko]],tbl_główna_GRACZE[fga]))/tbl_zawodnicy_średnie[[#This Row],[Played]],0)</f>
        <v>16</v>
      </c>
      <c r="F47" s="55">
        <f>IFERROR((SUMIF(tbl_główna_GRACZE[I. Nazwisko],tbl_zawodnicy_średnie[[#This Row],[I. Nazwisko]],tbl_główna_GRACZE[3pm]))/tbl_zawodnicy_średnie[[#This Row],[Played]],0)</f>
        <v>1.5</v>
      </c>
      <c r="G47" s="55">
        <f>IFERROR((SUMIF(tbl_główna_GRACZE[I. Nazwisko],tbl_zawodnicy_średnie[[#This Row],[I. Nazwisko]],tbl_główna_GRACZE[3pa]))/tbl_zawodnicy_średnie[[#This Row],[Played]],0)</f>
        <v>4</v>
      </c>
      <c r="H47" s="55">
        <f>IFERROR((SUMIF(tbl_główna_GRACZE[I. Nazwisko],tbl_zawodnicy_średnie[[#This Row],[I. Nazwisko]],tbl_główna_GRACZE[ftm]))/tbl_zawodnicy_średnie[[#This Row],[Played]],0)</f>
        <v>1.25</v>
      </c>
      <c r="I47" s="55">
        <f>IFERROR((SUMIF(tbl_główna_GRACZE[I. Nazwisko],tbl_zawodnicy_średnie[[#This Row],[I. Nazwisko]],tbl_główna_GRACZE[fta]))/tbl_zawodnicy_średnie[[#This Row],[Played]],0)</f>
        <v>1.75</v>
      </c>
      <c r="J47" s="55">
        <f>IFERROR((SUMIF(tbl_główna_GRACZE[I. Nazwisko],tbl_zawodnicy_średnie[[#This Row],[I. Nazwisko]],tbl_główna_GRACZE[oreb]))/tbl_zawodnicy_średnie[[#This Row],[Played]],0)</f>
        <v>2.25</v>
      </c>
      <c r="K47" s="55">
        <f>IFERROR((SUMIF(tbl_główna_GRACZE[I. Nazwisko],tbl_zawodnicy_średnie[[#This Row],[I. Nazwisko]],tbl_główna_GRACZE[dreb]))/tbl_zawodnicy_średnie[[#This Row],[Played]],0)</f>
        <v>7</v>
      </c>
      <c r="L47" s="55">
        <f>IFERROR((SUMIF(tbl_główna_GRACZE[I. Nazwisko],tbl_zawodnicy_średnie[[#This Row],[I. Nazwisko]],tbl_główna_GRACZE[foul]))/tbl_zawodnicy_średnie[[#This Row],[Played]],0)</f>
        <v>1.5</v>
      </c>
      <c r="M47" s="55">
        <f>IFERROR((SUMIF(tbl_główna_GRACZE[I. Nazwisko],tbl_zawodnicy_średnie[[#This Row],[I. Nazwisko]],tbl_główna_GRACZE[stl]))/tbl_zawodnicy_średnie[[#This Row],[Played]],0)</f>
        <v>4.5</v>
      </c>
      <c r="N47" s="55">
        <f>IFERROR((SUMIF(tbl_główna_GRACZE[I. Nazwisko],tbl_zawodnicy_średnie[[#This Row],[I. Nazwisko]],tbl_główna_GRACZE[to]))/tbl_zawodnicy_średnie[[#This Row],[Played]],0)</f>
        <v>0</v>
      </c>
      <c r="O47" s="55">
        <f>IFERROR((SUMIF(tbl_główna_GRACZE[I. Nazwisko],tbl_zawodnicy_średnie[[#This Row],[I. Nazwisko]],tbl_główna_GRACZE[blk]))/tbl_zawodnicy_średnie[[#This Row],[Played]],0)</f>
        <v>0.75</v>
      </c>
      <c r="P47" s="55">
        <f>IFERROR((SUMIF(tbl_główna_GRACZE[I. Nazwisko],tbl_zawodnicy_średnie[[#This Row],[I. Nazwisko]],tbl_główna_GRACZE[asst]))/tbl_zawodnicy_średnie[[#This Row],[Played]],0)</f>
        <v>2.75</v>
      </c>
      <c r="Q47" s="55">
        <f>IFERROR((SUMIF(tbl_główna_GRACZE[I. Nazwisko],tbl_zawodnicy_średnie[[#This Row],[I. Nazwisko]],tbl_główna_GRACZE[min]))/tbl_zawodnicy_średnie[[#This Row],[Played]],0)</f>
        <v>35.5</v>
      </c>
      <c r="R47" s="55">
        <f>IFERROR((SUMIF(tbl_główna_GRACZE[I. Nazwisko],tbl_zawodnicy_średnie[[#This Row],[I. Nazwisko]],tbl_główna_GRACZE[pts]))/tbl_zawodnicy_średnie[[#This Row],[Played]],0)</f>
        <v>17.25</v>
      </c>
      <c r="S47" s="6">
        <f t="shared" si="11"/>
        <v>9.25</v>
      </c>
      <c r="T47" s="4">
        <f t="shared" si="12"/>
        <v>0.453125</v>
      </c>
      <c r="U47" s="4">
        <f t="shared" si="13"/>
        <v>0.375</v>
      </c>
      <c r="V47" s="4">
        <f t="shared" si="14"/>
        <v>0.7142857142857143</v>
      </c>
      <c r="W47" s="4">
        <f>IFERROR(tbl_zawodnicy_średnie[[#This Row],[2pm]]/tbl_zawodnicy_średnie[[#This Row],[2pa]],0)</f>
        <v>0.47916666666666669</v>
      </c>
      <c r="X47" s="4">
        <f t="shared" si="15"/>
        <v>0.5143112701252236</v>
      </c>
      <c r="Y47" s="4">
        <f t="shared" si="16"/>
        <v>0.5</v>
      </c>
      <c r="Z47" s="6">
        <f t="shared" si="17"/>
        <v>25.25</v>
      </c>
      <c r="AA47" s="4">
        <f t="shared" si="18"/>
        <v>0.109375</v>
      </c>
      <c r="AB47" s="4">
        <f t="shared" si="19"/>
        <v>0.25</v>
      </c>
      <c r="AC47" s="26">
        <f>IFERROR((SUMIF(tbl_główna_GRACZE[I. Nazwisko],tbl_zawodnicy_średnie[[#This Row],[I. Nazwisko]],tbl_główna_GRACZE[USG%]))/tbl_zawodnicy_średnie[[#This Row],[Played]],0)</f>
        <v>0.2220606504951726</v>
      </c>
      <c r="AD47" s="25">
        <f>IFERROR(tbl_zawodnicy_średnie[[#This Row],[pts]]*(40/tbl_zawodnicy_średnie[[#This Row],[min]]),0)</f>
        <v>19.43661971830986</v>
      </c>
      <c r="AE47" s="25">
        <f>IFERROR(tbl_zawodnicy_średnie[[#This Row],[reb total]]*(40/tbl_zawodnicy_średnie[[#This Row],[min]]),0)</f>
        <v>10.422535211267606</v>
      </c>
      <c r="AF47" s="30">
        <f>IFERROR(tbl_zawodnicy_średnie[[#This Row],[asst]]*(40/tbl_zawodnicy_średnie[[#This Row],[min]]),0)</f>
        <v>3.098591549295775</v>
      </c>
      <c r="AG47" s="5">
        <f t="shared" si="20"/>
        <v>1.078125</v>
      </c>
      <c r="AH47" s="5">
        <f>IFERROR((tbl_zawodnicy_średnie[[#This Row],[stl]]+tbl_zawodnicy_średnie[[#This Row],[blk]])*(40/tbl_zawodnicy_średnie[[#This Row],[min]]),0)</f>
        <v>5.915492957746479</v>
      </c>
      <c r="AI47" s="4">
        <f>IFERROR((SUMIF(tbl_główna_GRACZE[I. Nazwisko],tbl_zawodnicy_średnie[[#This Row],[I. Nazwisko]],tbl_główna_GRACZE[DI]))/tbl_zawodnicy_średnie[[#This Row],[Played]],0)</f>
        <v>0.33261183261183258</v>
      </c>
      <c r="AJ47" s="25">
        <f>tbl_zawodnicy_średnie[[#This Row],[stl]]+tbl_zawodnicy_średnie[[#This Row],[blk]]+(tbl_zawodnicy_średnie[[#This Row],[dreb]]*0.5)</f>
        <v>8.75</v>
      </c>
      <c r="AK47" s="29">
        <f>IFERROR((tbl_zawodnicy_średnie[[#This Row],[stl]]+tbl_zawodnicy_średnie[[#This Row],[blk]]+0.5*tbl_zawodnicy_średnie[[#This Row],[dreb]])/tbl_zawodnicy_średnie[[#This Row],[min]],0)</f>
        <v>0.24647887323943662</v>
      </c>
      <c r="AL47" s="6">
        <f t="shared" si="21"/>
        <v>19.374999999999996</v>
      </c>
      <c r="AM47" s="6">
        <f>IFERROR(tbl_zawodnicy_średnie[[#This Row],[GmSc]]*(40/tbl_zawodnicy_średnie[[#This Row],[min]]),0)</f>
        <v>21.830985915492956</v>
      </c>
      <c r="AN47" s="6">
        <f>IFERROR(tbl_zawodnicy_średnie[[#This Row],[EVAL]]*(40/tbl_zawodnicy_średnie[[#This Row],[min]]),0)</f>
        <v>28.450704225352116</v>
      </c>
      <c r="AO47" s="6">
        <f>tbl_zawodnicy_średnie[[#This Row],[fgm]]-tbl_zawodnicy_średnie[[#This Row],[3pm]]</f>
        <v>5.75</v>
      </c>
      <c r="AP47" s="6">
        <f>tbl_zawodnicy_średnie[[#This Row],[fga]]-tbl_zawodnicy_średnie[[#This Row],[3pa]]</f>
        <v>12</v>
      </c>
      <c r="AQ47">
        <v>37</v>
      </c>
      <c r="AR47" s="6" t="str">
        <f>tbl_zawodnicy_średnie[[#This Row],[I. Nazwisko]]&amp;" ["&amp;VLOOKUP(tbl_zawodnicy_średnie[[#This Row],[zespół]],tab_nazwy_zespołów[],2,0)&amp;"]"</f>
        <v>C. Mavity [WIL]</v>
      </c>
    </row>
    <row r="48" spans="1:44" ht="14.5" customHeight="1" x14ac:dyDescent="0.35">
      <c r="A48" t="s">
        <v>52</v>
      </c>
      <c r="B48" t="s">
        <v>195</v>
      </c>
      <c r="C48" s="9">
        <f>SUMIF(tbl_główna_GRACZE[I. Nazwisko],tbl_zawodnicy_średnie[[#This Row],[I. Nazwisko]],tbl_główna_GRACZE[Played?])</f>
        <v>3</v>
      </c>
      <c r="D48" s="55">
        <f>IFERROR((SUMIF(tbl_główna_GRACZE[I. Nazwisko],tbl_zawodnicy_średnie[[#This Row],[I. Nazwisko]],tbl_główna_GRACZE[fgm]))/tbl_zawodnicy_średnie[[#This Row],[Played]],0)</f>
        <v>2.6666666666666665</v>
      </c>
      <c r="E48" s="55">
        <f>IFERROR((SUMIF(tbl_główna_GRACZE[I. Nazwisko],tbl_zawodnicy_średnie[[#This Row],[I. Nazwisko]],tbl_główna_GRACZE[fga]))/tbl_zawodnicy_średnie[[#This Row],[Played]],0)</f>
        <v>5.666666666666667</v>
      </c>
      <c r="F48" s="55">
        <f>IFERROR((SUMIF(tbl_główna_GRACZE[I. Nazwisko],tbl_zawodnicy_średnie[[#This Row],[I. Nazwisko]],tbl_główna_GRACZE[3pm]))/tbl_zawodnicy_średnie[[#This Row],[Played]],0)</f>
        <v>0</v>
      </c>
      <c r="G48" s="55">
        <f>IFERROR((SUMIF(tbl_główna_GRACZE[I. Nazwisko],tbl_zawodnicy_średnie[[#This Row],[I. Nazwisko]],tbl_główna_GRACZE[3pa]))/tbl_zawodnicy_średnie[[#This Row],[Played]],0)</f>
        <v>0</v>
      </c>
      <c r="H48" s="55">
        <f>IFERROR((SUMIF(tbl_główna_GRACZE[I. Nazwisko],tbl_zawodnicy_średnie[[#This Row],[I. Nazwisko]],tbl_główna_GRACZE[ftm]))/tbl_zawodnicy_średnie[[#This Row],[Played]],0)</f>
        <v>1</v>
      </c>
      <c r="I48" s="55">
        <f>IFERROR((SUMIF(tbl_główna_GRACZE[I. Nazwisko],tbl_zawodnicy_średnie[[#This Row],[I. Nazwisko]],tbl_główna_GRACZE[fta]))/tbl_zawodnicy_średnie[[#This Row],[Played]],0)</f>
        <v>2</v>
      </c>
      <c r="J48" s="55">
        <f>IFERROR((SUMIF(tbl_główna_GRACZE[I. Nazwisko],tbl_zawodnicy_średnie[[#This Row],[I. Nazwisko]],tbl_główna_GRACZE[oreb]))/tbl_zawodnicy_średnie[[#This Row],[Played]],0)</f>
        <v>2.6666666666666665</v>
      </c>
      <c r="K48" s="55">
        <f>IFERROR((SUMIF(tbl_główna_GRACZE[I. Nazwisko],tbl_zawodnicy_średnie[[#This Row],[I. Nazwisko]],tbl_główna_GRACZE[dreb]))/tbl_zawodnicy_średnie[[#This Row],[Played]],0)</f>
        <v>6</v>
      </c>
      <c r="L48" s="55">
        <f>IFERROR((SUMIF(tbl_główna_GRACZE[I. Nazwisko],tbl_zawodnicy_średnie[[#This Row],[I. Nazwisko]],tbl_główna_GRACZE[foul]))/tbl_zawodnicy_średnie[[#This Row],[Played]],0)</f>
        <v>4.333333333333333</v>
      </c>
      <c r="M48" s="55">
        <f>IFERROR((SUMIF(tbl_główna_GRACZE[I. Nazwisko],tbl_zawodnicy_średnie[[#This Row],[I. Nazwisko]],tbl_główna_GRACZE[stl]))/tbl_zawodnicy_średnie[[#This Row],[Played]],0)</f>
        <v>3.6666666666666665</v>
      </c>
      <c r="N48" s="55">
        <f>IFERROR((SUMIF(tbl_główna_GRACZE[I. Nazwisko],tbl_zawodnicy_średnie[[#This Row],[I. Nazwisko]],tbl_główna_GRACZE[to]))/tbl_zawodnicy_średnie[[#This Row],[Played]],0)</f>
        <v>0</v>
      </c>
      <c r="O48" s="55">
        <f>IFERROR((SUMIF(tbl_główna_GRACZE[I. Nazwisko],tbl_zawodnicy_średnie[[#This Row],[I. Nazwisko]],tbl_główna_GRACZE[blk]))/tbl_zawodnicy_średnie[[#This Row],[Played]],0)</f>
        <v>1</v>
      </c>
      <c r="P48" s="55">
        <f>IFERROR((SUMIF(tbl_główna_GRACZE[I. Nazwisko],tbl_zawodnicy_średnie[[#This Row],[I. Nazwisko]],tbl_główna_GRACZE[asst]))/tbl_zawodnicy_średnie[[#This Row],[Played]],0)</f>
        <v>0.66666666666666663</v>
      </c>
      <c r="Q48" s="55">
        <f>IFERROR((SUMIF(tbl_główna_GRACZE[I. Nazwisko],tbl_zawodnicy_średnie[[#This Row],[I. Nazwisko]],tbl_główna_GRACZE[min]))/tbl_zawodnicy_średnie[[#This Row],[Played]],0)</f>
        <v>19.333333333333332</v>
      </c>
      <c r="R48" s="55">
        <f>IFERROR((SUMIF(tbl_główna_GRACZE[I. Nazwisko],tbl_zawodnicy_średnie[[#This Row],[I. Nazwisko]],tbl_główna_GRACZE[pts]))/tbl_zawodnicy_średnie[[#This Row],[Played]],0)</f>
        <v>6.333333333333333</v>
      </c>
      <c r="S48" s="6">
        <f t="shared" si="11"/>
        <v>8.6666666666666661</v>
      </c>
      <c r="T48" s="4">
        <f t="shared" si="12"/>
        <v>0.47058823529411759</v>
      </c>
      <c r="U48" s="4">
        <f t="shared" si="13"/>
        <v>0</v>
      </c>
      <c r="V48" s="4">
        <f t="shared" si="14"/>
        <v>0.5</v>
      </c>
      <c r="W48" s="4">
        <f>IFERROR(tbl_zawodnicy_średnie[[#This Row],[2pm]]/tbl_zawodnicy_średnie[[#This Row],[2pa]],0)</f>
        <v>0.47058823529411759</v>
      </c>
      <c r="X48" s="4">
        <f t="shared" si="15"/>
        <v>0.4837067209775967</v>
      </c>
      <c r="Y48" s="4">
        <f t="shared" si="16"/>
        <v>0.47058823529411759</v>
      </c>
      <c r="Z48" s="6">
        <f t="shared" si="17"/>
        <v>16.333333333333332</v>
      </c>
      <c r="AA48" s="4">
        <f t="shared" si="18"/>
        <v>0.3529411764705882</v>
      </c>
      <c r="AB48" s="4">
        <f t="shared" si="19"/>
        <v>0</v>
      </c>
      <c r="AC48" s="26">
        <f>IFERROR((SUMIF(tbl_główna_GRACZE[I. Nazwisko],tbl_zawodnicy_średnie[[#This Row],[I. Nazwisko]],tbl_główna_GRACZE[USG%]))/tbl_zawodnicy_średnie[[#This Row],[Played]],0)</f>
        <v>9.1335114485536495E-2</v>
      </c>
      <c r="AD48" s="25">
        <f>IFERROR(tbl_zawodnicy_średnie[[#This Row],[pts]]*(40/tbl_zawodnicy_średnie[[#This Row],[min]]),0)</f>
        <v>13.103448275862069</v>
      </c>
      <c r="AE48" s="25">
        <f>IFERROR(tbl_zawodnicy_średnie[[#This Row],[reb total]]*(40/tbl_zawodnicy_średnie[[#This Row],[min]]),0)</f>
        <v>17.931034482758619</v>
      </c>
      <c r="AF48" s="30">
        <f>IFERROR(tbl_zawodnicy_średnie[[#This Row],[asst]]*(40/tbl_zawodnicy_średnie[[#This Row],[min]]),0)</f>
        <v>1.3793103448275863</v>
      </c>
      <c r="AG48" s="5">
        <f t="shared" si="20"/>
        <v>1.1176470588235292</v>
      </c>
      <c r="AH48" s="5">
        <f>IFERROR((tbl_zawodnicy_średnie[[#This Row],[stl]]+tbl_zawodnicy_średnie[[#This Row],[blk]])*(40/tbl_zawodnicy_średnie[[#This Row],[min]]),0)</f>
        <v>9.6551724137931032</v>
      </c>
      <c r="AI48" s="4">
        <f>IFERROR((SUMIF(tbl_główna_GRACZE[I. Nazwisko],tbl_zawodnicy_średnie[[#This Row],[I. Nazwisko]],tbl_główna_GRACZE[DI]))/tbl_zawodnicy_średnie[[#This Row],[Played]],0)</f>
        <v>0.2356902356902357</v>
      </c>
      <c r="AJ48" s="25">
        <f>tbl_zawodnicy_średnie[[#This Row],[stl]]+tbl_zawodnicy_średnie[[#This Row],[blk]]+(tbl_zawodnicy_średnie[[#This Row],[dreb]]*0.5)</f>
        <v>7.6666666666666661</v>
      </c>
      <c r="AK48" s="29">
        <f>IFERROR((tbl_zawodnicy_średnie[[#This Row],[stl]]+tbl_zawodnicy_średnie[[#This Row],[blk]]+0.5*tbl_zawodnicy_średnie[[#This Row],[dreb]])/tbl_zawodnicy_średnie[[#This Row],[min]],0)</f>
        <v>0.39655172413793105</v>
      </c>
      <c r="AL48" s="6">
        <f t="shared" si="21"/>
        <v>11.533333333333331</v>
      </c>
      <c r="AM48" s="6">
        <f>IFERROR(tbl_zawodnicy_średnie[[#This Row],[GmSc]]*(40/tbl_zawodnicy_średnie[[#This Row],[min]]),0)</f>
        <v>23.862068965517238</v>
      </c>
      <c r="AN48" s="6">
        <f>IFERROR(tbl_zawodnicy_średnie[[#This Row],[EVAL]]*(40/tbl_zawodnicy_średnie[[#This Row],[min]]),0)</f>
        <v>33.793103448275865</v>
      </c>
      <c r="AO48" s="6">
        <f>tbl_zawodnicy_średnie[[#This Row],[fgm]]-tbl_zawodnicy_średnie[[#This Row],[3pm]]</f>
        <v>2.6666666666666665</v>
      </c>
      <c r="AP48" s="6">
        <f>tbl_zawodnicy_średnie[[#This Row],[fga]]-tbl_zawodnicy_średnie[[#This Row],[3pa]]</f>
        <v>5.666666666666667</v>
      </c>
      <c r="AQ48">
        <v>38</v>
      </c>
      <c r="AR48" s="6" t="str">
        <f>tbl_zawodnicy_średnie[[#This Row],[I. Nazwisko]]&amp;" ["&amp;VLOOKUP(tbl_zawodnicy_średnie[[#This Row],[zespół]],tab_nazwy_zespołów[],2,0)&amp;"]"</f>
        <v>Ł. Bułanowski [WIL]</v>
      </c>
    </row>
    <row r="49" spans="1:44" ht="14.5" customHeight="1" x14ac:dyDescent="0.35">
      <c r="A49" t="s">
        <v>52</v>
      </c>
      <c r="B49" t="s">
        <v>196</v>
      </c>
      <c r="C49" s="9">
        <f>SUMIF(tbl_główna_GRACZE[I. Nazwisko],tbl_zawodnicy_średnie[[#This Row],[I. Nazwisko]],tbl_główna_GRACZE[Played?])</f>
        <v>1</v>
      </c>
      <c r="D49" s="55">
        <f>IFERROR((SUMIF(tbl_główna_GRACZE[I. Nazwisko],tbl_zawodnicy_średnie[[#This Row],[I. Nazwisko]],tbl_główna_GRACZE[fgm]))/tbl_zawodnicy_średnie[[#This Row],[Played]],0)</f>
        <v>3</v>
      </c>
      <c r="E49" s="55">
        <f>IFERROR((SUMIF(tbl_główna_GRACZE[I. Nazwisko],tbl_zawodnicy_średnie[[#This Row],[I. Nazwisko]],tbl_główna_GRACZE[fga]))/tbl_zawodnicy_średnie[[#This Row],[Played]],0)</f>
        <v>9</v>
      </c>
      <c r="F49" s="55">
        <f>IFERROR((SUMIF(tbl_główna_GRACZE[I. Nazwisko],tbl_zawodnicy_średnie[[#This Row],[I. Nazwisko]],tbl_główna_GRACZE[3pm]))/tbl_zawodnicy_średnie[[#This Row],[Played]],0)</f>
        <v>0</v>
      </c>
      <c r="G49" s="55">
        <f>IFERROR((SUMIF(tbl_główna_GRACZE[I. Nazwisko],tbl_zawodnicy_średnie[[#This Row],[I. Nazwisko]],tbl_główna_GRACZE[3pa]))/tbl_zawodnicy_średnie[[#This Row],[Played]],0)</f>
        <v>0</v>
      </c>
      <c r="H49" s="55">
        <f>IFERROR((SUMIF(tbl_główna_GRACZE[I. Nazwisko],tbl_zawodnicy_średnie[[#This Row],[I. Nazwisko]],tbl_główna_GRACZE[ftm]))/tbl_zawodnicy_średnie[[#This Row],[Played]],0)</f>
        <v>2</v>
      </c>
      <c r="I49" s="55">
        <f>IFERROR((SUMIF(tbl_główna_GRACZE[I. Nazwisko],tbl_zawodnicy_średnie[[#This Row],[I. Nazwisko]],tbl_główna_GRACZE[fta]))/tbl_zawodnicy_średnie[[#This Row],[Played]],0)</f>
        <v>4</v>
      </c>
      <c r="J49" s="55">
        <f>IFERROR((SUMIF(tbl_główna_GRACZE[I. Nazwisko],tbl_zawodnicy_średnie[[#This Row],[I. Nazwisko]],tbl_główna_GRACZE[oreb]))/tbl_zawodnicy_średnie[[#This Row],[Played]],0)</f>
        <v>1</v>
      </c>
      <c r="K49" s="55">
        <f>IFERROR((SUMIF(tbl_główna_GRACZE[I. Nazwisko],tbl_zawodnicy_średnie[[#This Row],[I. Nazwisko]],tbl_główna_GRACZE[dreb]))/tbl_zawodnicy_średnie[[#This Row],[Played]],0)</f>
        <v>3</v>
      </c>
      <c r="L49" s="55">
        <f>IFERROR((SUMIF(tbl_główna_GRACZE[I. Nazwisko],tbl_zawodnicy_średnie[[#This Row],[I. Nazwisko]],tbl_główna_GRACZE[foul]))/tbl_zawodnicy_średnie[[#This Row],[Played]],0)</f>
        <v>2</v>
      </c>
      <c r="M49" s="55">
        <f>IFERROR((SUMIF(tbl_główna_GRACZE[I. Nazwisko],tbl_zawodnicy_średnie[[#This Row],[I. Nazwisko]],tbl_główna_GRACZE[stl]))/tbl_zawodnicy_średnie[[#This Row],[Played]],0)</f>
        <v>1</v>
      </c>
      <c r="N49" s="55">
        <f>IFERROR((SUMIF(tbl_główna_GRACZE[I. Nazwisko],tbl_zawodnicy_średnie[[#This Row],[I. Nazwisko]],tbl_główna_GRACZE[to]))/tbl_zawodnicy_średnie[[#This Row],[Played]],0)</f>
        <v>0</v>
      </c>
      <c r="O49" s="55">
        <f>IFERROR((SUMIF(tbl_główna_GRACZE[I. Nazwisko],tbl_zawodnicy_średnie[[#This Row],[I. Nazwisko]],tbl_główna_GRACZE[blk]))/tbl_zawodnicy_średnie[[#This Row],[Played]],0)</f>
        <v>0</v>
      </c>
      <c r="P49" s="55">
        <f>IFERROR((SUMIF(tbl_główna_GRACZE[I. Nazwisko],tbl_zawodnicy_średnie[[#This Row],[I. Nazwisko]],tbl_główna_GRACZE[asst]))/tbl_zawodnicy_średnie[[#This Row],[Played]],0)</f>
        <v>1</v>
      </c>
      <c r="Q49" s="55">
        <f>IFERROR((SUMIF(tbl_główna_GRACZE[I. Nazwisko],tbl_zawodnicy_średnie[[#This Row],[I. Nazwisko]],tbl_główna_GRACZE[min]))/tbl_zawodnicy_średnie[[#This Row],[Played]],0)</f>
        <v>31</v>
      </c>
      <c r="R49" s="55">
        <f>IFERROR((SUMIF(tbl_główna_GRACZE[I. Nazwisko],tbl_zawodnicy_średnie[[#This Row],[I. Nazwisko]],tbl_główna_GRACZE[pts]))/tbl_zawodnicy_średnie[[#This Row],[Played]],0)</f>
        <v>8</v>
      </c>
      <c r="S49" s="6">
        <f t="shared" si="11"/>
        <v>4</v>
      </c>
      <c r="T49" s="4">
        <f t="shared" si="12"/>
        <v>0.33333333333333331</v>
      </c>
      <c r="U49" s="4">
        <f t="shared" si="13"/>
        <v>0</v>
      </c>
      <c r="V49" s="4">
        <f t="shared" si="14"/>
        <v>0.5</v>
      </c>
      <c r="W49" s="4">
        <f>IFERROR(tbl_zawodnicy_średnie[[#This Row],[2pm]]/tbl_zawodnicy_średnie[[#This Row],[2pa]],0)</f>
        <v>0.33333333333333331</v>
      </c>
      <c r="X49" s="4">
        <f t="shared" si="15"/>
        <v>0.37174721189591081</v>
      </c>
      <c r="Y49" s="4">
        <f t="shared" si="16"/>
        <v>0.33333333333333331</v>
      </c>
      <c r="Z49" s="6">
        <f t="shared" si="17"/>
        <v>6</v>
      </c>
      <c r="AA49" s="4">
        <f t="shared" si="18"/>
        <v>0.44444444444444442</v>
      </c>
      <c r="AB49" s="4">
        <f t="shared" si="19"/>
        <v>0</v>
      </c>
      <c r="AC49" s="26">
        <f>IFERROR((SUMIF(tbl_główna_GRACZE[I. Nazwisko],tbl_zawodnicy_średnie[[#This Row],[I. Nazwisko]],tbl_główna_GRACZE[USG%]))/tbl_zawodnicy_średnie[[#This Row],[Played]],0)</f>
        <v>0.14083769633507853</v>
      </c>
      <c r="AD49" s="25">
        <f>IFERROR(tbl_zawodnicy_średnie[[#This Row],[pts]]*(40/tbl_zawodnicy_średnie[[#This Row],[min]]),0)</f>
        <v>10.32258064516129</v>
      </c>
      <c r="AE49" s="25">
        <f>IFERROR(tbl_zawodnicy_średnie[[#This Row],[reb total]]*(40/tbl_zawodnicy_średnie[[#This Row],[min]]),0)</f>
        <v>5.161290322580645</v>
      </c>
      <c r="AF49" s="30">
        <f>IFERROR(tbl_zawodnicy_średnie[[#This Row],[asst]]*(40/tbl_zawodnicy_średnie[[#This Row],[min]]),0)</f>
        <v>1.2903225806451613</v>
      </c>
      <c r="AG49" s="5">
        <f t="shared" si="20"/>
        <v>0.88888888888888884</v>
      </c>
      <c r="AH49" s="5">
        <f>IFERROR((tbl_zawodnicy_średnie[[#This Row],[stl]]+tbl_zawodnicy_średnie[[#This Row],[blk]])*(40/tbl_zawodnicy_średnie[[#This Row],[min]]),0)</f>
        <v>1.2903225806451613</v>
      </c>
      <c r="AI49" s="4">
        <f>IFERROR((SUMIF(tbl_główna_GRACZE[I. Nazwisko],tbl_zawodnicy_średnie[[#This Row],[I. Nazwisko]],tbl_główna_GRACZE[DI]))/tbl_zawodnicy_średnie[[#This Row],[Played]],0)</f>
        <v>4.5454545454545456E-2</v>
      </c>
      <c r="AJ49" s="25">
        <f>tbl_zawodnicy_średnie[[#This Row],[stl]]+tbl_zawodnicy_średnie[[#This Row],[blk]]+(tbl_zawodnicy_średnie[[#This Row],[dreb]]*0.5)</f>
        <v>2.5</v>
      </c>
      <c r="AK49" s="29">
        <f>IFERROR((tbl_zawodnicy_średnie[[#This Row],[stl]]+tbl_zawodnicy_średnie[[#This Row],[blk]]+0.5*tbl_zawodnicy_średnie[[#This Row],[dreb]])/tbl_zawodnicy_średnie[[#This Row],[min]],0)</f>
        <v>8.0645161290322578E-2</v>
      </c>
      <c r="AL49" s="6">
        <f t="shared" si="21"/>
        <v>5.3999999999999995</v>
      </c>
      <c r="AM49" s="6">
        <f>IFERROR(tbl_zawodnicy_średnie[[#This Row],[GmSc]]*(40/tbl_zawodnicy_średnie[[#This Row],[min]]),0)</f>
        <v>6.9677419354838701</v>
      </c>
      <c r="AN49" s="6">
        <f>IFERROR(tbl_zawodnicy_średnie[[#This Row],[EVAL]]*(40/tbl_zawodnicy_średnie[[#This Row],[min]]),0)</f>
        <v>7.741935483870968</v>
      </c>
      <c r="AO49" s="6">
        <f>tbl_zawodnicy_średnie[[#This Row],[fgm]]-tbl_zawodnicy_średnie[[#This Row],[3pm]]</f>
        <v>3</v>
      </c>
      <c r="AP49" s="6">
        <f>tbl_zawodnicy_średnie[[#This Row],[fga]]-tbl_zawodnicy_średnie[[#This Row],[3pa]]</f>
        <v>9</v>
      </c>
      <c r="AQ49">
        <v>39</v>
      </c>
      <c r="AR49" s="6" t="str">
        <f>tbl_zawodnicy_średnie[[#This Row],[I. Nazwisko]]&amp;" ["&amp;VLOOKUP(tbl_zawodnicy_średnie[[#This Row],[zespół]],tab_nazwy_zespołów[],2,0)&amp;"]"</f>
        <v>P. Kaszuba [WIL]</v>
      </c>
    </row>
    <row r="50" spans="1:44" ht="14.5" customHeight="1" x14ac:dyDescent="0.35">
      <c r="A50" t="s">
        <v>52</v>
      </c>
      <c r="B50" t="s">
        <v>197</v>
      </c>
      <c r="C50" s="9">
        <f>SUMIF(tbl_główna_GRACZE[I. Nazwisko],tbl_zawodnicy_średnie[[#This Row],[I. Nazwisko]],tbl_główna_GRACZE[Played?])</f>
        <v>4</v>
      </c>
      <c r="D50" s="55">
        <f>IFERROR((SUMIF(tbl_główna_GRACZE[I. Nazwisko],tbl_zawodnicy_średnie[[#This Row],[I. Nazwisko]],tbl_główna_GRACZE[fgm]))/tbl_zawodnicy_średnie[[#This Row],[Played]],0)</f>
        <v>4.25</v>
      </c>
      <c r="E50" s="55">
        <f>IFERROR((SUMIF(tbl_główna_GRACZE[I. Nazwisko],tbl_zawodnicy_średnie[[#This Row],[I. Nazwisko]],tbl_główna_GRACZE[fga]))/tbl_zawodnicy_średnie[[#This Row],[Played]],0)</f>
        <v>15.75</v>
      </c>
      <c r="F50" s="55">
        <f>IFERROR((SUMIF(tbl_główna_GRACZE[I. Nazwisko],tbl_zawodnicy_średnie[[#This Row],[I. Nazwisko]],tbl_główna_GRACZE[3pm]))/tbl_zawodnicy_średnie[[#This Row],[Played]],0)</f>
        <v>0.75</v>
      </c>
      <c r="G50" s="55">
        <f>IFERROR((SUMIF(tbl_główna_GRACZE[I. Nazwisko],tbl_zawodnicy_średnie[[#This Row],[I. Nazwisko]],tbl_główna_GRACZE[3pa]))/tbl_zawodnicy_średnie[[#This Row],[Played]],0)</f>
        <v>3.5</v>
      </c>
      <c r="H50" s="55">
        <f>IFERROR((SUMIF(tbl_główna_GRACZE[I. Nazwisko],tbl_zawodnicy_średnie[[#This Row],[I. Nazwisko]],tbl_główna_GRACZE[ftm]))/tbl_zawodnicy_średnie[[#This Row],[Played]],0)</f>
        <v>0.5</v>
      </c>
      <c r="I50" s="55">
        <f>IFERROR((SUMIF(tbl_główna_GRACZE[I. Nazwisko],tbl_zawodnicy_średnie[[#This Row],[I. Nazwisko]],tbl_główna_GRACZE[fta]))/tbl_zawodnicy_średnie[[#This Row],[Played]],0)</f>
        <v>1</v>
      </c>
      <c r="J50" s="55">
        <f>IFERROR((SUMIF(tbl_główna_GRACZE[I. Nazwisko],tbl_zawodnicy_średnie[[#This Row],[I. Nazwisko]],tbl_główna_GRACZE[oreb]))/tbl_zawodnicy_średnie[[#This Row],[Played]],0)</f>
        <v>2.25</v>
      </c>
      <c r="K50" s="55">
        <f>IFERROR((SUMIF(tbl_główna_GRACZE[I. Nazwisko],tbl_zawodnicy_średnie[[#This Row],[I. Nazwisko]],tbl_główna_GRACZE[dreb]))/tbl_zawodnicy_średnie[[#This Row],[Played]],0)</f>
        <v>3.75</v>
      </c>
      <c r="L50" s="55">
        <f>IFERROR((SUMIF(tbl_główna_GRACZE[I. Nazwisko],tbl_zawodnicy_średnie[[#This Row],[I. Nazwisko]],tbl_główna_GRACZE[foul]))/tbl_zawodnicy_średnie[[#This Row],[Played]],0)</f>
        <v>2</v>
      </c>
      <c r="M50" s="55">
        <f>IFERROR((SUMIF(tbl_główna_GRACZE[I. Nazwisko],tbl_zawodnicy_średnie[[#This Row],[I. Nazwisko]],tbl_główna_GRACZE[stl]))/tbl_zawodnicy_średnie[[#This Row],[Played]],0)</f>
        <v>1.75</v>
      </c>
      <c r="N50" s="55">
        <f>IFERROR((SUMIF(tbl_główna_GRACZE[I. Nazwisko],tbl_zawodnicy_średnie[[#This Row],[I. Nazwisko]],tbl_główna_GRACZE[to]))/tbl_zawodnicy_średnie[[#This Row],[Played]],0)</f>
        <v>0</v>
      </c>
      <c r="O50" s="55">
        <f>IFERROR((SUMIF(tbl_główna_GRACZE[I. Nazwisko],tbl_zawodnicy_średnie[[#This Row],[I. Nazwisko]],tbl_główna_GRACZE[blk]))/tbl_zawodnicy_średnie[[#This Row],[Played]],0)</f>
        <v>0.25</v>
      </c>
      <c r="P50" s="55">
        <f>IFERROR((SUMIF(tbl_główna_GRACZE[I. Nazwisko],tbl_zawodnicy_średnie[[#This Row],[I. Nazwisko]],tbl_główna_GRACZE[asst]))/tbl_zawodnicy_średnie[[#This Row],[Played]],0)</f>
        <v>2.75</v>
      </c>
      <c r="Q50" s="55">
        <f>IFERROR((SUMIF(tbl_główna_GRACZE[I. Nazwisko],tbl_zawodnicy_średnie[[#This Row],[I. Nazwisko]],tbl_główna_GRACZE[min]))/tbl_zawodnicy_średnie[[#This Row],[Played]],0)</f>
        <v>30.25</v>
      </c>
      <c r="R50" s="55">
        <f>IFERROR((SUMIF(tbl_główna_GRACZE[I. Nazwisko],tbl_zawodnicy_średnie[[#This Row],[I. Nazwisko]],tbl_główna_GRACZE[pts]))/tbl_zawodnicy_średnie[[#This Row],[Played]],0)</f>
        <v>9.75</v>
      </c>
      <c r="S50" s="6">
        <f t="shared" si="11"/>
        <v>6</v>
      </c>
      <c r="T50" s="4">
        <f t="shared" si="12"/>
        <v>0.26984126984126983</v>
      </c>
      <c r="U50" s="4">
        <f t="shared" si="13"/>
        <v>0.21428571428571427</v>
      </c>
      <c r="V50" s="4">
        <f t="shared" si="14"/>
        <v>0.5</v>
      </c>
      <c r="W50" s="4">
        <f>IFERROR(tbl_zawodnicy_średnie[[#This Row],[2pm]]/tbl_zawodnicy_średnie[[#This Row],[2pa]],0)</f>
        <v>0.2857142857142857</v>
      </c>
      <c r="X50" s="4">
        <f t="shared" si="15"/>
        <v>0.30111179740580601</v>
      </c>
      <c r="Y50" s="4">
        <f t="shared" si="16"/>
        <v>0.29365079365079366</v>
      </c>
      <c r="Z50" s="6">
        <f t="shared" si="17"/>
        <v>8.5</v>
      </c>
      <c r="AA50" s="4">
        <f t="shared" si="18"/>
        <v>6.3492063492063489E-2</v>
      </c>
      <c r="AB50" s="4">
        <f t="shared" si="19"/>
        <v>0.22222222222222221</v>
      </c>
      <c r="AC50" s="26">
        <f>IFERROR((SUMIF(tbl_główna_GRACZE[I. Nazwisko],tbl_zawodnicy_średnie[[#This Row],[I. Nazwisko]],tbl_główna_GRACZE[USG%]))/tbl_zawodnicy_średnie[[#This Row],[Played]],0)</f>
        <v>0.21790637585396991</v>
      </c>
      <c r="AD50" s="25">
        <f>IFERROR(tbl_zawodnicy_średnie[[#This Row],[pts]]*(40/tbl_zawodnicy_średnie[[#This Row],[min]]),0)</f>
        <v>12.892561983471074</v>
      </c>
      <c r="AE50" s="25">
        <f>IFERROR(tbl_zawodnicy_średnie[[#This Row],[reb total]]*(40/tbl_zawodnicy_średnie[[#This Row],[min]]),0)</f>
        <v>7.9338842975206614</v>
      </c>
      <c r="AF50" s="30">
        <f>IFERROR(tbl_zawodnicy_średnie[[#This Row],[asst]]*(40/tbl_zawodnicy_średnie[[#This Row],[min]]),0)</f>
        <v>3.6363636363636367</v>
      </c>
      <c r="AG50" s="5">
        <f t="shared" si="20"/>
        <v>0.61904761904761907</v>
      </c>
      <c r="AH50" s="5">
        <f>IFERROR((tbl_zawodnicy_średnie[[#This Row],[stl]]+tbl_zawodnicy_średnie[[#This Row],[blk]])*(40/tbl_zawodnicy_średnie[[#This Row],[min]]),0)</f>
        <v>2.6446280991735538</v>
      </c>
      <c r="AI50" s="4">
        <f>IFERROR((SUMIF(tbl_główna_GRACZE[I. Nazwisko],tbl_zawodnicy_średnie[[#This Row],[I. Nazwisko]],tbl_główna_GRACZE[DI]))/tbl_zawodnicy_średnie[[#This Row],[Played]],0)</f>
        <v>0.1314935064935065</v>
      </c>
      <c r="AJ50" s="25">
        <f>tbl_zawodnicy_średnie[[#This Row],[stl]]+tbl_zawodnicy_średnie[[#This Row],[blk]]+(tbl_zawodnicy_średnie[[#This Row],[dreb]]*0.5)</f>
        <v>3.875</v>
      </c>
      <c r="AK50" s="29">
        <f>IFERROR((tbl_zawodnicy_średnie[[#This Row],[stl]]+tbl_zawodnicy_średnie[[#This Row],[blk]]+0.5*tbl_zawodnicy_średnie[[#This Row],[dreb]])/tbl_zawodnicy_średnie[[#This Row],[min]],0)</f>
        <v>0.128099173553719</v>
      </c>
      <c r="AL50" s="6">
        <f t="shared" si="21"/>
        <v>6.7750000000000004</v>
      </c>
      <c r="AM50" s="6">
        <f>IFERROR(tbl_zawodnicy_średnie[[#This Row],[GmSc]]*(40/tbl_zawodnicy_średnie[[#This Row],[min]]),0)</f>
        <v>8.9586776859504145</v>
      </c>
      <c r="AN50" s="6">
        <f>IFERROR(tbl_zawodnicy_średnie[[#This Row],[EVAL]]*(40/tbl_zawodnicy_średnie[[#This Row],[min]]),0)</f>
        <v>11.239669421487603</v>
      </c>
      <c r="AO50" s="6">
        <f>tbl_zawodnicy_średnie[[#This Row],[fgm]]-tbl_zawodnicy_średnie[[#This Row],[3pm]]</f>
        <v>3.5</v>
      </c>
      <c r="AP50" s="6">
        <f>tbl_zawodnicy_średnie[[#This Row],[fga]]-tbl_zawodnicy_średnie[[#This Row],[3pa]]</f>
        <v>12.25</v>
      </c>
      <c r="AQ50">
        <v>40</v>
      </c>
      <c r="AR50" s="6" t="str">
        <f>tbl_zawodnicy_średnie[[#This Row],[I. Nazwisko]]&amp;" ["&amp;VLOOKUP(tbl_zawodnicy_średnie[[#This Row],[zespół]],tab_nazwy_zespołów[],2,0)&amp;"]"</f>
        <v>D. Sobański [WIL]</v>
      </c>
    </row>
    <row r="51" spans="1:44" ht="14.5" customHeight="1" x14ac:dyDescent="0.35">
      <c r="A51" t="s">
        <v>52</v>
      </c>
      <c r="B51" t="s">
        <v>198</v>
      </c>
      <c r="C51" s="9">
        <f>SUMIF(tbl_główna_GRACZE[I. Nazwisko],tbl_zawodnicy_średnie[[#This Row],[I. Nazwisko]],tbl_główna_GRACZE[Played?])</f>
        <v>4</v>
      </c>
      <c r="D51" s="55">
        <f>IFERROR((SUMIF(tbl_główna_GRACZE[I. Nazwisko],tbl_zawodnicy_średnie[[#This Row],[I. Nazwisko]],tbl_główna_GRACZE[fgm]))/tbl_zawodnicy_średnie[[#This Row],[Played]],0)</f>
        <v>3.5</v>
      </c>
      <c r="E51" s="55">
        <f>IFERROR((SUMIF(tbl_główna_GRACZE[I. Nazwisko],tbl_zawodnicy_średnie[[#This Row],[I. Nazwisko]],tbl_główna_GRACZE[fga]))/tbl_zawodnicy_średnie[[#This Row],[Played]],0)</f>
        <v>11.5</v>
      </c>
      <c r="F51" s="55">
        <f>IFERROR((SUMIF(tbl_główna_GRACZE[I. Nazwisko],tbl_zawodnicy_średnie[[#This Row],[I. Nazwisko]],tbl_główna_GRACZE[3pm]))/tbl_zawodnicy_średnie[[#This Row],[Played]],0)</f>
        <v>1.25</v>
      </c>
      <c r="G51" s="55">
        <f>IFERROR((SUMIF(tbl_główna_GRACZE[I. Nazwisko],tbl_zawodnicy_średnie[[#This Row],[I. Nazwisko]],tbl_główna_GRACZE[3pa]))/tbl_zawodnicy_średnie[[#This Row],[Played]],0)</f>
        <v>3.5</v>
      </c>
      <c r="H51" s="55">
        <f>IFERROR((SUMIF(tbl_główna_GRACZE[I. Nazwisko],tbl_zawodnicy_średnie[[#This Row],[I. Nazwisko]],tbl_główna_GRACZE[ftm]))/tbl_zawodnicy_średnie[[#This Row],[Played]],0)</f>
        <v>0</v>
      </c>
      <c r="I51" s="55">
        <f>IFERROR((SUMIF(tbl_główna_GRACZE[I. Nazwisko],tbl_zawodnicy_średnie[[#This Row],[I. Nazwisko]],tbl_główna_GRACZE[fta]))/tbl_zawodnicy_średnie[[#This Row],[Played]],0)</f>
        <v>0</v>
      </c>
      <c r="J51" s="55">
        <f>IFERROR((SUMIF(tbl_główna_GRACZE[I. Nazwisko],tbl_zawodnicy_średnie[[#This Row],[I. Nazwisko]],tbl_główna_GRACZE[oreb]))/tbl_zawodnicy_średnie[[#This Row],[Played]],0)</f>
        <v>1.25</v>
      </c>
      <c r="K51" s="55">
        <f>IFERROR((SUMIF(tbl_główna_GRACZE[I. Nazwisko],tbl_zawodnicy_średnie[[#This Row],[I. Nazwisko]],tbl_główna_GRACZE[dreb]))/tbl_zawodnicy_średnie[[#This Row],[Played]],0)</f>
        <v>2.75</v>
      </c>
      <c r="L51" s="55">
        <f>IFERROR((SUMIF(tbl_główna_GRACZE[I. Nazwisko],tbl_zawodnicy_średnie[[#This Row],[I. Nazwisko]],tbl_główna_GRACZE[foul]))/tbl_zawodnicy_średnie[[#This Row],[Played]],0)</f>
        <v>1.5</v>
      </c>
      <c r="M51" s="55">
        <f>IFERROR((SUMIF(tbl_główna_GRACZE[I. Nazwisko],tbl_zawodnicy_średnie[[#This Row],[I. Nazwisko]],tbl_główna_GRACZE[stl]))/tbl_zawodnicy_średnie[[#This Row],[Played]],0)</f>
        <v>1.5</v>
      </c>
      <c r="N51" s="55">
        <f>IFERROR((SUMIF(tbl_główna_GRACZE[I. Nazwisko],tbl_zawodnicy_średnie[[#This Row],[I. Nazwisko]],tbl_główna_GRACZE[to]))/tbl_zawodnicy_średnie[[#This Row],[Played]],0)</f>
        <v>0</v>
      </c>
      <c r="O51" s="55">
        <f>IFERROR((SUMIF(tbl_główna_GRACZE[I. Nazwisko],tbl_zawodnicy_średnie[[#This Row],[I. Nazwisko]],tbl_główna_GRACZE[blk]))/tbl_zawodnicy_średnie[[#This Row],[Played]],0)</f>
        <v>0</v>
      </c>
      <c r="P51" s="55">
        <f>IFERROR((SUMIF(tbl_główna_GRACZE[I. Nazwisko],tbl_zawodnicy_średnie[[#This Row],[I. Nazwisko]],tbl_główna_GRACZE[asst]))/tbl_zawodnicy_średnie[[#This Row],[Played]],0)</f>
        <v>2.5</v>
      </c>
      <c r="Q51" s="55">
        <f>IFERROR((SUMIF(tbl_główna_GRACZE[I. Nazwisko],tbl_zawodnicy_średnie[[#This Row],[I. Nazwisko]],tbl_główna_GRACZE[min]))/tbl_zawodnicy_średnie[[#This Row],[Played]],0)</f>
        <v>31.25</v>
      </c>
      <c r="R51" s="55">
        <f>IFERROR((SUMIF(tbl_główna_GRACZE[I. Nazwisko],tbl_zawodnicy_średnie[[#This Row],[I. Nazwisko]],tbl_główna_GRACZE[pts]))/tbl_zawodnicy_średnie[[#This Row],[Played]],0)</f>
        <v>8.25</v>
      </c>
      <c r="S51" s="6">
        <f t="shared" si="11"/>
        <v>4</v>
      </c>
      <c r="T51" s="4">
        <f t="shared" si="12"/>
        <v>0.30434782608695654</v>
      </c>
      <c r="U51" s="4">
        <f t="shared" si="13"/>
        <v>0.35714285714285715</v>
      </c>
      <c r="V51" s="4">
        <f t="shared" si="14"/>
        <v>0</v>
      </c>
      <c r="W51" s="4">
        <f>IFERROR(tbl_zawodnicy_średnie[[#This Row],[2pm]]/tbl_zawodnicy_średnie[[#This Row],[2pa]],0)</f>
        <v>0.28125</v>
      </c>
      <c r="X51" s="4">
        <f t="shared" si="15"/>
        <v>0.35869565217391303</v>
      </c>
      <c r="Y51" s="4">
        <f t="shared" si="16"/>
        <v>0.35869565217391303</v>
      </c>
      <c r="Z51" s="6">
        <f t="shared" si="17"/>
        <v>8.25</v>
      </c>
      <c r="AA51" s="4">
        <f t="shared" si="18"/>
        <v>0</v>
      </c>
      <c r="AB51" s="4">
        <f t="shared" si="19"/>
        <v>0.30434782608695654</v>
      </c>
      <c r="AC51" s="26">
        <f>IFERROR((SUMIF(tbl_główna_GRACZE[I. Nazwisko],tbl_zawodnicy_średnie[[#This Row],[I. Nazwisko]],tbl_główna_GRACZE[USG%]))/tbl_zawodnicy_średnie[[#This Row],[Played]],0)</f>
        <v>0.15267356597215581</v>
      </c>
      <c r="AD51" s="25">
        <f>IFERROR(tbl_zawodnicy_średnie[[#This Row],[pts]]*(40/tbl_zawodnicy_średnie[[#This Row],[min]]),0)</f>
        <v>10.56</v>
      </c>
      <c r="AE51" s="25">
        <f>IFERROR(tbl_zawodnicy_średnie[[#This Row],[reb total]]*(40/tbl_zawodnicy_średnie[[#This Row],[min]]),0)</f>
        <v>5.12</v>
      </c>
      <c r="AF51" s="30">
        <f>IFERROR(tbl_zawodnicy_średnie[[#This Row],[asst]]*(40/tbl_zawodnicy_średnie[[#This Row],[min]]),0)</f>
        <v>3.2</v>
      </c>
      <c r="AG51" s="5">
        <f t="shared" si="20"/>
        <v>0.71739130434782605</v>
      </c>
      <c r="AH51" s="5">
        <f>IFERROR((tbl_zawodnicy_średnie[[#This Row],[stl]]+tbl_zawodnicy_średnie[[#This Row],[blk]])*(40/tbl_zawodnicy_średnie[[#This Row],[min]]),0)</f>
        <v>1.92</v>
      </c>
      <c r="AI51" s="4">
        <f>IFERROR((SUMIF(tbl_główna_GRACZE[I. Nazwisko],tbl_zawodnicy_średnie[[#This Row],[I. Nazwisko]],tbl_główna_GRACZE[DI]))/tbl_zawodnicy_średnie[[#This Row],[Played]],0)</f>
        <v>9.6681096681096673E-2</v>
      </c>
      <c r="AJ51" s="25">
        <f>tbl_zawodnicy_średnie[[#This Row],[stl]]+tbl_zawodnicy_średnie[[#This Row],[blk]]+(tbl_zawodnicy_średnie[[#This Row],[dreb]]*0.5)</f>
        <v>2.875</v>
      </c>
      <c r="AK51" s="29">
        <f>IFERROR((tbl_zawodnicy_średnie[[#This Row],[stl]]+tbl_zawodnicy_średnie[[#This Row],[blk]]+0.5*tbl_zawodnicy_średnie[[#This Row],[dreb]])/tbl_zawodnicy_średnie[[#This Row],[min]],0)</f>
        <v>9.1999999999999998E-2</v>
      </c>
      <c r="AL51" s="6">
        <f t="shared" si="21"/>
        <v>6.5500000000000016</v>
      </c>
      <c r="AM51" s="6">
        <f>IFERROR(tbl_zawodnicy_średnie[[#This Row],[GmSc]]*(40/tbl_zawodnicy_średnie[[#This Row],[min]]),0)</f>
        <v>8.3840000000000021</v>
      </c>
      <c r="AN51" s="6">
        <f>IFERROR(tbl_zawodnicy_średnie[[#This Row],[EVAL]]*(40/tbl_zawodnicy_średnie[[#This Row],[min]]),0)</f>
        <v>10.56</v>
      </c>
      <c r="AO51" s="6">
        <f>tbl_zawodnicy_średnie[[#This Row],[fgm]]-tbl_zawodnicy_średnie[[#This Row],[3pm]]</f>
        <v>2.25</v>
      </c>
      <c r="AP51" s="6">
        <f>tbl_zawodnicy_średnie[[#This Row],[fga]]-tbl_zawodnicy_średnie[[#This Row],[3pa]]</f>
        <v>8</v>
      </c>
      <c r="AQ51">
        <v>41</v>
      </c>
      <c r="AR51" s="6" t="str">
        <f>tbl_zawodnicy_średnie[[#This Row],[I. Nazwisko]]&amp;" ["&amp;VLOOKUP(tbl_zawodnicy_średnie[[#This Row],[zespół]],tab_nazwy_zespołów[],2,0)&amp;"]"</f>
        <v>W. Sienkowski [WIL]</v>
      </c>
    </row>
    <row r="52" spans="1:44" ht="14.5" customHeight="1" x14ac:dyDescent="0.35">
      <c r="A52" t="s">
        <v>52</v>
      </c>
      <c r="B52" t="s">
        <v>199</v>
      </c>
      <c r="C52" s="20">
        <f>SUMIF(tbl_główna_GRACZE[I. Nazwisko],tbl_zawodnicy_średnie[[#This Row],[I. Nazwisko]],tbl_główna_GRACZE[Played?])</f>
        <v>4</v>
      </c>
      <c r="D52" s="55">
        <f>IFERROR((SUMIF(tbl_główna_GRACZE[I. Nazwisko],tbl_zawodnicy_średnie[[#This Row],[I. Nazwisko]],tbl_główna_GRACZE[fgm]))/tbl_zawodnicy_średnie[[#This Row],[Played]],0)</f>
        <v>1.25</v>
      </c>
      <c r="E52" s="55">
        <f>IFERROR((SUMIF(tbl_główna_GRACZE[I. Nazwisko],tbl_zawodnicy_średnie[[#This Row],[I. Nazwisko]],tbl_główna_GRACZE[fga]))/tbl_zawodnicy_średnie[[#This Row],[Played]],0)</f>
        <v>3.5</v>
      </c>
      <c r="F52" s="55">
        <f>IFERROR((SUMIF(tbl_główna_GRACZE[I. Nazwisko],tbl_zawodnicy_średnie[[#This Row],[I. Nazwisko]],tbl_główna_GRACZE[3pm]))/tbl_zawodnicy_średnie[[#This Row],[Played]],0)</f>
        <v>0</v>
      </c>
      <c r="G52" s="55">
        <f>IFERROR((SUMIF(tbl_główna_GRACZE[I. Nazwisko],tbl_zawodnicy_średnie[[#This Row],[I. Nazwisko]],tbl_główna_GRACZE[3pa]))/tbl_zawodnicy_średnie[[#This Row],[Played]],0)</f>
        <v>0.25</v>
      </c>
      <c r="H52" s="55">
        <f>IFERROR((SUMIF(tbl_główna_GRACZE[I. Nazwisko],tbl_zawodnicy_średnie[[#This Row],[I. Nazwisko]],tbl_główna_GRACZE[ftm]))/tbl_zawodnicy_średnie[[#This Row],[Played]],0)</f>
        <v>0</v>
      </c>
      <c r="I52" s="55">
        <f>IFERROR((SUMIF(tbl_główna_GRACZE[I. Nazwisko],tbl_zawodnicy_średnie[[#This Row],[I. Nazwisko]],tbl_główna_GRACZE[fta]))/tbl_zawodnicy_średnie[[#This Row],[Played]],0)</f>
        <v>0</v>
      </c>
      <c r="J52" s="55">
        <f>IFERROR((SUMIF(tbl_główna_GRACZE[I. Nazwisko],tbl_zawodnicy_średnie[[#This Row],[I. Nazwisko]],tbl_główna_GRACZE[oreb]))/tbl_zawodnicy_średnie[[#This Row],[Played]],0)</f>
        <v>1.75</v>
      </c>
      <c r="K52" s="55">
        <f>IFERROR((SUMIF(tbl_główna_GRACZE[I. Nazwisko],tbl_zawodnicy_średnie[[#This Row],[I. Nazwisko]],tbl_główna_GRACZE[dreb]))/tbl_zawodnicy_średnie[[#This Row],[Played]],0)</f>
        <v>2.5</v>
      </c>
      <c r="L52" s="55">
        <f>IFERROR((SUMIF(tbl_główna_GRACZE[I. Nazwisko],tbl_zawodnicy_średnie[[#This Row],[I. Nazwisko]],tbl_główna_GRACZE[foul]))/tbl_zawodnicy_średnie[[#This Row],[Played]],0)</f>
        <v>1.5</v>
      </c>
      <c r="M52" s="55">
        <f>IFERROR((SUMIF(tbl_główna_GRACZE[I. Nazwisko],tbl_zawodnicy_średnie[[#This Row],[I. Nazwisko]],tbl_główna_GRACZE[stl]))/tbl_zawodnicy_średnie[[#This Row],[Played]],0)</f>
        <v>1</v>
      </c>
      <c r="N52" s="55">
        <f>IFERROR((SUMIF(tbl_główna_GRACZE[I. Nazwisko],tbl_zawodnicy_średnie[[#This Row],[I. Nazwisko]],tbl_główna_GRACZE[to]))/tbl_zawodnicy_średnie[[#This Row],[Played]],0)</f>
        <v>0</v>
      </c>
      <c r="O52" s="55">
        <f>IFERROR((SUMIF(tbl_główna_GRACZE[I. Nazwisko],tbl_zawodnicy_średnie[[#This Row],[I. Nazwisko]],tbl_główna_GRACZE[blk]))/tbl_zawodnicy_średnie[[#This Row],[Played]],0)</f>
        <v>0</v>
      </c>
      <c r="P52" s="55">
        <f>IFERROR((SUMIF(tbl_główna_GRACZE[I. Nazwisko],tbl_zawodnicy_średnie[[#This Row],[I. Nazwisko]],tbl_główna_GRACZE[asst]))/tbl_zawodnicy_średnie[[#This Row],[Played]],0)</f>
        <v>0.25</v>
      </c>
      <c r="Q52" s="55">
        <f>IFERROR((SUMIF(tbl_główna_GRACZE[I. Nazwisko],tbl_zawodnicy_średnie[[#This Row],[I. Nazwisko]],tbl_główna_GRACZE[min]))/tbl_zawodnicy_średnie[[#This Row],[Played]],0)</f>
        <v>14.25</v>
      </c>
      <c r="R52" s="55">
        <f>IFERROR((SUMIF(tbl_główna_GRACZE[I. Nazwisko],tbl_zawodnicy_średnie[[#This Row],[I. Nazwisko]],tbl_główna_GRACZE[pts]))/tbl_zawodnicy_średnie[[#This Row],[Played]],0)</f>
        <v>2.5</v>
      </c>
      <c r="S52" s="6">
        <f t="shared" si="11"/>
        <v>4.25</v>
      </c>
      <c r="T52" s="4">
        <f t="shared" si="12"/>
        <v>0.35714285714285715</v>
      </c>
      <c r="U52" s="4">
        <f t="shared" si="13"/>
        <v>0</v>
      </c>
      <c r="V52" s="4">
        <f t="shared" si="14"/>
        <v>0</v>
      </c>
      <c r="W52" s="4">
        <f>IFERROR(tbl_zawodnicy_średnie[[#This Row],[2pm]]/tbl_zawodnicy_średnie[[#This Row],[2pa]],0)</f>
        <v>0.38461538461538464</v>
      </c>
      <c r="X52" s="4">
        <f t="shared" si="15"/>
        <v>0.35714285714285715</v>
      </c>
      <c r="Y52" s="4">
        <f t="shared" si="16"/>
        <v>0.35714285714285715</v>
      </c>
      <c r="Z52" s="6">
        <f t="shared" si="17"/>
        <v>5.75</v>
      </c>
      <c r="AA52" s="4">
        <f t="shared" si="18"/>
        <v>0</v>
      </c>
      <c r="AB52" s="4">
        <f t="shared" si="19"/>
        <v>7.1428571428571425E-2</v>
      </c>
      <c r="AC52" s="26">
        <f>IFERROR((SUMIF(tbl_główna_GRACZE[I. Nazwisko],tbl_zawodnicy_średnie[[#This Row],[I. Nazwisko]],tbl_główna_GRACZE[USG%]))/tbl_zawodnicy_średnie[[#This Row],[Played]],0)</f>
        <v>4.891983946899639E-2</v>
      </c>
      <c r="AD52" s="25">
        <f>IFERROR(tbl_zawodnicy_średnie[[#This Row],[pts]]*(40/tbl_zawodnicy_średnie[[#This Row],[min]]),0)</f>
        <v>7.0175438596491224</v>
      </c>
      <c r="AE52" s="25">
        <f>IFERROR(tbl_zawodnicy_średnie[[#This Row],[reb total]]*(40/tbl_zawodnicy_średnie[[#This Row],[min]]),0)</f>
        <v>11.929824561403509</v>
      </c>
      <c r="AF52" s="30">
        <f>IFERROR(tbl_zawodnicy_średnie[[#This Row],[asst]]*(40/tbl_zawodnicy_średnie[[#This Row],[min]]),0)</f>
        <v>0.70175438596491224</v>
      </c>
      <c r="AG52" s="5">
        <f t="shared" si="20"/>
        <v>0.7142857142857143</v>
      </c>
      <c r="AH52" s="5">
        <f>IFERROR((tbl_zawodnicy_średnie[[#This Row],[stl]]+tbl_zawodnicy_średnie[[#This Row],[blk]])*(40/tbl_zawodnicy_średnie[[#This Row],[min]]),0)</f>
        <v>2.807017543859649</v>
      </c>
      <c r="AI52" s="4">
        <f>IFERROR((SUMIF(tbl_główna_GRACZE[I. Nazwisko],tbl_zawodnicy_średnie[[#This Row],[I. Nazwisko]],tbl_główna_GRACZE[DI]))/tbl_zawodnicy_średnie[[#This Row],[Played]],0)</f>
        <v>6.4393939393939392E-2</v>
      </c>
      <c r="AJ52" s="25">
        <f>tbl_zawodnicy_średnie[[#This Row],[stl]]+tbl_zawodnicy_średnie[[#This Row],[blk]]+(tbl_zawodnicy_średnie[[#This Row],[dreb]]*0.5)</f>
        <v>2.25</v>
      </c>
      <c r="AK52" s="29">
        <f>IFERROR((tbl_zawodnicy_średnie[[#This Row],[stl]]+tbl_zawodnicy_średnie[[#This Row],[blk]]+0.5*tbl_zawodnicy_średnie[[#This Row],[dreb]])/tbl_zawodnicy_średnie[[#This Row],[min]],0)</f>
        <v>0.15789473684210525</v>
      </c>
      <c r="AL52" s="6">
        <f t="shared" si="21"/>
        <v>3.7</v>
      </c>
      <c r="AM52" s="6">
        <f>IFERROR(tbl_zawodnicy_średnie[[#This Row],[GmSc]]*(40/tbl_zawodnicy_średnie[[#This Row],[min]]),0)</f>
        <v>10.385964912280702</v>
      </c>
      <c r="AN52" s="6">
        <f>IFERROR(tbl_zawodnicy_średnie[[#This Row],[EVAL]]*(40/tbl_zawodnicy_średnie[[#This Row],[min]]),0)</f>
        <v>16.140350877192983</v>
      </c>
      <c r="AO52" s="6">
        <f>tbl_zawodnicy_średnie[[#This Row],[fgm]]-tbl_zawodnicy_średnie[[#This Row],[3pm]]</f>
        <v>1.25</v>
      </c>
      <c r="AP52" s="6">
        <f>tbl_zawodnicy_średnie[[#This Row],[fga]]-tbl_zawodnicy_średnie[[#This Row],[3pa]]</f>
        <v>3.25</v>
      </c>
      <c r="AQ52">
        <v>42</v>
      </c>
      <c r="AR52" s="6" t="str">
        <f>tbl_zawodnicy_średnie[[#This Row],[I. Nazwisko]]&amp;" ["&amp;VLOOKUP(tbl_zawodnicy_średnie[[#This Row],[zespół]],tab_nazwy_zespołów[],2,0)&amp;"]"</f>
        <v>M. Karczmarczyk [WIL]</v>
      </c>
    </row>
    <row r="53" spans="1:44" ht="14.5" customHeight="1" x14ac:dyDescent="0.35">
      <c r="A53" t="s">
        <v>52</v>
      </c>
      <c r="B53" t="s">
        <v>200</v>
      </c>
      <c r="C53" s="9">
        <f>SUMIF(tbl_główna_GRACZE[I. Nazwisko],tbl_zawodnicy_średnie[[#This Row],[I. Nazwisko]],tbl_główna_GRACZE[Played?])</f>
        <v>4</v>
      </c>
      <c r="D53" s="55">
        <f>IFERROR((SUMIF(tbl_główna_GRACZE[I. Nazwisko],tbl_zawodnicy_średnie[[#This Row],[I. Nazwisko]],tbl_główna_GRACZE[fgm]))/tbl_zawodnicy_średnie[[#This Row],[Played]],0)</f>
        <v>2.25</v>
      </c>
      <c r="E53" s="55">
        <f>IFERROR((SUMIF(tbl_główna_GRACZE[I. Nazwisko],tbl_zawodnicy_średnie[[#This Row],[I. Nazwisko]],tbl_główna_GRACZE[fga]))/tbl_zawodnicy_średnie[[#This Row],[Played]],0)</f>
        <v>8.5</v>
      </c>
      <c r="F53" s="55">
        <f>IFERROR((SUMIF(tbl_główna_GRACZE[I. Nazwisko],tbl_zawodnicy_średnie[[#This Row],[I. Nazwisko]],tbl_główna_GRACZE[3pm]))/tbl_zawodnicy_średnie[[#This Row],[Played]],0)</f>
        <v>0.25</v>
      </c>
      <c r="G53" s="55">
        <f>IFERROR((SUMIF(tbl_główna_GRACZE[I. Nazwisko],tbl_zawodnicy_średnie[[#This Row],[I. Nazwisko]],tbl_główna_GRACZE[3pa]))/tbl_zawodnicy_średnie[[#This Row],[Played]],0)</f>
        <v>1</v>
      </c>
      <c r="H53" s="55">
        <f>IFERROR((SUMIF(tbl_główna_GRACZE[I. Nazwisko],tbl_zawodnicy_średnie[[#This Row],[I. Nazwisko]],tbl_główna_GRACZE[ftm]))/tbl_zawodnicy_średnie[[#This Row],[Played]],0)</f>
        <v>0</v>
      </c>
      <c r="I53" s="55">
        <f>IFERROR((SUMIF(tbl_główna_GRACZE[I. Nazwisko],tbl_zawodnicy_średnie[[#This Row],[I. Nazwisko]],tbl_główna_GRACZE[fta]))/tbl_zawodnicy_średnie[[#This Row],[Played]],0)</f>
        <v>1</v>
      </c>
      <c r="J53" s="55">
        <f>IFERROR((SUMIF(tbl_główna_GRACZE[I. Nazwisko],tbl_zawodnicy_średnie[[#This Row],[I. Nazwisko]],tbl_główna_GRACZE[oreb]))/tbl_zawodnicy_średnie[[#This Row],[Played]],0)</f>
        <v>2.5</v>
      </c>
      <c r="K53" s="55">
        <f>IFERROR((SUMIF(tbl_główna_GRACZE[I. Nazwisko],tbl_zawodnicy_średnie[[#This Row],[I. Nazwisko]],tbl_główna_GRACZE[dreb]))/tbl_zawodnicy_średnie[[#This Row],[Played]],0)</f>
        <v>2.5</v>
      </c>
      <c r="L53" s="55">
        <f>IFERROR((SUMIF(tbl_główna_GRACZE[I. Nazwisko],tbl_zawodnicy_średnie[[#This Row],[I. Nazwisko]],tbl_główna_GRACZE[foul]))/tbl_zawodnicy_średnie[[#This Row],[Played]],0)</f>
        <v>0.75</v>
      </c>
      <c r="M53" s="55">
        <f>IFERROR((SUMIF(tbl_główna_GRACZE[I. Nazwisko],tbl_zawodnicy_średnie[[#This Row],[I. Nazwisko]],tbl_główna_GRACZE[stl]))/tbl_zawodnicy_średnie[[#This Row],[Played]],0)</f>
        <v>0.5</v>
      </c>
      <c r="N53" s="55">
        <f>IFERROR((SUMIF(tbl_główna_GRACZE[I. Nazwisko],tbl_zawodnicy_średnie[[#This Row],[I. Nazwisko]],tbl_główna_GRACZE[to]))/tbl_zawodnicy_średnie[[#This Row],[Played]],0)</f>
        <v>0</v>
      </c>
      <c r="O53" s="55">
        <f>IFERROR((SUMIF(tbl_główna_GRACZE[I. Nazwisko],tbl_zawodnicy_średnie[[#This Row],[I. Nazwisko]],tbl_główna_GRACZE[blk]))/tbl_zawodnicy_średnie[[#This Row],[Played]],0)</f>
        <v>0.25</v>
      </c>
      <c r="P53" s="55">
        <f>IFERROR((SUMIF(tbl_główna_GRACZE[I. Nazwisko],tbl_zawodnicy_średnie[[#This Row],[I. Nazwisko]],tbl_główna_GRACZE[asst]))/tbl_zawodnicy_średnie[[#This Row],[Played]],0)</f>
        <v>0.25</v>
      </c>
      <c r="Q53" s="55">
        <f>IFERROR((SUMIF(tbl_główna_GRACZE[I. Nazwisko],tbl_zawodnicy_średnie[[#This Row],[I. Nazwisko]],tbl_główna_GRACZE[min]))/tbl_zawodnicy_średnie[[#This Row],[Played]],0)</f>
        <v>16.75</v>
      </c>
      <c r="R53" s="55">
        <f>IFERROR((SUMIF(tbl_główna_GRACZE[I. Nazwisko],tbl_zawodnicy_średnie[[#This Row],[I. Nazwisko]],tbl_główna_GRACZE[pts]))/tbl_zawodnicy_średnie[[#This Row],[Played]],0)</f>
        <v>4.75</v>
      </c>
      <c r="S53" s="6">
        <f t="shared" si="11"/>
        <v>5</v>
      </c>
      <c r="T53" s="4">
        <f t="shared" si="12"/>
        <v>0.26470588235294118</v>
      </c>
      <c r="U53" s="4">
        <f t="shared" si="13"/>
        <v>0.25</v>
      </c>
      <c r="V53" s="4">
        <f t="shared" si="14"/>
        <v>0</v>
      </c>
      <c r="W53" s="4">
        <f>IFERROR(tbl_zawodnicy_średnie[[#This Row],[2pm]]/tbl_zawodnicy_średnie[[#This Row],[2pa]],0)</f>
        <v>0.26666666666666666</v>
      </c>
      <c r="X53" s="4">
        <f t="shared" si="15"/>
        <v>0.26565995525727071</v>
      </c>
      <c r="Y53" s="4">
        <f t="shared" si="16"/>
        <v>0.27941176470588236</v>
      </c>
      <c r="Z53" s="6">
        <f t="shared" si="17"/>
        <v>3.5</v>
      </c>
      <c r="AA53" s="4">
        <f t="shared" si="18"/>
        <v>0.11764705882352941</v>
      </c>
      <c r="AB53" s="4">
        <f t="shared" si="19"/>
        <v>0.11764705882352941</v>
      </c>
      <c r="AC53" s="26">
        <f>IFERROR((SUMIF(tbl_główna_GRACZE[I. Nazwisko],tbl_zawodnicy_średnie[[#This Row],[I. Nazwisko]],tbl_główna_GRACZE[USG%]))/tbl_zawodnicy_średnie[[#This Row],[Played]],0)</f>
        <v>0.11821861269090397</v>
      </c>
      <c r="AD53" s="25">
        <f>IFERROR(tbl_zawodnicy_średnie[[#This Row],[pts]]*(40/tbl_zawodnicy_średnie[[#This Row],[min]]),0)</f>
        <v>11.343283582089551</v>
      </c>
      <c r="AE53" s="25">
        <f>IFERROR(tbl_zawodnicy_średnie[[#This Row],[reb total]]*(40/tbl_zawodnicy_średnie[[#This Row],[min]]),0)</f>
        <v>11.940298507462686</v>
      </c>
      <c r="AF53" s="30">
        <f>IFERROR(tbl_zawodnicy_średnie[[#This Row],[asst]]*(40/tbl_zawodnicy_średnie[[#This Row],[min]]),0)</f>
        <v>0.59701492537313428</v>
      </c>
      <c r="AG53" s="5">
        <f t="shared" si="20"/>
        <v>0.55882352941176472</v>
      </c>
      <c r="AH53" s="5">
        <f>IFERROR((tbl_zawodnicy_średnie[[#This Row],[stl]]+tbl_zawodnicy_średnie[[#This Row],[blk]])*(40/tbl_zawodnicy_średnie[[#This Row],[min]]),0)</f>
        <v>1.7910447761194028</v>
      </c>
      <c r="AI53" s="4">
        <f>IFERROR((SUMIF(tbl_główna_GRACZE[I. Nazwisko],tbl_zawodnicy_średnie[[#This Row],[I. Nazwisko]],tbl_główna_GRACZE[DI]))/tbl_zawodnicy_średnie[[#This Row],[Played]],0)</f>
        <v>5.3571428571428568E-2</v>
      </c>
      <c r="AJ53" s="25">
        <f>tbl_zawodnicy_średnie[[#This Row],[stl]]+tbl_zawodnicy_średnie[[#This Row],[blk]]+(tbl_zawodnicy_średnie[[#This Row],[dreb]]*0.5)</f>
        <v>2</v>
      </c>
      <c r="AK53" s="29">
        <f>IFERROR((tbl_zawodnicy_średnie[[#This Row],[stl]]+tbl_zawodnicy_średnie[[#This Row],[blk]]+0.5*tbl_zawodnicy_średnie[[#This Row],[dreb]])/tbl_zawodnicy_średnie[[#This Row],[min]],0)</f>
        <v>0.11940298507462686</v>
      </c>
      <c r="AL53" s="6">
        <f t="shared" si="21"/>
        <v>2.6500000000000008</v>
      </c>
      <c r="AM53" s="6">
        <f>IFERROR(tbl_zawodnicy_średnie[[#This Row],[GmSc]]*(40/tbl_zawodnicy_średnie[[#This Row],[min]]),0)</f>
        <v>6.3283582089552253</v>
      </c>
      <c r="AN53" s="6">
        <f>IFERROR(tbl_zawodnicy_średnie[[#This Row],[EVAL]]*(40/tbl_zawodnicy_średnie[[#This Row],[min]]),0)</f>
        <v>8.3582089552238799</v>
      </c>
      <c r="AO53" s="6">
        <f>tbl_zawodnicy_średnie[[#This Row],[fgm]]-tbl_zawodnicy_średnie[[#This Row],[3pm]]</f>
        <v>2</v>
      </c>
      <c r="AP53" s="6">
        <f>tbl_zawodnicy_średnie[[#This Row],[fga]]-tbl_zawodnicy_średnie[[#This Row],[3pa]]</f>
        <v>7.5</v>
      </c>
      <c r="AQ53">
        <v>43</v>
      </c>
      <c r="AR53" s="6" t="str">
        <f>tbl_zawodnicy_średnie[[#This Row],[I. Nazwisko]]&amp;" ["&amp;VLOOKUP(tbl_zawodnicy_średnie[[#This Row],[zespół]],tab_nazwy_zespołów[],2,0)&amp;"]"</f>
        <v>M. Nagrodzki [WIL]</v>
      </c>
    </row>
    <row r="54" spans="1:44" ht="14.5" customHeight="1" x14ac:dyDescent="0.35">
      <c r="A54" t="s">
        <v>52</v>
      </c>
      <c r="B54" t="s">
        <v>201</v>
      </c>
      <c r="C54" s="9">
        <f>SUMIF(tbl_główna_GRACZE[I. Nazwisko],tbl_zawodnicy_średnie[[#This Row],[I. Nazwisko]],tbl_główna_GRACZE[Played?])</f>
        <v>3</v>
      </c>
      <c r="D54" s="55">
        <f>IFERROR((SUMIF(tbl_główna_GRACZE[I. Nazwisko],tbl_zawodnicy_średnie[[#This Row],[I. Nazwisko]],tbl_główna_GRACZE[fgm]))/tbl_zawodnicy_średnie[[#This Row],[Played]],0)</f>
        <v>1.6666666666666667</v>
      </c>
      <c r="E54" s="55">
        <f>IFERROR((SUMIF(tbl_główna_GRACZE[I. Nazwisko],tbl_zawodnicy_średnie[[#This Row],[I. Nazwisko]],tbl_główna_GRACZE[fga]))/tbl_zawodnicy_średnie[[#This Row],[Played]],0)</f>
        <v>7.666666666666667</v>
      </c>
      <c r="F54" s="55">
        <f>IFERROR((SUMIF(tbl_główna_GRACZE[I. Nazwisko],tbl_zawodnicy_średnie[[#This Row],[I. Nazwisko]],tbl_główna_GRACZE[3pm]))/tbl_zawodnicy_średnie[[#This Row],[Played]],0)</f>
        <v>0</v>
      </c>
      <c r="G54" s="55">
        <f>IFERROR((SUMIF(tbl_główna_GRACZE[I. Nazwisko],tbl_zawodnicy_średnie[[#This Row],[I. Nazwisko]],tbl_główna_GRACZE[3pa]))/tbl_zawodnicy_średnie[[#This Row],[Played]],0)</f>
        <v>1.6666666666666667</v>
      </c>
      <c r="H54" s="55">
        <f>IFERROR((SUMIF(tbl_główna_GRACZE[I. Nazwisko],tbl_zawodnicy_średnie[[#This Row],[I. Nazwisko]],tbl_główna_GRACZE[ftm]))/tbl_zawodnicy_średnie[[#This Row],[Played]],0)</f>
        <v>0</v>
      </c>
      <c r="I54" s="55">
        <f>IFERROR((SUMIF(tbl_główna_GRACZE[I. Nazwisko],tbl_zawodnicy_średnie[[#This Row],[I. Nazwisko]],tbl_główna_GRACZE[fta]))/tbl_zawodnicy_średnie[[#This Row],[Played]],0)</f>
        <v>0</v>
      </c>
      <c r="J54" s="55">
        <f>IFERROR((SUMIF(tbl_główna_GRACZE[I. Nazwisko],tbl_zawodnicy_średnie[[#This Row],[I. Nazwisko]],tbl_główna_GRACZE[oreb]))/tbl_zawodnicy_średnie[[#This Row],[Played]],0)</f>
        <v>2</v>
      </c>
      <c r="K54" s="55">
        <f>IFERROR((SUMIF(tbl_główna_GRACZE[I. Nazwisko],tbl_zawodnicy_średnie[[#This Row],[I. Nazwisko]],tbl_główna_GRACZE[dreb]))/tbl_zawodnicy_średnie[[#This Row],[Played]],0)</f>
        <v>3</v>
      </c>
      <c r="L54" s="55">
        <f>IFERROR((SUMIF(tbl_główna_GRACZE[I. Nazwisko],tbl_zawodnicy_średnie[[#This Row],[I. Nazwisko]],tbl_główna_GRACZE[foul]))/tbl_zawodnicy_średnie[[#This Row],[Played]],0)</f>
        <v>1</v>
      </c>
      <c r="M54" s="55">
        <f>IFERROR((SUMIF(tbl_główna_GRACZE[I. Nazwisko],tbl_zawodnicy_średnie[[#This Row],[I. Nazwisko]],tbl_główna_GRACZE[stl]))/tbl_zawodnicy_średnie[[#This Row],[Played]],0)</f>
        <v>0.66666666666666663</v>
      </c>
      <c r="N54" s="55">
        <f>IFERROR((SUMIF(tbl_główna_GRACZE[I. Nazwisko],tbl_zawodnicy_średnie[[#This Row],[I. Nazwisko]],tbl_główna_GRACZE[to]))/tbl_zawodnicy_średnie[[#This Row],[Played]],0)</f>
        <v>0</v>
      </c>
      <c r="O54" s="55">
        <f>IFERROR((SUMIF(tbl_główna_GRACZE[I. Nazwisko],tbl_zawodnicy_średnie[[#This Row],[I. Nazwisko]],tbl_główna_GRACZE[blk]))/tbl_zawodnicy_średnie[[#This Row],[Played]],0)</f>
        <v>1</v>
      </c>
      <c r="P54" s="55">
        <f>IFERROR((SUMIF(tbl_główna_GRACZE[I. Nazwisko],tbl_zawodnicy_średnie[[#This Row],[I. Nazwisko]],tbl_główna_GRACZE[asst]))/tbl_zawodnicy_średnie[[#This Row],[Played]],0)</f>
        <v>0.66666666666666663</v>
      </c>
      <c r="Q54" s="55">
        <f>IFERROR((SUMIF(tbl_główna_GRACZE[I. Nazwisko],tbl_zawodnicy_średnie[[#This Row],[I. Nazwisko]],tbl_główna_GRACZE[min]))/tbl_zawodnicy_średnie[[#This Row],[Played]],0)</f>
        <v>16</v>
      </c>
      <c r="R54" s="55">
        <f>IFERROR((SUMIF(tbl_główna_GRACZE[I. Nazwisko],tbl_zawodnicy_średnie[[#This Row],[I. Nazwisko]],tbl_główna_GRACZE[pts]))/tbl_zawodnicy_średnie[[#This Row],[Played]],0)</f>
        <v>3.3333333333333335</v>
      </c>
      <c r="S54" s="6">
        <f t="shared" si="11"/>
        <v>5</v>
      </c>
      <c r="T54" s="4">
        <f t="shared" si="12"/>
        <v>0.21739130434782608</v>
      </c>
      <c r="U54" s="4">
        <f t="shared" si="13"/>
        <v>0</v>
      </c>
      <c r="V54" s="4">
        <f t="shared" si="14"/>
        <v>0</v>
      </c>
      <c r="W54" s="4">
        <f>IFERROR(tbl_zawodnicy_średnie[[#This Row],[2pm]]/tbl_zawodnicy_średnie[[#This Row],[2pa]],0)</f>
        <v>0.27777777777777779</v>
      </c>
      <c r="X54" s="4">
        <f t="shared" si="15"/>
        <v>0.21739130434782608</v>
      </c>
      <c r="Y54" s="4">
        <f t="shared" si="16"/>
        <v>0.21739130434782608</v>
      </c>
      <c r="Z54" s="6">
        <f t="shared" si="17"/>
        <v>4.6666666666666661</v>
      </c>
      <c r="AA54" s="4">
        <f t="shared" si="18"/>
        <v>0</v>
      </c>
      <c r="AB54" s="4">
        <f t="shared" si="19"/>
        <v>0.21739130434782608</v>
      </c>
      <c r="AC54" s="26">
        <f>IFERROR((SUMIF(tbl_główna_GRACZE[I. Nazwisko],tbl_zawodnicy_średnie[[#This Row],[I. Nazwisko]],tbl_główna_GRACZE[USG%]))/tbl_zawodnicy_średnie[[#This Row],[Played]],0)</f>
        <v>9.5021209632733597E-2</v>
      </c>
      <c r="AD54" s="25">
        <f>IFERROR(tbl_zawodnicy_średnie[[#This Row],[pts]]*(40/tbl_zawodnicy_średnie[[#This Row],[min]]),0)</f>
        <v>8.3333333333333339</v>
      </c>
      <c r="AE54" s="25">
        <f>IFERROR(tbl_zawodnicy_średnie[[#This Row],[reb total]]*(40/tbl_zawodnicy_średnie[[#This Row],[min]]),0)</f>
        <v>12.5</v>
      </c>
      <c r="AF54" s="30">
        <f>IFERROR(tbl_zawodnicy_średnie[[#This Row],[asst]]*(40/tbl_zawodnicy_średnie[[#This Row],[min]]),0)</f>
        <v>1.6666666666666665</v>
      </c>
      <c r="AG54" s="5">
        <f t="shared" si="20"/>
        <v>0.43478260869565216</v>
      </c>
      <c r="AH54" s="5">
        <f>IFERROR((tbl_zawodnicy_średnie[[#This Row],[stl]]+tbl_zawodnicy_średnie[[#This Row],[blk]])*(40/tbl_zawodnicy_średnie[[#This Row],[min]]),0)</f>
        <v>4.1666666666666661</v>
      </c>
      <c r="AI54" s="4">
        <f>IFERROR((SUMIF(tbl_główna_GRACZE[I. Nazwisko],tbl_zawodnicy_średnie[[#This Row],[I. Nazwisko]],tbl_główna_GRACZE[DI]))/tbl_zawodnicy_średnie[[#This Row],[Played]],0)</f>
        <v>0.11471861471861471</v>
      </c>
      <c r="AJ54" s="25">
        <f>tbl_zawodnicy_średnie[[#This Row],[stl]]+tbl_zawodnicy_średnie[[#This Row],[blk]]+(tbl_zawodnicy_średnie[[#This Row],[dreb]]*0.5)</f>
        <v>3.1666666666666665</v>
      </c>
      <c r="AK54" s="29">
        <f>IFERROR((tbl_zawodnicy_średnie[[#This Row],[stl]]+tbl_zawodnicy_średnie[[#This Row],[blk]]+0.5*tbl_zawodnicy_średnie[[#This Row],[dreb]])/tbl_zawodnicy_średnie[[#This Row],[min]],0)</f>
        <v>0.19791666666666666</v>
      </c>
      <c r="AL54" s="6">
        <f t="shared" si="21"/>
        <v>2.7666666666666666</v>
      </c>
      <c r="AM54" s="6">
        <f>IFERROR(tbl_zawodnicy_średnie[[#This Row],[GmSc]]*(40/tbl_zawodnicy_średnie[[#This Row],[min]]),0)</f>
        <v>6.9166666666666661</v>
      </c>
      <c r="AN54" s="6">
        <f>IFERROR(tbl_zawodnicy_średnie[[#This Row],[EVAL]]*(40/tbl_zawodnicy_średnie[[#This Row],[min]]),0)</f>
        <v>11.666666666666664</v>
      </c>
      <c r="AO54" s="6">
        <f>tbl_zawodnicy_średnie[[#This Row],[fgm]]-tbl_zawodnicy_średnie[[#This Row],[3pm]]</f>
        <v>1.6666666666666667</v>
      </c>
      <c r="AP54" s="6">
        <f>tbl_zawodnicy_średnie[[#This Row],[fga]]-tbl_zawodnicy_średnie[[#This Row],[3pa]]</f>
        <v>6</v>
      </c>
      <c r="AQ54">
        <v>44</v>
      </c>
      <c r="AR54" s="6" t="str">
        <f>tbl_zawodnicy_średnie[[#This Row],[I. Nazwisko]]&amp;" ["&amp;VLOOKUP(tbl_zawodnicy_średnie[[#This Row],[zespół]],tab_nazwy_zespołów[],2,0)&amp;"]"</f>
        <v>J. Karolczuk [WIL]</v>
      </c>
    </row>
    <row r="55" spans="1:44" ht="14.5" customHeight="1" x14ac:dyDescent="0.35">
      <c r="A55" t="s">
        <v>52</v>
      </c>
      <c r="B55" t="s">
        <v>202</v>
      </c>
      <c r="C55" s="9">
        <f>SUMIF(tbl_główna_GRACZE[I. Nazwisko],tbl_zawodnicy_średnie[[#This Row],[I. Nazwisko]],tbl_główna_GRACZE[Played?])</f>
        <v>2</v>
      </c>
      <c r="D55" s="55">
        <f>IFERROR((SUMIF(tbl_główna_GRACZE[I. Nazwisko],tbl_zawodnicy_średnie[[#This Row],[I. Nazwisko]],tbl_główna_GRACZE[fgm]))/tbl_zawodnicy_średnie[[#This Row],[Played]],0)</f>
        <v>0</v>
      </c>
      <c r="E55" s="55">
        <f>IFERROR((SUMIF(tbl_główna_GRACZE[I. Nazwisko],tbl_zawodnicy_średnie[[#This Row],[I. Nazwisko]],tbl_główna_GRACZE[fga]))/tbl_zawodnicy_średnie[[#This Row],[Played]],0)</f>
        <v>2.5</v>
      </c>
      <c r="F55" s="55">
        <f>IFERROR((SUMIF(tbl_główna_GRACZE[I. Nazwisko],tbl_zawodnicy_średnie[[#This Row],[I. Nazwisko]],tbl_główna_GRACZE[3pm]))/tbl_zawodnicy_średnie[[#This Row],[Played]],0)</f>
        <v>0</v>
      </c>
      <c r="G55" s="55">
        <f>IFERROR((SUMIF(tbl_główna_GRACZE[I. Nazwisko],tbl_zawodnicy_średnie[[#This Row],[I. Nazwisko]],tbl_główna_GRACZE[3pa]))/tbl_zawodnicy_średnie[[#This Row],[Played]],0)</f>
        <v>2</v>
      </c>
      <c r="H55" s="55">
        <f>IFERROR((SUMIF(tbl_główna_GRACZE[I. Nazwisko],tbl_zawodnicy_średnie[[#This Row],[I. Nazwisko]],tbl_główna_GRACZE[ftm]))/tbl_zawodnicy_średnie[[#This Row],[Played]],0)</f>
        <v>0</v>
      </c>
      <c r="I55" s="55">
        <f>IFERROR((SUMIF(tbl_główna_GRACZE[I. Nazwisko],tbl_zawodnicy_średnie[[#This Row],[I. Nazwisko]],tbl_główna_GRACZE[fta]))/tbl_zawodnicy_średnie[[#This Row],[Played]],0)</f>
        <v>1</v>
      </c>
      <c r="J55" s="55">
        <f>IFERROR((SUMIF(tbl_główna_GRACZE[I. Nazwisko],tbl_zawodnicy_średnie[[#This Row],[I. Nazwisko]],tbl_główna_GRACZE[oreb]))/tbl_zawodnicy_średnie[[#This Row],[Played]],0)</f>
        <v>0.5</v>
      </c>
      <c r="K55" s="55">
        <f>IFERROR((SUMIF(tbl_główna_GRACZE[I. Nazwisko],tbl_zawodnicy_średnie[[#This Row],[I. Nazwisko]],tbl_główna_GRACZE[dreb]))/tbl_zawodnicy_średnie[[#This Row],[Played]],0)</f>
        <v>1.5</v>
      </c>
      <c r="L55" s="55">
        <f>IFERROR((SUMIF(tbl_główna_GRACZE[I. Nazwisko],tbl_zawodnicy_średnie[[#This Row],[I. Nazwisko]],tbl_główna_GRACZE[foul]))/tbl_zawodnicy_średnie[[#This Row],[Played]],0)</f>
        <v>0.5</v>
      </c>
      <c r="M55" s="55">
        <f>IFERROR((SUMIF(tbl_główna_GRACZE[I. Nazwisko],tbl_zawodnicy_średnie[[#This Row],[I. Nazwisko]],tbl_główna_GRACZE[stl]))/tbl_zawodnicy_średnie[[#This Row],[Played]],0)</f>
        <v>0.5</v>
      </c>
      <c r="N55" s="55">
        <f>IFERROR((SUMIF(tbl_główna_GRACZE[I. Nazwisko],tbl_zawodnicy_średnie[[#This Row],[I. Nazwisko]],tbl_główna_GRACZE[to]))/tbl_zawodnicy_średnie[[#This Row],[Played]],0)</f>
        <v>0</v>
      </c>
      <c r="O55" s="55">
        <f>IFERROR((SUMIF(tbl_główna_GRACZE[I. Nazwisko],tbl_zawodnicy_średnie[[#This Row],[I. Nazwisko]],tbl_główna_GRACZE[blk]))/tbl_zawodnicy_średnie[[#This Row],[Played]],0)</f>
        <v>0</v>
      </c>
      <c r="P55" s="55">
        <f>IFERROR((SUMIF(tbl_główna_GRACZE[I. Nazwisko],tbl_zawodnicy_średnie[[#This Row],[I. Nazwisko]],tbl_główna_GRACZE[asst]))/tbl_zawodnicy_średnie[[#This Row],[Played]],0)</f>
        <v>1</v>
      </c>
      <c r="Q55" s="55">
        <f>IFERROR((SUMIF(tbl_główna_GRACZE[I. Nazwisko],tbl_zawodnicy_średnie[[#This Row],[I. Nazwisko]],tbl_główna_GRACZE[min]))/tbl_zawodnicy_średnie[[#This Row],[Played]],0)</f>
        <v>10</v>
      </c>
      <c r="R55" s="55">
        <f>IFERROR((SUMIF(tbl_główna_GRACZE[I. Nazwisko],tbl_zawodnicy_średnie[[#This Row],[I. Nazwisko]],tbl_główna_GRACZE[pts]))/tbl_zawodnicy_średnie[[#This Row],[Played]],0)</f>
        <v>0</v>
      </c>
      <c r="S55" s="6">
        <f t="shared" si="11"/>
        <v>2</v>
      </c>
      <c r="T55" s="4">
        <f t="shared" si="12"/>
        <v>0</v>
      </c>
      <c r="U55" s="4">
        <f t="shared" si="13"/>
        <v>0</v>
      </c>
      <c r="V55" s="4">
        <f t="shared" si="14"/>
        <v>0</v>
      </c>
      <c r="W55" s="4">
        <f>IFERROR(tbl_zawodnicy_średnie[[#This Row],[2pm]]/tbl_zawodnicy_średnie[[#This Row],[2pa]],0)</f>
        <v>0</v>
      </c>
      <c r="X55" s="4">
        <f t="shared" si="15"/>
        <v>0</v>
      </c>
      <c r="Y55" s="4">
        <f t="shared" si="16"/>
        <v>0</v>
      </c>
      <c r="Z55" s="6">
        <f t="shared" si="17"/>
        <v>0</v>
      </c>
      <c r="AA55" s="4">
        <f t="shared" si="18"/>
        <v>0.4</v>
      </c>
      <c r="AB55" s="4">
        <f t="shared" si="19"/>
        <v>0.8</v>
      </c>
      <c r="AC55" s="26">
        <f>IFERROR((SUMIF(tbl_główna_GRACZE[I. Nazwisko],tbl_zawodnicy_średnie[[#This Row],[I. Nazwisko]],tbl_główna_GRACZE[USG%]))/tbl_zawodnicy_średnie[[#This Row],[Played]],0)</f>
        <v>4.9532522350006825E-2</v>
      </c>
      <c r="AD55" s="25">
        <f>IFERROR(tbl_zawodnicy_średnie[[#This Row],[pts]]*(40/tbl_zawodnicy_średnie[[#This Row],[min]]),0)</f>
        <v>0</v>
      </c>
      <c r="AE55" s="25">
        <f>IFERROR(tbl_zawodnicy_średnie[[#This Row],[reb total]]*(40/tbl_zawodnicy_średnie[[#This Row],[min]]),0)</f>
        <v>8</v>
      </c>
      <c r="AF55" s="30">
        <f>IFERROR(tbl_zawodnicy_średnie[[#This Row],[asst]]*(40/tbl_zawodnicy_średnie[[#This Row],[min]]),0)</f>
        <v>4</v>
      </c>
      <c r="AG55" s="5">
        <f t="shared" si="20"/>
        <v>0</v>
      </c>
      <c r="AH55" s="5">
        <f>IFERROR((tbl_zawodnicy_średnie[[#This Row],[stl]]+tbl_zawodnicy_średnie[[#This Row],[blk]])*(40/tbl_zawodnicy_średnie[[#This Row],[min]]),0)</f>
        <v>2</v>
      </c>
      <c r="AI55" s="4">
        <f>IFERROR((SUMIF(tbl_główna_GRACZE[I. Nazwisko],tbl_zawodnicy_średnie[[#This Row],[I. Nazwisko]],tbl_główna_GRACZE[DI]))/tbl_zawodnicy_średnie[[#This Row],[Played]],0)</f>
        <v>2.2727272727272728E-2</v>
      </c>
      <c r="AJ55" s="25">
        <f>tbl_zawodnicy_średnie[[#This Row],[stl]]+tbl_zawodnicy_średnie[[#This Row],[blk]]+(tbl_zawodnicy_średnie[[#This Row],[dreb]]*0.5)</f>
        <v>1.25</v>
      </c>
      <c r="AK55" s="29">
        <f>IFERROR((tbl_zawodnicy_średnie[[#This Row],[stl]]+tbl_zawodnicy_średnie[[#This Row],[blk]]+0.5*tbl_zawodnicy_średnie[[#This Row],[dreb]])/tbl_zawodnicy_średnie[[#This Row],[min]],0)</f>
        <v>0.125</v>
      </c>
      <c r="AL55" s="6">
        <f t="shared" si="21"/>
        <v>-0.14999999999999991</v>
      </c>
      <c r="AM55" s="6">
        <f>IFERROR(tbl_zawodnicy_średnie[[#This Row],[GmSc]]*(40/tbl_zawodnicy_średnie[[#This Row],[min]]),0)</f>
        <v>-0.59999999999999964</v>
      </c>
      <c r="AN55" s="6">
        <f>IFERROR(tbl_zawodnicy_średnie[[#This Row],[EVAL]]*(40/tbl_zawodnicy_średnie[[#This Row],[min]]),0)</f>
        <v>0</v>
      </c>
      <c r="AO55" s="6">
        <f>tbl_zawodnicy_średnie[[#This Row],[fgm]]-tbl_zawodnicy_średnie[[#This Row],[3pm]]</f>
        <v>0</v>
      </c>
      <c r="AP55" s="6">
        <f>tbl_zawodnicy_średnie[[#This Row],[fga]]-tbl_zawodnicy_średnie[[#This Row],[3pa]]</f>
        <v>0.5</v>
      </c>
      <c r="AQ55">
        <v>45</v>
      </c>
      <c r="AR55" s="6" t="str">
        <f>tbl_zawodnicy_średnie[[#This Row],[I. Nazwisko]]&amp;" ["&amp;VLOOKUP(tbl_zawodnicy_średnie[[#This Row],[zespół]],tab_nazwy_zespołów[],2,0)&amp;"]"</f>
        <v>K. Kondeja [WIL]</v>
      </c>
    </row>
    <row r="56" spans="1:44" ht="14.5" customHeight="1" x14ac:dyDescent="0.35">
      <c r="A56" t="s">
        <v>52</v>
      </c>
      <c r="B56" t="s">
        <v>203</v>
      </c>
      <c r="C56" s="9">
        <f>SUMIF(tbl_główna_GRACZE[I. Nazwisko],tbl_zawodnicy_średnie[[#This Row],[I. Nazwisko]],tbl_główna_GRACZE[Played?])</f>
        <v>2</v>
      </c>
      <c r="D56" s="55">
        <f>IFERROR((SUMIF(tbl_główna_GRACZE[I. Nazwisko],tbl_zawodnicy_średnie[[#This Row],[I. Nazwisko]],tbl_główna_GRACZE[fgm]))/tbl_zawodnicy_średnie[[#This Row],[Played]],0)</f>
        <v>0</v>
      </c>
      <c r="E56" s="55">
        <f>IFERROR((SUMIF(tbl_główna_GRACZE[I. Nazwisko],tbl_zawodnicy_średnie[[#This Row],[I. Nazwisko]],tbl_główna_GRACZE[fga]))/tbl_zawodnicy_średnie[[#This Row],[Played]],0)</f>
        <v>1.5</v>
      </c>
      <c r="F56" s="55">
        <f>IFERROR((SUMIF(tbl_główna_GRACZE[I. Nazwisko],tbl_zawodnicy_średnie[[#This Row],[I. Nazwisko]],tbl_główna_GRACZE[3pm]))/tbl_zawodnicy_średnie[[#This Row],[Played]],0)</f>
        <v>0</v>
      </c>
      <c r="G56" s="55">
        <f>IFERROR((SUMIF(tbl_główna_GRACZE[I. Nazwisko],tbl_zawodnicy_średnie[[#This Row],[I. Nazwisko]],tbl_główna_GRACZE[3pa]))/tbl_zawodnicy_średnie[[#This Row],[Played]],0)</f>
        <v>0</v>
      </c>
      <c r="H56" s="55">
        <f>IFERROR((SUMIF(tbl_główna_GRACZE[I. Nazwisko],tbl_zawodnicy_średnie[[#This Row],[I. Nazwisko]],tbl_główna_GRACZE[ftm]))/tbl_zawodnicy_średnie[[#This Row],[Played]],0)</f>
        <v>0</v>
      </c>
      <c r="I56" s="55">
        <f>IFERROR((SUMIF(tbl_główna_GRACZE[I. Nazwisko],tbl_zawodnicy_średnie[[#This Row],[I. Nazwisko]],tbl_główna_GRACZE[fta]))/tbl_zawodnicy_średnie[[#This Row],[Played]],0)</f>
        <v>0</v>
      </c>
      <c r="J56" s="55">
        <f>IFERROR((SUMIF(tbl_główna_GRACZE[I. Nazwisko],tbl_zawodnicy_średnie[[#This Row],[I. Nazwisko]],tbl_główna_GRACZE[oreb]))/tbl_zawodnicy_średnie[[#This Row],[Played]],0)</f>
        <v>1</v>
      </c>
      <c r="K56" s="55">
        <f>IFERROR((SUMIF(tbl_główna_GRACZE[I. Nazwisko],tbl_zawodnicy_średnie[[#This Row],[I. Nazwisko]],tbl_główna_GRACZE[dreb]))/tbl_zawodnicy_średnie[[#This Row],[Played]],0)</f>
        <v>0.5</v>
      </c>
      <c r="L56" s="55">
        <f>IFERROR((SUMIF(tbl_główna_GRACZE[I. Nazwisko],tbl_zawodnicy_średnie[[#This Row],[I. Nazwisko]],tbl_główna_GRACZE[foul]))/tbl_zawodnicy_średnie[[#This Row],[Played]],0)</f>
        <v>0</v>
      </c>
      <c r="M56" s="55">
        <f>IFERROR((SUMIF(tbl_główna_GRACZE[I. Nazwisko],tbl_zawodnicy_średnie[[#This Row],[I. Nazwisko]],tbl_główna_GRACZE[stl]))/tbl_zawodnicy_średnie[[#This Row],[Played]],0)</f>
        <v>0</v>
      </c>
      <c r="N56" s="55">
        <f>IFERROR((SUMIF(tbl_główna_GRACZE[I. Nazwisko],tbl_zawodnicy_średnie[[#This Row],[I. Nazwisko]],tbl_główna_GRACZE[to]))/tbl_zawodnicy_średnie[[#This Row],[Played]],0)</f>
        <v>0</v>
      </c>
      <c r="O56" s="55">
        <f>IFERROR((SUMIF(tbl_główna_GRACZE[I. Nazwisko],tbl_zawodnicy_średnie[[#This Row],[I. Nazwisko]],tbl_główna_GRACZE[blk]))/tbl_zawodnicy_średnie[[#This Row],[Played]],0)</f>
        <v>0</v>
      </c>
      <c r="P56" s="55">
        <f>IFERROR((SUMIF(tbl_główna_GRACZE[I. Nazwisko],tbl_zawodnicy_średnie[[#This Row],[I. Nazwisko]],tbl_główna_GRACZE[asst]))/tbl_zawodnicy_średnie[[#This Row],[Played]],0)</f>
        <v>0</v>
      </c>
      <c r="Q56" s="55">
        <f>IFERROR((SUMIF(tbl_główna_GRACZE[I. Nazwisko],tbl_zawodnicy_średnie[[#This Row],[I. Nazwisko]],tbl_główna_GRACZE[min]))/tbl_zawodnicy_średnie[[#This Row],[Played]],0)</f>
        <v>4</v>
      </c>
      <c r="R56" s="55">
        <f>IFERROR((SUMIF(tbl_główna_GRACZE[I. Nazwisko],tbl_zawodnicy_średnie[[#This Row],[I. Nazwisko]],tbl_główna_GRACZE[pts]))/tbl_zawodnicy_średnie[[#This Row],[Played]],0)</f>
        <v>0</v>
      </c>
      <c r="S56" s="6">
        <f t="shared" si="11"/>
        <v>1.5</v>
      </c>
      <c r="T56" s="4">
        <f t="shared" si="12"/>
        <v>0</v>
      </c>
      <c r="U56" s="4">
        <f t="shared" si="13"/>
        <v>0</v>
      </c>
      <c r="V56" s="4">
        <f t="shared" si="14"/>
        <v>0</v>
      </c>
      <c r="W56" s="4">
        <f>IFERROR(tbl_zawodnicy_średnie[[#This Row],[2pm]]/tbl_zawodnicy_średnie[[#This Row],[2pa]],0)</f>
        <v>0</v>
      </c>
      <c r="X56" s="4">
        <f t="shared" si="15"/>
        <v>0</v>
      </c>
      <c r="Y56" s="4">
        <f t="shared" si="16"/>
        <v>0</v>
      </c>
      <c r="Z56" s="6">
        <f t="shared" si="17"/>
        <v>0</v>
      </c>
      <c r="AA56" s="4">
        <f t="shared" si="18"/>
        <v>0</v>
      </c>
      <c r="AB56" s="4">
        <f t="shared" si="19"/>
        <v>0</v>
      </c>
      <c r="AC56" s="26">
        <f>IFERROR((SUMIF(tbl_główna_GRACZE[I. Nazwisko],tbl_zawodnicy_średnie[[#This Row],[I. Nazwisko]],tbl_główna_GRACZE[USG%]))/tbl_zawodnicy_średnie[[#This Row],[Played]],0)</f>
        <v>1.8662776975532504E-2</v>
      </c>
      <c r="AD56" s="25">
        <f>IFERROR(tbl_zawodnicy_średnie[[#This Row],[pts]]*(40/tbl_zawodnicy_średnie[[#This Row],[min]]),0)</f>
        <v>0</v>
      </c>
      <c r="AE56" s="25">
        <f>IFERROR(tbl_zawodnicy_średnie[[#This Row],[reb total]]*(40/tbl_zawodnicy_średnie[[#This Row],[min]]),0)</f>
        <v>15</v>
      </c>
      <c r="AF56" s="30">
        <f>IFERROR(tbl_zawodnicy_średnie[[#This Row],[asst]]*(40/tbl_zawodnicy_średnie[[#This Row],[min]]),0)</f>
        <v>0</v>
      </c>
      <c r="AG56" s="5">
        <f t="shared" si="20"/>
        <v>0</v>
      </c>
      <c r="AH56" s="5">
        <f>IFERROR((tbl_zawodnicy_średnie[[#This Row],[stl]]+tbl_zawodnicy_średnie[[#This Row],[blk]])*(40/tbl_zawodnicy_średnie[[#This Row],[min]]),0)</f>
        <v>0</v>
      </c>
      <c r="AI56" s="4">
        <f>IFERROR((SUMIF(tbl_główna_GRACZE[I. Nazwisko],tbl_zawodnicy_średnie[[#This Row],[I. Nazwisko]],tbl_główna_GRACZE[DI]))/tbl_zawodnicy_średnie[[#This Row],[Played]],0)</f>
        <v>0</v>
      </c>
      <c r="AJ56" s="25">
        <f>tbl_zawodnicy_średnie[[#This Row],[stl]]+tbl_zawodnicy_średnie[[#This Row],[blk]]+(tbl_zawodnicy_średnie[[#This Row],[dreb]]*0.5)</f>
        <v>0.25</v>
      </c>
      <c r="AK56" s="29">
        <f>IFERROR((tbl_zawodnicy_średnie[[#This Row],[stl]]+tbl_zawodnicy_średnie[[#This Row],[blk]]+0.5*tbl_zawodnicy_średnie[[#This Row],[dreb]])/tbl_zawodnicy_średnie[[#This Row],[min]],0)</f>
        <v>6.25E-2</v>
      </c>
      <c r="AL56" s="6">
        <f t="shared" si="21"/>
        <v>-0.19999999999999987</v>
      </c>
      <c r="AM56" s="6">
        <f>IFERROR(tbl_zawodnicy_średnie[[#This Row],[GmSc]]*(40/tbl_zawodnicy_średnie[[#This Row],[min]]),0)</f>
        <v>-1.9999999999999987</v>
      </c>
      <c r="AN56" s="6">
        <f>IFERROR(tbl_zawodnicy_średnie[[#This Row],[EVAL]]*(40/tbl_zawodnicy_średnie[[#This Row],[min]]),0)</f>
        <v>0</v>
      </c>
      <c r="AO56" s="6">
        <f>tbl_zawodnicy_średnie[[#This Row],[fgm]]-tbl_zawodnicy_średnie[[#This Row],[3pm]]</f>
        <v>0</v>
      </c>
      <c r="AP56" s="6">
        <f>tbl_zawodnicy_średnie[[#This Row],[fga]]-tbl_zawodnicy_średnie[[#This Row],[3pa]]</f>
        <v>1.5</v>
      </c>
      <c r="AQ56">
        <v>46</v>
      </c>
      <c r="AR56" s="6" t="str">
        <f>tbl_zawodnicy_średnie[[#This Row],[I. Nazwisko]]&amp;" ["&amp;VLOOKUP(tbl_zawodnicy_średnie[[#This Row],[zespół]],tab_nazwy_zespołów[],2,0)&amp;"]"</f>
        <v>G. Jusiński [WIL]</v>
      </c>
    </row>
    <row r="57" spans="1:44" x14ac:dyDescent="0.35">
      <c r="A57" t="s">
        <v>50</v>
      </c>
      <c r="B57" t="s">
        <v>204</v>
      </c>
      <c r="C57" s="9">
        <f>SUMIF(tbl_główna_GRACZE[I. Nazwisko],tbl_zawodnicy_średnie[[#This Row],[I. Nazwisko]],tbl_główna_GRACZE[Played?])</f>
        <v>3</v>
      </c>
      <c r="D57" s="55">
        <f>IFERROR((SUMIF(tbl_główna_GRACZE[I. Nazwisko],tbl_zawodnicy_średnie[[#This Row],[I. Nazwisko]],tbl_główna_GRACZE[fgm]))/tbl_zawodnicy_średnie[[#This Row],[Played]],0)</f>
        <v>3.3333333333333335</v>
      </c>
      <c r="E57" s="55">
        <f>IFERROR((SUMIF(tbl_główna_GRACZE[I. Nazwisko],tbl_zawodnicy_średnie[[#This Row],[I. Nazwisko]],tbl_główna_GRACZE[fga]))/tbl_zawodnicy_średnie[[#This Row],[Played]],0)</f>
        <v>8.3333333333333339</v>
      </c>
      <c r="F57" s="55">
        <f>IFERROR((SUMIF(tbl_główna_GRACZE[I. Nazwisko],tbl_zawodnicy_średnie[[#This Row],[I. Nazwisko]],tbl_główna_GRACZE[3pm]))/tbl_zawodnicy_średnie[[#This Row],[Played]],0)</f>
        <v>2.6666666666666665</v>
      </c>
      <c r="G57" s="55">
        <f>IFERROR((SUMIF(tbl_główna_GRACZE[I. Nazwisko],tbl_zawodnicy_średnie[[#This Row],[I. Nazwisko]],tbl_główna_GRACZE[3pa]))/tbl_zawodnicy_średnie[[#This Row],[Played]],0)</f>
        <v>5.666666666666667</v>
      </c>
      <c r="H57" s="55">
        <f>IFERROR((SUMIF(tbl_główna_GRACZE[I. Nazwisko],tbl_zawodnicy_średnie[[#This Row],[I. Nazwisko]],tbl_główna_GRACZE[ftm]))/tbl_zawodnicy_średnie[[#This Row],[Played]],0)</f>
        <v>0</v>
      </c>
      <c r="I57" s="55">
        <f>IFERROR((SUMIF(tbl_główna_GRACZE[I. Nazwisko],tbl_zawodnicy_średnie[[#This Row],[I. Nazwisko]],tbl_główna_GRACZE[fta]))/tbl_zawodnicy_średnie[[#This Row],[Played]],0)</f>
        <v>0.33333333333333331</v>
      </c>
      <c r="J57" s="55">
        <f>IFERROR((SUMIF(tbl_główna_GRACZE[I. Nazwisko],tbl_zawodnicy_średnie[[#This Row],[I. Nazwisko]],tbl_główna_GRACZE[oreb]))/tbl_zawodnicy_średnie[[#This Row],[Played]],0)</f>
        <v>1.3333333333333333</v>
      </c>
      <c r="K57" s="55">
        <f>IFERROR((SUMIF(tbl_główna_GRACZE[I. Nazwisko],tbl_zawodnicy_średnie[[#This Row],[I. Nazwisko]],tbl_główna_GRACZE[dreb]))/tbl_zawodnicy_średnie[[#This Row],[Played]],0)</f>
        <v>9</v>
      </c>
      <c r="L57" s="55">
        <f>IFERROR((SUMIF(tbl_główna_GRACZE[I. Nazwisko],tbl_zawodnicy_średnie[[#This Row],[I. Nazwisko]],tbl_główna_GRACZE[foul]))/tbl_zawodnicy_średnie[[#This Row],[Played]],0)</f>
        <v>1.3333333333333333</v>
      </c>
      <c r="M57" s="55">
        <f>IFERROR((SUMIF(tbl_główna_GRACZE[I. Nazwisko],tbl_zawodnicy_średnie[[#This Row],[I. Nazwisko]],tbl_główna_GRACZE[stl]))/tbl_zawodnicy_średnie[[#This Row],[Played]],0)</f>
        <v>3.3333333333333335</v>
      </c>
      <c r="N57" s="55">
        <f>IFERROR((SUMIF(tbl_główna_GRACZE[I. Nazwisko],tbl_zawodnicy_średnie[[#This Row],[I. Nazwisko]],tbl_główna_GRACZE[to]))/tbl_zawodnicy_średnie[[#This Row],[Played]],0)</f>
        <v>0</v>
      </c>
      <c r="O57" s="55">
        <f>IFERROR((SUMIF(tbl_główna_GRACZE[I. Nazwisko],tbl_zawodnicy_średnie[[#This Row],[I. Nazwisko]],tbl_główna_GRACZE[blk]))/tbl_zawodnicy_średnie[[#This Row],[Played]],0)</f>
        <v>0</v>
      </c>
      <c r="P57" s="55">
        <f>IFERROR((SUMIF(tbl_główna_GRACZE[I. Nazwisko],tbl_zawodnicy_średnie[[#This Row],[I. Nazwisko]],tbl_główna_GRACZE[asst]))/tbl_zawodnicy_średnie[[#This Row],[Played]],0)</f>
        <v>2</v>
      </c>
      <c r="Q57" s="55">
        <f>IFERROR((SUMIF(tbl_główna_GRACZE[I. Nazwisko],tbl_zawodnicy_średnie[[#This Row],[I. Nazwisko]],tbl_główna_GRACZE[min]))/tbl_zawodnicy_średnie[[#This Row],[Played]],0)</f>
        <v>34</v>
      </c>
      <c r="R57" s="55">
        <f>IFERROR((SUMIF(tbl_główna_GRACZE[I. Nazwisko],tbl_zawodnicy_średnie[[#This Row],[I. Nazwisko]],tbl_główna_GRACZE[pts]))/tbl_zawodnicy_średnie[[#This Row],[Played]],0)</f>
        <v>9.3333333333333339</v>
      </c>
      <c r="S57" s="6">
        <f t="shared" si="11"/>
        <v>10.333333333333334</v>
      </c>
      <c r="T57" s="4">
        <f t="shared" si="12"/>
        <v>0.39999999999999997</v>
      </c>
      <c r="U57" s="4">
        <f t="shared" si="13"/>
        <v>0.47058823529411759</v>
      </c>
      <c r="V57" s="4">
        <f t="shared" si="14"/>
        <v>0</v>
      </c>
      <c r="W57" s="4">
        <f>IFERROR(tbl_zawodnicy_średnie[[#This Row],[2pm]]/tbl_zawodnicy_średnie[[#This Row],[2pa]],0)</f>
        <v>0.25000000000000011</v>
      </c>
      <c r="X57" s="4">
        <f t="shared" si="15"/>
        <v>0.55031446540880502</v>
      </c>
      <c r="Y57" s="4">
        <f t="shared" si="16"/>
        <v>0.55999999999999994</v>
      </c>
      <c r="Z57" s="6">
        <f t="shared" si="17"/>
        <v>19.666666666666668</v>
      </c>
      <c r="AA57" s="4">
        <f t="shared" si="18"/>
        <v>3.9999999999999994E-2</v>
      </c>
      <c r="AB57" s="4">
        <f t="shared" si="19"/>
        <v>0.67999999999999994</v>
      </c>
      <c r="AC57" s="26">
        <f>IFERROR((SUMIF(tbl_główna_GRACZE[I. Nazwisko],tbl_zawodnicy_średnie[[#This Row],[I. Nazwisko]],tbl_główna_GRACZE[USG%]))/tbl_zawodnicy_średnie[[#This Row],[Played]],0)</f>
        <v>0.11635671924206532</v>
      </c>
      <c r="AD57" s="25">
        <f>IFERROR(tbl_zawodnicy_średnie[[#This Row],[pts]]*(40/tbl_zawodnicy_średnie[[#This Row],[min]]),0)</f>
        <v>10.980392156862747</v>
      </c>
      <c r="AE57" s="25">
        <f>IFERROR(tbl_zawodnicy_średnie[[#This Row],[reb total]]*(40/tbl_zawodnicy_średnie[[#This Row],[min]]),0)</f>
        <v>12.15686274509804</v>
      </c>
      <c r="AF57" s="30">
        <f>IFERROR(tbl_zawodnicy_średnie[[#This Row],[asst]]*(40/tbl_zawodnicy_średnie[[#This Row],[min]]),0)</f>
        <v>2.3529411764705883</v>
      </c>
      <c r="AG57" s="5">
        <f t="shared" si="20"/>
        <v>1.1199999999999999</v>
      </c>
      <c r="AH57" s="5">
        <f>IFERROR((tbl_zawodnicy_średnie[[#This Row],[stl]]+tbl_zawodnicy_średnie[[#This Row],[blk]])*(40/tbl_zawodnicy_średnie[[#This Row],[min]]),0)</f>
        <v>3.9215686274509807</v>
      </c>
      <c r="AI57" s="24">
        <f>IFERROR((SUMIF(tbl_główna_GRACZE[I. Nazwisko],tbl_zawodnicy_średnie[[#This Row],[I. Nazwisko]],tbl_główna_GRACZE[DI]))/tbl_zawodnicy_średnie[[#This Row],[Played]],0)</f>
        <v>0.25505050505050503</v>
      </c>
      <c r="AJ57" s="25">
        <f>tbl_zawodnicy_średnie[[#This Row],[stl]]+tbl_zawodnicy_średnie[[#This Row],[blk]]+(tbl_zawodnicy_średnie[[#This Row],[dreb]]*0.5)</f>
        <v>7.8333333333333339</v>
      </c>
      <c r="AK57" s="29">
        <f>IFERROR((tbl_zawodnicy_średnie[[#This Row],[stl]]+tbl_zawodnicy_średnie[[#This Row],[blk]]+0.5*tbl_zawodnicy_średnie[[#This Row],[dreb]])/tbl_zawodnicy_średnie[[#This Row],[min]],0)</f>
        <v>0.23039215686274511</v>
      </c>
      <c r="AL57" s="6">
        <f t="shared" si="21"/>
        <v>13.066666666666668</v>
      </c>
      <c r="AM57" s="6">
        <f>IFERROR(tbl_zawodnicy_średnie[[#This Row],[GmSc]]*(40/tbl_zawodnicy_średnie[[#This Row],[min]]),0)</f>
        <v>15.372549019607845</v>
      </c>
      <c r="AN57" s="6">
        <f>IFERROR(tbl_zawodnicy_średnie[[#This Row],[EVAL]]*(40/tbl_zawodnicy_średnie[[#This Row],[min]]),0)</f>
        <v>23.137254901960787</v>
      </c>
      <c r="AO57" s="6">
        <f>tbl_zawodnicy_średnie[[#This Row],[fgm]]-tbl_zawodnicy_średnie[[#This Row],[3pm]]</f>
        <v>0.66666666666666696</v>
      </c>
      <c r="AP57" s="6">
        <f>tbl_zawodnicy_średnie[[#This Row],[fga]]-tbl_zawodnicy_średnie[[#This Row],[3pa]]</f>
        <v>2.666666666666667</v>
      </c>
      <c r="AQ57">
        <v>47</v>
      </c>
      <c r="AR57" s="6" t="str">
        <f>tbl_zawodnicy_średnie[[#This Row],[I. Nazwisko]]&amp;" ["&amp;VLOOKUP(tbl_zawodnicy_średnie[[#This Row],[zespół]],tab_nazwy_zespołów[],2,0)&amp;"]"</f>
        <v>L. Prokopczuk [KON]</v>
      </c>
    </row>
    <row r="58" spans="1:44" x14ac:dyDescent="0.35">
      <c r="A58" t="s">
        <v>50</v>
      </c>
      <c r="B58" t="s">
        <v>205</v>
      </c>
      <c r="C58" s="9">
        <f>SUMIF(tbl_główna_GRACZE[I. Nazwisko],tbl_zawodnicy_średnie[[#This Row],[I. Nazwisko]],tbl_główna_GRACZE[Played?])</f>
        <v>1</v>
      </c>
      <c r="D58" s="55">
        <f>IFERROR((SUMIF(tbl_główna_GRACZE[I. Nazwisko],tbl_zawodnicy_średnie[[#This Row],[I. Nazwisko]],tbl_główna_GRACZE[fgm]))/tbl_zawodnicy_średnie[[#This Row],[Played]],0)</f>
        <v>4</v>
      </c>
      <c r="E58" s="55">
        <f>IFERROR((SUMIF(tbl_główna_GRACZE[I. Nazwisko],tbl_zawodnicy_średnie[[#This Row],[I. Nazwisko]],tbl_główna_GRACZE[fga]))/tbl_zawodnicy_średnie[[#This Row],[Played]],0)</f>
        <v>19</v>
      </c>
      <c r="F58" s="55">
        <f>IFERROR((SUMIF(tbl_główna_GRACZE[I. Nazwisko],tbl_zawodnicy_średnie[[#This Row],[I. Nazwisko]],tbl_główna_GRACZE[3pm]))/tbl_zawodnicy_średnie[[#This Row],[Played]],0)</f>
        <v>3</v>
      </c>
      <c r="G58" s="55">
        <f>IFERROR((SUMIF(tbl_główna_GRACZE[I. Nazwisko],tbl_zawodnicy_średnie[[#This Row],[I. Nazwisko]],tbl_główna_GRACZE[3pa]))/tbl_zawodnicy_średnie[[#This Row],[Played]],0)</f>
        <v>16</v>
      </c>
      <c r="H58" s="55">
        <f>IFERROR((SUMIF(tbl_główna_GRACZE[I. Nazwisko],tbl_zawodnicy_średnie[[#This Row],[I. Nazwisko]],tbl_główna_GRACZE[ftm]))/tbl_zawodnicy_średnie[[#This Row],[Played]],0)</f>
        <v>0</v>
      </c>
      <c r="I58" s="55">
        <f>IFERROR((SUMIF(tbl_główna_GRACZE[I. Nazwisko],tbl_zawodnicy_średnie[[#This Row],[I. Nazwisko]],tbl_główna_GRACZE[fta]))/tbl_zawodnicy_średnie[[#This Row],[Played]],0)</f>
        <v>0</v>
      </c>
      <c r="J58" s="55">
        <f>IFERROR((SUMIF(tbl_główna_GRACZE[I. Nazwisko],tbl_zawodnicy_średnie[[#This Row],[I. Nazwisko]],tbl_główna_GRACZE[oreb]))/tbl_zawodnicy_średnie[[#This Row],[Played]],0)</f>
        <v>1</v>
      </c>
      <c r="K58" s="55">
        <f>IFERROR((SUMIF(tbl_główna_GRACZE[I. Nazwisko],tbl_zawodnicy_średnie[[#This Row],[I. Nazwisko]],tbl_główna_GRACZE[dreb]))/tbl_zawodnicy_średnie[[#This Row],[Played]],0)</f>
        <v>0</v>
      </c>
      <c r="L58" s="55">
        <f>IFERROR((SUMIF(tbl_główna_GRACZE[I. Nazwisko],tbl_zawodnicy_średnie[[#This Row],[I. Nazwisko]],tbl_główna_GRACZE[foul]))/tbl_zawodnicy_średnie[[#This Row],[Played]],0)</f>
        <v>1</v>
      </c>
      <c r="M58" s="55">
        <f>IFERROR((SUMIF(tbl_główna_GRACZE[I. Nazwisko],tbl_zawodnicy_średnie[[#This Row],[I. Nazwisko]],tbl_główna_GRACZE[stl]))/tbl_zawodnicy_średnie[[#This Row],[Played]],0)</f>
        <v>0</v>
      </c>
      <c r="N58" s="55">
        <f>IFERROR((SUMIF(tbl_główna_GRACZE[I. Nazwisko],tbl_zawodnicy_średnie[[#This Row],[I. Nazwisko]],tbl_główna_GRACZE[to]))/tbl_zawodnicy_średnie[[#This Row],[Played]],0)</f>
        <v>0</v>
      </c>
      <c r="O58" s="55">
        <f>IFERROR((SUMIF(tbl_główna_GRACZE[I. Nazwisko],tbl_zawodnicy_średnie[[#This Row],[I. Nazwisko]],tbl_główna_GRACZE[blk]))/tbl_zawodnicy_średnie[[#This Row],[Played]],0)</f>
        <v>0</v>
      </c>
      <c r="P58" s="55">
        <f>IFERROR((SUMIF(tbl_główna_GRACZE[I. Nazwisko],tbl_zawodnicy_średnie[[#This Row],[I. Nazwisko]],tbl_główna_GRACZE[asst]))/tbl_zawodnicy_średnie[[#This Row],[Played]],0)</f>
        <v>0</v>
      </c>
      <c r="Q58" s="55">
        <f>IFERROR((SUMIF(tbl_główna_GRACZE[I. Nazwisko],tbl_zawodnicy_średnie[[#This Row],[I. Nazwisko]],tbl_główna_GRACZE[min]))/tbl_zawodnicy_średnie[[#This Row],[Played]],0)</f>
        <v>40</v>
      </c>
      <c r="R58" s="55">
        <f>IFERROR((SUMIF(tbl_główna_GRACZE[I. Nazwisko],tbl_zawodnicy_średnie[[#This Row],[I. Nazwisko]],tbl_główna_GRACZE[pts]))/tbl_zawodnicy_średnie[[#This Row],[Played]],0)</f>
        <v>11</v>
      </c>
      <c r="S58" s="6">
        <f t="shared" si="11"/>
        <v>1</v>
      </c>
      <c r="T58" s="4">
        <f t="shared" si="12"/>
        <v>0.21052631578947367</v>
      </c>
      <c r="U58" s="4">
        <f t="shared" si="13"/>
        <v>0.1875</v>
      </c>
      <c r="V58" s="4">
        <f t="shared" si="14"/>
        <v>0</v>
      </c>
      <c r="W58" s="4">
        <f>IFERROR(tbl_zawodnicy_średnie[[#This Row],[2pm]]/tbl_zawodnicy_średnie[[#This Row],[2pa]],0)</f>
        <v>0.33333333333333331</v>
      </c>
      <c r="X58" s="4">
        <f t="shared" si="15"/>
        <v>0.28947368421052633</v>
      </c>
      <c r="Y58" s="4">
        <f t="shared" si="16"/>
        <v>0.28947368421052633</v>
      </c>
      <c r="Z58" s="6">
        <f t="shared" si="17"/>
        <v>-3</v>
      </c>
      <c r="AA58" s="4">
        <f t="shared" si="18"/>
        <v>0</v>
      </c>
      <c r="AB58" s="4">
        <f t="shared" si="19"/>
        <v>0.84210526315789469</v>
      </c>
      <c r="AC58" s="26">
        <f>IFERROR((SUMIF(tbl_główna_GRACZE[I. Nazwisko],tbl_zawodnicy_średnie[[#This Row],[I. Nazwisko]],tbl_główna_GRACZE[USG%]))/tbl_zawodnicy_średnie[[#This Row],[Played]],0)</f>
        <v>0.26595744680851063</v>
      </c>
      <c r="AD58" s="25">
        <f>IFERROR(tbl_zawodnicy_średnie[[#This Row],[pts]]*(40/tbl_zawodnicy_średnie[[#This Row],[min]]),0)</f>
        <v>11</v>
      </c>
      <c r="AE58" s="25">
        <f>IFERROR(tbl_zawodnicy_średnie[[#This Row],[reb total]]*(40/tbl_zawodnicy_średnie[[#This Row],[min]]),0)</f>
        <v>1</v>
      </c>
      <c r="AF58" s="30">
        <f>IFERROR(tbl_zawodnicy_średnie[[#This Row],[asst]]*(40/tbl_zawodnicy_średnie[[#This Row],[min]]),0)</f>
        <v>0</v>
      </c>
      <c r="AG58" s="5">
        <f t="shared" si="20"/>
        <v>0.57894736842105265</v>
      </c>
      <c r="AH58" s="5">
        <f>IFERROR((tbl_zawodnicy_średnie[[#This Row],[stl]]+tbl_zawodnicy_średnie[[#This Row],[blk]])*(40/tbl_zawodnicy_średnie[[#This Row],[min]]),0)</f>
        <v>0</v>
      </c>
      <c r="AI58" s="24">
        <f>IFERROR((SUMIF(tbl_główna_GRACZE[I. Nazwisko],tbl_zawodnicy_średnie[[#This Row],[I. Nazwisko]],tbl_główna_GRACZE[DI]))/tbl_zawodnicy_średnie[[#This Row],[Played]],0)</f>
        <v>0</v>
      </c>
      <c r="AJ58" s="25">
        <f>tbl_zawodnicy_średnie[[#This Row],[stl]]+tbl_zawodnicy_średnie[[#This Row],[blk]]+(tbl_zawodnicy_średnie[[#This Row],[dreb]]*0.5)</f>
        <v>0</v>
      </c>
      <c r="AK58" s="29">
        <f>IFERROR((tbl_zawodnicy_średnie[[#This Row],[stl]]+tbl_zawodnicy_średnie[[#This Row],[blk]]+0.5*tbl_zawodnicy_średnie[[#This Row],[dreb]])/tbl_zawodnicy_średnie[[#This Row],[min]],0)</f>
        <v>0</v>
      </c>
      <c r="AL58" s="6">
        <f t="shared" si="21"/>
        <v>6.6613381477509392E-16</v>
      </c>
      <c r="AM58" s="6">
        <f>IFERROR(tbl_zawodnicy_średnie[[#This Row],[GmSc]]*(40/tbl_zawodnicy_średnie[[#This Row],[min]]),0)</f>
        <v>6.6613381477509392E-16</v>
      </c>
      <c r="AN58" s="6">
        <f>IFERROR(tbl_zawodnicy_średnie[[#This Row],[EVAL]]*(40/tbl_zawodnicy_średnie[[#This Row],[min]]),0)</f>
        <v>-3</v>
      </c>
      <c r="AO58" s="6">
        <f>tbl_zawodnicy_średnie[[#This Row],[fgm]]-tbl_zawodnicy_średnie[[#This Row],[3pm]]</f>
        <v>1</v>
      </c>
      <c r="AP58" s="6">
        <f>tbl_zawodnicy_średnie[[#This Row],[fga]]-tbl_zawodnicy_średnie[[#This Row],[3pa]]</f>
        <v>3</v>
      </c>
      <c r="AQ58">
        <v>48</v>
      </c>
      <c r="AR58" s="6" t="str">
        <f>tbl_zawodnicy_średnie[[#This Row],[I. Nazwisko]]&amp;" ["&amp;VLOOKUP(tbl_zawodnicy_średnie[[#This Row],[zespół]],tab_nazwy_zespołów[],2,0)&amp;"]"</f>
        <v>J. Radomski [KON]</v>
      </c>
    </row>
    <row r="59" spans="1:44" x14ac:dyDescent="0.35">
      <c r="A59" t="s">
        <v>52</v>
      </c>
      <c r="B59" t="s">
        <v>207</v>
      </c>
      <c r="C59" s="9">
        <f>SUMIF(tbl_główna_GRACZE[I. Nazwisko],tbl_zawodnicy_średnie[[#This Row],[I. Nazwisko]],tbl_główna_GRACZE[Played?])</f>
        <v>2</v>
      </c>
      <c r="D59" s="55">
        <f>IFERROR((SUMIF(tbl_główna_GRACZE[I. Nazwisko],tbl_zawodnicy_średnie[[#This Row],[I. Nazwisko]],tbl_główna_GRACZE[fgm]))/tbl_zawodnicy_średnie[[#This Row],[Played]],0)</f>
        <v>0</v>
      </c>
      <c r="E59" s="55">
        <f>IFERROR((SUMIF(tbl_główna_GRACZE[I. Nazwisko],tbl_zawodnicy_średnie[[#This Row],[I. Nazwisko]],tbl_główna_GRACZE[fga]))/tbl_zawodnicy_średnie[[#This Row],[Played]],0)</f>
        <v>3</v>
      </c>
      <c r="F59" s="55">
        <f>IFERROR((SUMIF(tbl_główna_GRACZE[I. Nazwisko],tbl_zawodnicy_średnie[[#This Row],[I. Nazwisko]],tbl_główna_GRACZE[3pm]))/tbl_zawodnicy_średnie[[#This Row],[Played]],0)</f>
        <v>0</v>
      </c>
      <c r="G59" s="55">
        <f>IFERROR((SUMIF(tbl_główna_GRACZE[I. Nazwisko],tbl_zawodnicy_średnie[[#This Row],[I. Nazwisko]],tbl_główna_GRACZE[3pa]))/tbl_zawodnicy_średnie[[#This Row],[Played]],0)</f>
        <v>2.5</v>
      </c>
      <c r="H59" s="55">
        <f>IFERROR((SUMIF(tbl_główna_GRACZE[I. Nazwisko],tbl_zawodnicy_średnie[[#This Row],[I. Nazwisko]],tbl_główna_GRACZE[ftm]))/tbl_zawodnicy_średnie[[#This Row],[Played]],0)</f>
        <v>0</v>
      </c>
      <c r="I59" s="55">
        <f>IFERROR((SUMIF(tbl_główna_GRACZE[I. Nazwisko],tbl_zawodnicy_średnie[[#This Row],[I. Nazwisko]],tbl_główna_GRACZE[fta]))/tbl_zawodnicy_średnie[[#This Row],[Played]],0)</f>
        <v>0</v>
      </c>
      <c r="J59" s="55">
        <f>IFERROR((SUMIF(tbl_główna_GRACZE[I. Nazwisko],tbl_zawodnicy_średnie[[#This Row],[I. Nazwisko]],tbl_główna_GRACZE[oreb]))/tbl_zawodnicy_średnie[[#This Row],[Played]],0)</f>
        <v>0</v>
      </c>
      <c r="K59" s="55">
        <f>IFERROR((SUMIF(tbl_główna_GRACZE[I. Nazwisko],tbl_zawodnicy_średnie[[#This Row],[I. Nazwisko]],tbl_główna_GRACZE[dreb]))/tbl_zawodnicy_średnie[[#This Row],[Played]],0)</f>
        <v>0</v>
      </c>
      <c r="L59" s="55">
        <f>IFERROR((SUMIF(tbl_główna_GRACZE[I. Nazwisko],tbl_zawodnicy_średnie[[#This Row],[I. Nazwisko]],tbl_główna_GRACZE[foul]))/tbl_zawodnicy_średnie[[#This Row],[Played]],0)</f>
        <v>0.5</v>
      </c>
      <c r="M59" s="55">
        <f>IFERROR((SUMIF(tbl_główna_GRACZE[I. Nazwisko],tbl_zawodnicy_średnie[[#This Row],[I. Nazwisko]],tbl_główna_GRACZE[stl]))/tbl_zawodnicy_średnie[[#This Row],[Played]],0)</f>
        <v>0.5</v>
      </c>
      <c r="N59" s="55">
        <f>IFERROR((SUMIF(tbl_główna_GRACZE[I. Nazwisko],tbl_zawodnicy_średnie[[#This Row],[I. Nazwisko]],tbl_główna_GRACZE[to]))/tbl_zawodnicy_średnie[[#This Row],[Played]],0)</f>
        <v>0</v>
      </c>
      <c r="O59" s="55">
        <f>IFERROR((SUMIF(tbl_główna_GRACZE[I. Nazwisko],tbl_zawodnicy_średnie[[#This Row],[I. Nazwisko]],tbl_główna_GRACZE[blk]))/tbl_zawodnicy_średnie[[#This Row],[Played]],0)</f>
        <v>0</v>
      </c>
      <c r="P59" s="55">
        <f>IFERROR((SUMIF(tbl_główna_GRACZE[I. Nazwisko],tbl_zawodnicy_średnie[[#This Row],[I. Nazwisko]],tbl_główna_GRACZE[asst]))/tbl_zawodnicy_średnie[[#This Row],[Played]],0)</f>
        <v>1</v>
      </c>
      <c r="Q59" s="55">
        <f>IFERROR((SUMIF(tbl_główna_GRACZE[I. Nazwisko],tbl_zawodnicy_średnie[[#This Row],[I. Nazwisko]],tbl_główna_GRACZE[min]))/tbl_zawodnicy_średnie[[#This Row],[Played]],0)</f>
        <v>8</v>
      </c>
      <c r="R59" s="55">
        <f>IFERROR((SUMIF(tbl_główna_GRACZE[I. Nazwisko],tbl_zawodnicy_średnie[[#This Row],[I. Nazwisko]],tbl_główna_GRACZE[pts]))/tbl_zawodnicy_średnie[[#This Row],[Played]],0)</f>
        <v>0</v>
      </c>
      <c r="S59" s="6">
        <f t="shared" si="11"/>
        <v>0</v>
      </c>
      <c r="T59" s="4">
        <f t="shared" si="12"/>
        <v>0</v>
      </c>
      <c r="U59" s="4">
        <f t="shared" si="13"/>
        <v>0</v>
      </c>
      <c r="V59" s="4">
        <f t="shared" si="14"/>
        <v>0</v>
      </c>
      <c r="W59" s="4">
        <f>IFERROR(tbl_zawodnicy_średnie[[#This Row],[2pm]]/tbl_zawodnicy_średnie[[#This Row],[2pa]],0)</f>
        <v>0</v>
      </c>
      <c r="X59" s="4">
        <f t="shared" si="15"/>
        <v>0</v>
      </c>
      <c r="Y59" s="4">
        <f t="shared" si="16"/>
        <v>0</v>
      </c>
      <c r="Z59" s="6">
        <f t="shared" si="17"/>
        <v>-1.5</v>
      </c>
      <c r="AA59" s="4">
        <f t="shared" si="18"/>
        <v>0</v>
      </c>
      <c r="AB59" s="4">
        <f t="shared" si="19"/>
        <v>0.83333333333333337</v>
      </c>
      <c r="AC59" s="26">
        <f>IFERROR((SUMIF(tbl_główna_GRACZE[I. Nazwisko],tbl_zawodnicy_średnie[[#This Row],[I. Nazwisko]],tbl_główna_GRACZE[USG%]))/tbl_zawodnicy_średnie[[#This Row],[Played]],0)</f>
        <v>4.7401531869364154E-2</v>
      </c>
      <c r="AD59" s="25">
        <f>IFERROR(tbl_zawodnicy_średnie[[#This Row],[pts]]*(40/tbl_zawodnicy_średnie[[#This Row],[min]]),0)</f>
        <v>0</v>
      </c>
      <c r="AE59" s="25">
        <f>IFERROR(tbl_zawodnicy_średnie[[#This Row],[reb total]]*(40/tbl_zawodnicy_średnie[[#This Row],[min]]),0)</f>
        <v>0</v>
      </c>
      <c r="AF59" s="30">
        <f>IFERROR(tbl_zawodnicy_średnie[[#This Row],[asst]]*(40/tbl_zawodnicy_średnie[[#This Row],[min]]),0)</f>
        <v>5</v>
      </c>
      <c r="AG59" s="5">
        <f t="shared" si="20"/>
        <v>0</v>
      </c>
      <c r="AH59" s="5">
        <f>IFERROR((tbl_zawodnicy_średnie[[#This Row],[stl]]+tbl_zawodnicy_średnie[[#This Row],[blk]])*(40/tbl_zawodnicy_średnie[[#This Row],[min]]),0)</f>
        <v>2.5</v>
      </c>
      <c r="AI59" s="24">
        <f>IFERROR((SUMIF(tbl_główna_GRACZE[I. Nazwisko],tbl_zawodnicy_średnie[[#This Row],[I. Nazwisko]],tbl_główna_GRACZE[DI]))/tbl_zawodnicy_średnie[[#This Row],[Played]],0)</f>
        <v>3.5714285714285712E-2</v>
      </c>
      <c r="AJ59" s="25">
        <f>tbl_zawodnicy_średnie[[#This Row],[stl]]+tbl_zawodnicy_średnie[[#This Row],[blk]]+(tbl_zawodnicy_średnie[[#This Row],[dreb]]*0.5)</f>
        <v>0.5</v>
      </c>
      <c r="AK59" s="29">
        <f>IFERROR((tbl_zawodnicy_średnie[[#This Row],[stl]]+tbl_zawodnicy_średnie[[#This Row],[blk]]+0.5*tbl_zawodnicy_średnie[[#This Row],[dreb]])/tbl_zawodnicy_średnie[[#This Row],[min]],0)</f>
        <v>6.25E-2</v>
      </c>
      <c r="AL59" s="6">
        <f t="shared" si="21"/>
        <v>-0.89999999999999969</v>
      </c>
      <c r="AM59" s="6">
        <f>IFERROR(tbl_zawodnicy_średnie[[#This Row],[GmSc]]*(40/tbl_zawodnicy_średnie[[#This Row],[min]]),0)</f>
        <v>-4.4999999999999982</v>
      </c>
      <c r="AN59" s="6">
        <f>IFERROR(tbl_zawodnicy_średnie[[#This Row],[EVAL]]*(40/tbl_zawodnicy_średnie[[#This Row],[min]]),0)</f>
        <v>-7.5</v>
      </c>
      <c r="AO59" s="6">
        <f>tbl_zawodnicy_średnie[[#This Row],[fgm]]-tbl_zawodnicy_średnie[[#This Row],[3pm]]</f>
        <v>0</v>
      </c>
      <c r="AP59" s="6">
        <f>tbl_zawodnicy_średnie[[#This Row],[fga]]-tbl_zawodnicy_średnie[[#This Row],[3pa]]</f>
        <v>0.5</v>
      </c>
      <c r="AQ59">
        <v>50</v>
      </c>
      <c r="AR59" s="6" t="str">
        <f>tbl_zawodnicy_średnie[[#This Row],[I. Nazwisko]]&amp;" ["&amp;VLOOKUP(tbl_zawodnicy_średnie[[#This Row],[zespół]],tab_nazwy_zespołów[],2,0)&amp;"]"</f>
        <v>P. Michalski [WIL]</v>
      </c>
    </row>
    <row r="60" spans="1:44" x14ac:dyDescent="0.35">
      <c r="A60" t="s">
        <v>52</v>
      </c>
      <c r="B60" t="s">
        <v>208</v>
      </c>
      <c r="C60" s="9">
        <f>SUMIF(tbl_główna_GRACZE[I. Nazwisko],tbl_zawodnicy_średnie[[#This Row],[I. Nazwisko]],tbl_główna_GRACZE[Played?])</f>
        <v>1</v>
      </c>
      <c r="D60" s="55">
        <f>IFERROR((SUMIF(tbl_główna_GRACZE[I. Nazwisko],tbl_zawodnicy_średnie[[#This Row],[I. Nazwisko]],tbl_główna_GRACZE[fgm]))/tbl_zawodnicy_średnie[[#This Row],[Played]],0)</f>
        <v>0</v>
      </c>
      <c r="E60" s="55">
        <f>IFERROR((SUMIF(tbl_główna_GRACZE[I. Nazwisko],tbl_zawodnicy_średnie[[#This Row],[I. Nazwisko]],tbl_główna_GRACZE[fga]))/tbl_zawodnicy_średnie[[#This Row],[Played]],0)</f>
        <v>1</v>
      </c>
      <c r="F60" s="55">
        <f>IFERROR((SUMIF(tbl_główna_GRACZE[I. Nazwisko],tbl_zawodnicy_średnie[[#This Row],[I. Nazwisko]],tbl_główna_GRACZE[3pm]))/tbl_zawodnicy_średnie[[#This Row],[Played]],0)</f>
        <v>0</v>
      </c>
      <c r="G60" s="55">
        <f>IFERROR((SUMIF(tbl_główna_GRACZE[I. Nazwisko],tbl_zawodnicy_średnie[[#This Row],[I. Nazwisko]],tbl_główna_GRACZE[3pa]))/tbl_zawodnicy_średnie[[#This Row],[Played]],0)</f>
        <v>0</v>
      </c>
      <c r="H60" s="55">
        <f>IFERROR((SUMIF(tbl_główna_GRACZE[I. Nazwisko],tbl_zawodnicy_średnie[[#This Row],[I. Nazwisko]],tbl_główna_GRACZE[ftm]))/tbl_zawodnicy_średnie[[#This Row],[Played]],0)</f>
        <v>0</v>
      </c>
      <c r="I60" s="55">
        <f>IFERROR((SUMIF(tbl_główna_GRACZE[I. Nazwisko],tbl_zawodnicy_średnie[[#This Row],[I. Nazwisko]],tbl_główna_GRACZE[fta]))/tbl_zawodnicy_średnie[[#This Row],[Played]],0)</f>
        <v>0</v>
      </c>
      <c r="J60" s="55">
        <f>IFERROR((SUMIF(tbl_główna_GRACZE[I. Nazwisko],tbl_zawodnicy_średnie[[#This Row],[I. Nazwisko]],tbl_główna_GRACZE[oreb]))/tbl_zawodnicy_średnie[[#This Row],[Played]],0)</f>
        <v>0</v>
      </c>
      <c r="K60" s="55">
        <f>IFERROR((SUMIF(tbl_główna_GRACZE[I. Nazwisko],tbl_zawodnicy_średnie[[#This Row],[I. Nazwisko]],tbl_główna_GRACZE[dreb]))/tbl_zawodnicy_średnie[[#This Row],[Played]],0)</f>
        <v>2</v>
      </c>
      <c r="L60" s="55">
        <f>IFERROR((SUMIF(tbl_główna_GRACZE[I. Nazwisko],tbl_zawodnicy_średnie[[#This Row],[I. Nazwisko]],tbl_główna_GRACZE[foul]))/tbl_zawodnicy_średnie[[#This Row],[Played]],0)</f>
        <v>0</v>
      </c>
      <c r="M60" s="55">
        <f>IFERROR((SUMIF(tbl_główna_GRACZE[I. Nazwisko],tbl_zawodnicy_średnie[[#This Row],[I. Nazwisko]],tbl_główna_GRACZE[stl]))/tbl_zawodnicy_średnie[[#This Row],[Played]],0)</f>
        <v>0</v>
      </c>
      <c r="N60" s="55">
        <f>IFERROR((SUMIF(tbl_główna_GRACZE[I. Nazwisko],tbl_zawodnicy_średnie[[#This Row],[I. Nazwisko]],tbl_główna_GRACZE[to]))/tbl_zawodnicy_średnie[[#This Row],[Played]],0)</f>
        <v>0</v>
      </c>
      <c r="O60" s="55">
        <f>IFERROR((SUMIF(tbl_główna_GRACZE[I. Nazwisko],tbl_zawodnicy_średnie[[#This Row],[I. Nazwisko]],tbl_główna_GRACZE[blk]))/tbl_zawodnicy_średnie[[#This Row],[Played]],0)</f>
        <v>0</v>
      </c>
      <c r="P60" s="55">
        <f>IFERROR((SUMIF(tbl_główna_GRACZE[I. Nazwisko],tbl_zawodnicy_średnie[[#This Row],[I. Nazwisko]],tbl_główna_GRACZE[asst]))/tbl_zawodnicy_średnie[[#This Row],[Played]],0)</f>
        <v>0</v>
      </c>
      <c r="Q60" s="55">
        <f>IFERROR((SUMIF(tbl_główna_GRACZE[I. Nazwisko],tbl_zawodnicy_średnie[[#This Row],[I. Nazwisko]],tbl_główna_GRACZE[min]))/tbl_zawodnicy_średnie[[#This Row],[Played]],0)</f>
        <v>10</v>
      </c>
      <c r="R60" s="55">
        <f>IFERROR((SUMIF(tbl_główna_GRACZE[I. Nazwisko],tbl_zawodnicy_średnie[[#This Row],[I. Nazwisko]],tbl_główna_GRACZE[pts]))/tbl_zawodnicy_średnie[[#This Row],[Played]],0)</f>
        <v>0</v>
      </c>
      <c r="S60" s="6">
        <f t="shared" si="11"/>
        <v>2</v>
      </c>
      <c r="T60" s="4">
        <f t="shared" si="12"/>
        <v>0</v>
      </c>
      <c r="U60" s="4">
        <f t="shared" si="13"/>
        <v>0</v>
      </c>
      <c r="V60" s="4">
        <f t="shared" si="14"/>
        <v>0</v>
      </c>
      <c r="W60" s="4">
        <f>IFERROR(tbl_zawodnicy_średnie[[#This Row],[2pm]]/tbl_zawodnicy_średnie[[#This Row],[2pa]],0)</f>
        <v>0</v>
      </c>
      <c r="X60" s="4">
        <f t="shared" si="15"/>
        <v>0</v>
      </c>
      <c r="Y60" s="4">
        <f t="shared" si="16"/>
        <v>0</v>
      </c>
      <c r="Z60" s="6">
        <f t="shared" si="17"/>
        <v>1</v>
      </c>
      <c r="AA60" s="4">
        <f t="shared" si="18"/>
        <v>0</v>
      </c>
      <c r="AB60" s="4">
        <f t="shared" si="19"/>
        <v>0</v>
      </c>
      <c r="AC60" s="26">
        <f>IFERROR((SUMIF(tbl_główna_GRACZE[I. Nazwisko],tbl_zawodnicy_średnie[[#This Row],[I. Nazwisko]],tbl_główna_GRACZE[USG%]))/tbl_zawodnicy_średnie[[#This Row],[Played]],0)</f>
        <v>1.7618040873854827E-2</v>
      </c>
      <c r="AD60" s="25">
        <f>IFERROR(tbl_zawodnicy_średnie[[#This Row],[pts]]*(40/tbl_zawodnicy_średnie[[#This Row],[min]]),0)</f>
        <v>0</v>
      </c>
      <c r="AE60" s="25">
        <f>IFERROR(tbl_zawodnicy_średnie[[#This Row],[reb total]]*(40/tbl_zawodnicy_średnie[[#This Row],[min]]),0)</f>
        <v>8</v>
      </c>
      <c r="AF60" s="30">
        <f>IFERROR(tbl_zawodnicy_średnie[[#This Row],[asst]]*(40/tbl_zawodnicy_średnie[[#This Row],[min]]),0)</f>
        <v>0</v>
      </c>
      <c r="AG60" s="5">
        <f t="shared" si="20"/>
        <v>0</v>
      </c>
      <c r="AH60" s="5">
        <f>IFERROR((tbl_zawodnicy_średnie[[#This Row],[stl]]+tbl_zawodnicy_średnie[[#This Row],[blk]])*(40/tbl_zawodnicy_średnie[[#This Row],[min]]),0)</f>
        <v>0</v>
      </c>
      <c r="AI60" s="24">
        <f>IFERROR((SUMIF(tbl_główna_GRACZE[I. Nazwisko],tbl_zawodnicy_średnie[[#This Row],[I. Nazwisko]],tbl_główna_GRACZE[DI]))/tbl_zawodnicy_średnie[[#This Row],[Played]],0)</f>
        <v>0</v>
      </c>
      <c r="AJ60" s="25">
        <f>tbl_zawodnicy_średnie[[#This Row],[stl]]+tbl_zawodnicy_średnie[[#This Row],[blk]]+(tbl_zawodnicy_średnie[[#This Row],[dreb]]*0.5)</f>
        <v>1</v>
      </c>
      <c r="AK60" s="29">
        <f>IFERROR((tbl_zawodnicy_średnie[[#This Row],[stl]]+tbl_zawodnicy_średnie[[#This Row],[blk]]+0.5*tbl_zawodnicy_średnie[[#This Row],[dreb]])/tbl_zawodnicy_średnie[[#This Row],[min]],0)</f>
        <v>0.1</v>
      </c>
      <c r="AL60" s="6">
        <f t="shared" si="21"/>
        <v>-9.9999999999999978E-2</v>
      </c>
      <c r="AM60" s="6">
        <f>IFERROR(tbl_zawodnicy_średnie[[#This Row],[GmSc]]*(40/tbl_zawodnicy_średnie[[#This Row],[min]]),0)</f>
        <v>-0.39999999999999991</v>
      </c>
      <c r="AN60" s="6">
        <f>IFERROR(tbl_zawodnicy_średnie[[#This Row],[EVAL]]*(40/tbl_zawodnicy_średnie[[#This Row],[min]]),0)</f>
        <v>4</v>
      </c>
      <c r="AO60" s="6">
        <f>tbl_zawodnicy_średnie[[#This Row],[fgm]]-tbl_zawodnicy_średnie[[#This Row],[3pm]]</f>
        <v>0</v>
      </c>
      <c r="AP60" s="6">
        <f>tbl_zawodnicy_średnie[[#This Row],[fga]]-tbl_zawodnicy_średnie[[#This Row],[3pa]]</f>
        <v>1</v>
      </c>
      <c r="AQ60">
        <v>51</v>
      </c>
      <c r="AR60" s="6" t="str">
        <f>tbl_zawodnicy_średnie[[#This Row],[I. Nazwisko]]&amp;" ["&amp;VLOOKUP(tbl_zawodnicy_średnie[[#This Row],[zespół]],tab_nazwy_zespołów[],2,0)&amp;"]"</f>
        <v>B. Sanner [WIL]</v>
      </c>
    </row>
    <row r="61" spans="1:44" x14ac:dyDescent="0.35">
      <c r="A61" t="s">
        <v>52</v>
      </c>
      <c r="B61" t="s">
        <v>210</v>
      </c>
      <c r="C61" s="9">
        <f>SUMIF(tbl_główna_GRACZE[I. Nazwisko],tbl_zawodnicy_średnie[[#This Row],[I. Nazwisko]],tbl_główna_GRACZE[Played?])</f>
        <v>2</v>
      </c>
      <c r="D61" s="55">
        <f>IFERROR((SUMIF(tbl_główna_GRACZE[I. Nazwisko],tbl_zawodnicy_średnie[[#This Row],[I. Nazwisko]],tbl_główna_GRACZE[fgm]))/tbl_zawodnicy_średnie[[#This Row],[Played]],0)</f>
        <v>0.5</v>
      </c>
      <c r="E61" s="55">
        <f>IFERROR((SUMIF(tbl_główna_GRACZE[I. Nazwisko],tbl_zawodnicy_średnie[[#This Row],[I. Nazwisko]],tbl_główna_GRACZE[fga]))/tbl_zawodnicy_średnie[[#This Row],[Played]],0)</f>
        <v>0.5</v>
      </c>
      <c r="F61" s="55">
        <f>IFERROR((SUMIF(tbl_główna_GRACZE[I. Nazwisko],tbl_zawodnicy_średnie[[#This Row],[I. Nazwisko]],tbl_główna_GRACZE[3pm]))/tbl_zawodnicy_średnie[[#This Row],[Played]],0)</f>
        <v>0</v>
      </c>
      <c r="G61" s="55">
        <f>IFERROR((SUMIF(tbl_główna_GRACZE[I. Nazwisko],tbl_zawodnicy_średnie[[#This Row],[I. Nazwisko]],tbl_główna_GRACZE[3pa]))/tbl_zawodnicy_średnie[[#This Row],[Played]],0)</f>
        <v>0</v>
      </c>
      <c r="H61" s="55">
        <f>IFERROR((SUMIF(tbl_główna_GRACZE[I. Nazwisko],tbl_zawodnicy_średnie[[#This Row],[I. Nazwisko]],tbl_główna_GRACZE[ftm]))/tbl_zawodnicy_średnie[[#This Row],[Played]],0)</f>
        <v>0</v>
      </c>
      <c r="I61" s="55">
        <f>IFERROR((SUMIF(tbl_główna_GRACZE[I. Nazwisko],tbl_zawodnicy_średnie[[#This Row],[I. Nazwisko]],tbl_główna_GRACZE[fta]))/tbl_zawodnicy_średnie[[#This Row],[Played]],0)</f>
        <v>0</v>
      </c>
      <c r="J61" s="55">
        <f>IFERROR((SUMIF(tbl_główna_GRACZE[I. Nazwisko],tbl_zawodnicy_średnie[[#This Row],[I. Nazwisko]],tbl_główna_GRACZE[oreb]))/tbl_zawodnicy_średnie[[#This Row],[Played]],0)</f>
        <v>1</v>
      </c>
      <c r="K61" s="55">
        <f>IFERROR((SUMIF(tbl_główna_GRACZE[I. Nazwisko],tbl_zawodnicy_średnie[[#This Row],[I. Nazwisko]],tbl_główna_GRACZE[dreb]))/tbl_zawodnicy_średnie[[#This Row],[Played]],0)</f>
        <v>2</v>
      </c>
      <c r="L61" s="55">
        <f>IFERROR((SUMIF(tbl_główna_GRACZE[I. Nazwisko],tbl_zawodnicy_średnie[[#This Row],[I. Nazwisko]],tbl_główna_GRACZE[foul]))/tbl_zawodnicy_średnie[[#This Row],[Played]],0)</f>
        <v>0.5</v>
      </c>
      <c r="M61" s="55">
        <f>IFERROR((SUMIF(tbl_główna_GRACZE[I. Nazwisko],tbl_zawodnicy_średnie[[#This Row],[I. Nazwisko]],tbl_główna_GRACZE[stl]))/tbl_zawodnicy_średnie[[#This Row],[Played]],0)</f>
        <v>0.5</v>
      </c>
      <c r="N61" s="55">
        <f>IFERROR((SUMIF(tbl_główna_GRACZE[I. Nazwisko],tbl_zawodnicy_średnie[[#This Row],[I. Nazwisko]],tbl_główna_GRACZE[to]))/tbl_zawodnicy_średnie[[#This Row],[Played]],0)</f>
        <v>0</v>
      </c>
      <c r="O61" s="55">
        <f>IFERROR((SUMIF(tbl_główna_GRACZE[I. Nazwisko],tbl_zawodnicy_średnie[[#This Row],[I. Nazwisko]],tbl_główna_GRACZE[blk]))/tbl_zawodnicy_średnie[[#This Row],[Played]],0)</f>
        <v>0</v>
      </c>
      <c r="P61" s="55">
        <f>IFERROR((SUMIF(tbl_główna_GRACZE[I. Nazwisko],tbl_zawodnicy_średnie[[#This Row],[I. Nazwisko]],tbl_główna_GRACZE[asst]))/tbl_zawodnicy_średnie[[#This Row],[Played]],0)</f>
        <v>0.5</v>
      </c>
      <c r="Q61" s="55">
        <f>IFERROR((SUMIF(tbl_główna_GRACZE[I. Nazwisko],tbl_zawodnicy_średnie[[#This Row],[I. Nazwisko]],tbl_główna_GRACZE[min]))/tbl_zawodnicy_średnie[[#This Row],[Played]],0)</f>
        <v>15</v>
      </c>
      <c r="R61" s="55">
        <f>IFERROR((SUMIF(tbl_główna_GRACZE[I. Nazwisko],tbl_zawodnicy_średnie[[#This Row],[I. Nazwisko]],tbl_główna_GRACZE[pts]))/tbl_zawodnicy_średnie[[#This Row],[Played]],0)</f>
        <v>1</v>
      </c>
      <c r="S61" s="6">
        <f t="shared" si="11"/>
        <v>3</v>
      </c>
      <c r="T61" s="4">
        <f t="shared" si="12"/>
        <v>1</v>
      </c>
      <c r="U61" s="4">
        <f t="shared" si="13"/>
        <v>0</v>
      </c>
      <c r="V61" s="4">
        <f t="shared" si="14"/>
        <v>0</v>
      </c>
      <c r="W61" s="4">
        <f>IFERROR(tbl_zawodnicy_średnie[[#This Row],[2pm]]/tbl_zawodnicy_średnie[[#This Row],[2pa]],0)</f>
        <v>1</v>
      </c>
      <c r="X61" s="4">
        <f t="shared" si="15"/>
        <v>1</v>
      </c>
      <c r="Y61" s="4">
        <f t="shared" si="16"/>
        <v>1</v>
      </c>
      <c r="Z61" s="6">
        <f t="shared" si="17"/>
        <v>5</v>
      </c>
      <c r="AA61" s="4">
        <f t="shared" si="18"/>
        <v>0</v>
      </c>
      <c r="AB61" s="4">
        <f t="shared" si="19"/>
        <v>0</v>
      </c>
      <c r="AC61" s="26">
        <f>IFERROR((SUMIF(tbl_główna_GRACZE[I. Nazwisko],tbl_zawodnicy_średnie[[#This Row],[I. Nazwisko]],tbl_główna_GRACZE[USG%]))/tbl_zawodnicy_średnie[[#This Row],[Played]],0)</f>
        <v>6.0827250608272501E-3</v>
      </c>
      <c r="AD61" s="25">
        <f>IFERROR(tbl_zawodnicy_średnie[[#This Row],[pts]]*(40/tbl_zawodnicy_średnie[[#This Row],[min]]),0)</f>
        <v>2.6666666666666665</v>
      </c>
      <c r="AE61" s="25">
        <f>IFERROR(tbl_zawodnicy_średnie[[#This Row],[reb total]]*(40/tbl_zawodnicy_średnie[[#This Row],[min]]),0)</f>
        <v>8</v>
      </c>
      <c r="AF61" s="30">
        <f>IFERROR(tbl_zawodnicy_średnie[[#This Row],[asst]]*(40/tbl_zawodnicy_średnie[[#This Row],[min]]),0)</f>
        <v>1.3333333333333333</v>
      </c>
      <c r="AG61" s="5">
        <f t="shared" si="20"/>
        <v>2</v>
      </c>
      <c r="AH61" s="5">
        <f>IFERROR((tbl_zawodnicy_średnie[[#This Row],[stl]]+tbl_zawodnicy_średnie[[#This Row],[blk]])*(40/tbl_zawodnicy_średnie[[#This Row],[min]]),0)</f>
        <v>1.3333333333333333</v>
      </c>
      <c r="AI61" s="24">
        <f>IFERROR((SUMIF(tbl_główna_GRACZE[I. Nazwisko],tbl_zawodnicy_średnie[[#This Row],[I. Nazwisko]],tbl_główna_GRACZE[DI]))/tbl_zawodnicy_średnie[[#This Row],[Played]],0)</f>
        <v>3.5714285714285712E-2</v>
      </c>
      <c r="AJ61" s="25">
        <f>tbl_zawodnicy_średnie[[#This Row],[stl]]+tbl_zawodnicy_średnie[[#This Row],[blk]]+(tbl_zawodnicy_średnie[[#This Row],[dreb]]*0.5)</f>
        <v>1.5</v>
      </c>
      <c r="AK61" s="29">
        <f>IFERROR((tbl_zawodnicy_średnie[[#This Row],[stl]]+tbl_zawodnicy_średnie[[#This Row],[blk]]+0.5*tbl_zawodnicy_średnie[[#This Row],[dreb]])/tbl_zawodnicy_średnie[[#This Row],[min]],0)</f>
        <v>0.1</v>
      </c>
      <c r="AL61" s="6">
        <f t="shared" si="21"/>
        <v>3</v>
      </c>
      <c r="AM61" s="6">
        <f>IFERROR(tbl_zawodnicy_średnie[[#This Row],[GmSc]]*(40/tbl_zawodnicy_średnie[[#This Row],[min]]),0)</f>
        <v>8</v>
      </c>
      <c r="AN61" s="6">
        <f>IFERROR(tbl_zawodnicy_średnie[[#This Row],[EVAL]]*(40/tbl_zawodnicy_średnie[[#This Row],[min]]),0)</f>
        <v>13.333333333333332</v>
      </c>
      <c r="AO61" s="6">
        <f>tbl_zawodnicy_średnie[[#This Row],[fgm]]-tbl_zawodnicy_średnie[[#This Row],[3pm]]</f>
        <v>0.5</v>
      </c>
      <c r="AP61" s="6">
        <f>tbl_zawodnicy_średnie[[#This Row],[fga]]-tbl_zawodnicy_średnie[[#This Row],[3pa]]</f>
        <v>0.5</v>
      </c>
      <c r="AQ61">
        <v>53</v>
      </c>
      <c r="AR61" s="6" t="str">
        <f>tbl_zawodnicy_średnie[[#This Row],[I. Nazwisko]]&amp;" ["&amp;VLOOKUP(tbl_zawodnicy_średnie[[#This Row],[zespół]],tab_nazwy_zespołów[],2,0)&amp;"]"</f>
        <v>A. Sikora [WIL]</v>
      </c>
    </row>
    <row r="62" spans="1:44" x14ac:dyDescent="0.35">
      <c r="A62" t="s">
        <v>46</v>
      </c>
      <c r="B62" t="s">
        <v>342</v>
      </c>
      <c r="C62" s="9">
        <f>SUMIF(tbl_główna_GRACZE[I. Nazwisko],tbl_zawodnicy_średnie[[#This Row],[I. Nazwisko]],tbl_główna_GRACZE[Played?])</f>
        <v>3</v>
      </c>
      <c r="D62" s="55">
        <f>IFERROR((SUMIF(tbl_główna_GRACZE[I. Nazwisko],tbl_zawodnicy_średnie[[#This Row],[I. Nazwisko]],tbl_główna_GRACZE[fgm]))/tbl_zawodnicy_średnie[[#This Row],[Played]],0)</f>
        <v>2.3333333333333335</v>
      </c>
      <c r="E62" s="55">
        <f>IFERROR((SUMIF(tbl_główna_GRACZE[I. Nazwisko],tbl_zawodnicy_średnie[[#This Row],[I. Nazwisko]],tbl_główna_GRACZE[fga]))/tbl_zawodnicy_średnie[[#This Row],[Played]],0)</f>
        <v>6.666666666666667</v>
      </c>
      <c r="F62" s="55">
        <f>IFERROR((SUMIF(tbl_główna_GRACZE[I. Nazwisko],tbl_zawodnicy_średnie[[#This Row],[I. Nazwisko]],tbl_główna_GRACZE[3pm]))/tbl_zawodnicy_średnie[[#This Row],[Played]],0)</f>
        <v>0.33333333333333331</v>
      </c>
      <c r="G62" s="55">
        <f>IFERROR((SUMIF(tbl_główna_GRACZE[I. Nazwisko],tbl_zawodnicy_średnie[[#This Row],[I. Nazwisko]],tbl_główna_GRACZE[3pa]))/tbl_zawodnicy_średnie[[#This Row],[Played]],0)</f>
        <v>0.66666666666666663</v>
      </c>
      <c r="H62" s="55">
        <f>IFERROR((SUMIF(tbl_główna_GRACZE[I. Nazwisko],tbl_zawodnicy_średnie[[#This Row],[I. Nazwisko]],tbl_główna_GRACZE[ftm]))/tbl_zawodnicy_średnie[[#This Row],[Played]],0)</f>
        <v>1</v>
      </c>
      <c r="I62" s="55">
        <f>IFERROR((SUMIF(tbl_główna_GRACZE[I. Nazwisko],tbl_zawodnicy_średnie[[#This Row],[I. Nazwisko]],tbl_główna_GRACZE[fta]))/tbl_zawodnicy_średnie[[#This Row],[Played]],0)</f>
        <v>2</v>
      </c>
      <c r="J62" s="55">
        <f>IFERROR((SUMIF(tbl_główna_GRACZE[I. Nazwisko],tbl_zawodnicy_średnie[[#This Row],[I. Nazwisko]],tbl_główna_GRACZE[oreb]))/tbl_zawodnicy_średnie[[#This Row],[Played]],0)</f>
        <v>1</v>
      </c>
      <c r="K62" s="55">
        <f>IFERROR((SUMIF(tbl_główna_GRACZE[I. Nazwisko],tbl_zawodnicy_średnie[[#This Row],[I. Nazwisko]],tbl_główna_GRACZE[dreb]))/tbl_zawodnicy_średnie[[#This Row],[Played]],0)</f>
        <v>5.333333333333333</v>
      </c>
      <c r="L62" s="55">
        <f>IFERROR((SUMIF(tbl_główna_GRACZE[I. Nazwisko],tbl_zawodnicy_średnie[[#This Row],[I. Nazwisko]],tbl_główna_GRACZE[foul]))/tbl_zawodnicy_średnie[[#This Row],[Played]],0)</f>
        <v>0</v>
      </c>
      <c r="M62" s="55">
        <f>IFERROR((SUMIF(tbl_główna_GRACZE[I. Nazwisko],tbl_zawodnicy_średnie[[#This Row],[I. Nazwisko]],tbl_główna_GRACZE[stl]))/tbl_zawodnicy_średnie[[#This Row],[Played]],0)</f>
        <v>2.3333333333333335</v>
      </c>
      <c r="N62" s="55">
        <f>IFERROR((SUMIF(tbl_główna_GRACZE[I. Nazwisko],tbl_zawodnicy_średnie[[#This Row],[I. Nazwisko]],tbl_główna_GRACZE[to]))/tbl_zawodnicy_średnie[[#This Row],[Played]],0)</f>
        <v>0</v>
      </c>
      <c r="O62" s="55">
        <f>IFERROR((SUMIF(tbl_główna_GRACZE[I. Nazwisko],tbl_zawodnicy_średnie[[#This Row],[I. Nazwisko]],tbl_główna_GRACZE[blk]))/tbl_zawodnicy_średnie[[#This Row],[Played]],0)</f>
        <v>1.3333333333333333</v>
      </c>
      <c r="P62" s="55">
        <f>IFERROR((SUMIF(tbl_główna_GRACZE[I. Nazwisko],tbl_zawodnicy_średnie[[#This Row],[I. Nazwisko]],tbl_główna_GRACZE[asst]))/tbl_zawodnicy_średnie[[#This Row],[Played]],0)</f>
        <v>1</v>
      </c>
      <c r="Q62" s="55">
        <f>IFERROR((SUMIF(tbl_główna_GRACZE[I. Nazwisko],tbl_zawodnicy_średnie[[#This Row],[I. Nazwisko]],tbl_główna_GRACZE[min]))/tbl_zawodnicy_średnie[[#This Row],[Played]],0)</f>
        <v>24.666666666666668</v>
      </c>
      <c r="R62" s="55">
        <f>IFERROR((SUMIF(tbl_główna_GRACZE[I. Nazwisko],tbl_zawodnicy_średnie[[#This Row],[I. Nazwisko]],tbl_główna_GRACZE[pts]))/tbl_zawodnicy_średnie[[#This Row],[Played]],0)</f>
        <v>6</v>
      </c>
      <c r="S62" s="6">
        <f t="shared" si="11"/>
        <v>6.333333333333333</v>
      </c>
      <c r="T62" s="4">
        <f t="shared" si="12"/>
        <v>0.35000000000000003</v>
      </c>
      <c r="U62" s="4">
        <f t="shared" si="13"/>
        <v>0.5</v>
      </c>
      <c r="V62" s="4">
        <f t="shared" si="14"/>
        <v>0.5</v>
      </c>
      <c r="W62" s="4">
        <f>IFERROR(tbl_zawodnicy_średnie[[#This Row],[2pm]]/tbl_zawodnicy_średnie[[#This Row],[2pa]],0)</f>
        <v>0.33333333333333331</v>
      </c>
      <c r="X62" s="4">
        <f t="shared" si="15"/>
        <v>0.39752650176678445</v>
      </c>
      <c r="Y62" s="4">
        <f t="shared" si="16"/>
        <v>0.375</v>
      </c>
      <c r="Z62" s="6">
        <f t="shared" si="17"/>
        <v>11.666666666666666</v>
      </c>
      <c r="AA62" s="4">
        <f t="shared" si="18"/>
        <v>0.3</v>
      </c>
      <c r="AB62" s="4">
        <f t="shared" si="19"/>
        <v>9.9999999999999992E-2</v>
      </c>
      <c r="AC62" s="26">
        <f>IFERROR((SUMIF(tbl_główna_GRACZE[I. Nazwisko],tbl_zawodnicy_średnie[[#This Row],[I. Nazwisko]],tbl_główna_GRACZE[USG%]))/tbl_zawodnicy_średnie[[#This Row],[Played]],0)</f>
        <v>0.1200127510428457</v>
      </c>
      <c r="AD62" s="25">
        <f>IFERROR(tbl_zawodnicy_średnie[[#This Row],[pts]]*(40/tbl_zawodnicy_średnie[[#This Row],[min]]),0)</f>
        <v>9.7297297297297298</v>
      </c>
      <c r="AE62" s="25">
        <f>IFERROR(tbl_zawodnicy_średnie[[#This Row],[reb total]]*(40/tbl_zawodnicy_średnie[[#This Row],[min]]),0)</f>
        <v>10.270270270270268</v>
      </c>
      <c r="AF62" s="30">
        <f>IFERROR(tbl_zawodnicy_średnie[[#This Row],[asst]]*(40/tbl_zawodnicy_średnie[[#This Row],[min]]),0)</f>
        <v>1.6216216216216215</v>
      </c>
      <c r="AG62" s="5">
        <f t="shared" si="20"/>
        <v>0.89999999999999991</v>
      </c>
      <c r="AH62" s="5">
        <f>IFERROR((tbl_zawodnicy_średnie[[#This Row],[stl]]+tbl_zawodnicy_średnie[[#This Row],[blk]])*(40/tbl_zawodnicy_średnie[[#This Row],[min]]),0)</f>
        <v>5.9459459459459456</v>
      </c>
      <c r="AI62" s="24">
        <f>IFERROR((SUMIF(tbl_główna_GRACZE[I. Nazwisko],tbl_zawodnicy_średnie[[#This Row],[I. Nazwisko]],tbl_główna_GRACZE[DI]))/tbl_zawodnicy_średnie[[#This Row],[Played]],0)</f>
        <v>0.25898078529657476</v>
      </c>
      <c r="AJ62" s="25">
        <f>tbl_zawodnicy_średnie[[#This Row],[stl]]+tbl_zawodnicy_średnie[[#This Row],[blk]]+(tbl_zawodnicy_średnie[[#This Row],[dreb]]*0.5)</f>
        <v>6.3333333333333339</v>
      </c>
      <c r="AK62" s="29">
        <f>IFERROR((tbl_zawodnicy_średnie[[#This Row],[stl]]+tbl_zawodnicy_średnie[[#This Row],[blk]]+0.5*tbl_zawodnicy_średnie[[#This Row],[dreb]])/tbl_zawodnicy_średnie[[#This Row],[min]],0)</f>
        <v>0.25675675675675674</v>
      </c>
      <c r="AL62" s="6">
        <f t="shared" si="21"/>
        <v>8.1333333333333329</v>
      </c>
      <c r="AM62" s="6">
        <f>IFERROR(tbl_zawodnicy_średnie[[#This Row],[GmSc]]*(40/tbl_zawodnicy_średnie[[#This Row],[min]]),0)</f>
        <v>13.189189189189188</v>
      </c>
      <c r="AN62" s="6">
        <f>IFERROR(tbl_zawodnicy_średnie[[#This Row],[EVAL]]*(40/tbl_zawodnicy_średnie[[#This Row],[min]]),0)</f>
        <v>18.918918918918916</v>
      </c>
      <c r="AO62" s="6">
        <f>tbl_zawodnicy_średnie[[#This Row],[fgm]]-tbl_zawodnicy_średnie[[#This Row],[3pm]]</f>
        <v>2</v>
      </c>
      <c r="AP62" s="6">
        <f>tbl_zawodnicy_średnie[[#This Row],[fga]]-tbl_zawodnicy_średnie[[#This Row],[3pa]]</f>
        <v>6</v>
      </c>
      <c r="AQ62">
        <v>54</v>
      </c>
      <c r="AR62" s="6" t="str">
        <f>tbl_zawodnicy_średnie[[#This Row],[I. Nazwisko]]&amp;" ["&amp;VLOOKUP(tbl_zawodnicy_średnie[[#This Row],[zespół]],tab_nazwy_zespołów[],2,0)&amp;"]"</f>
        <v>P. Kozlowski [BYP]</v>
      </c>
    </row>
    <row r="63" spans="1:44" x14ac:dyDescent="0.35">
      <c r="A63" t="s">
        <v>48</v>
      </c>
      <c r="B63" t="s">
        <v>211</v>
      </c>
      <c r="C63" s="9">
        <f>SUMIF(tbl_główna_GRACZE[I. Nazwisko],tbl_zawodnicy_średnie[[#This Row],[I. Nazwisko]],tbl_główna_GRACZE[Played?])</f>
        <v>2</v>
      </c>
      <c r="D63" s="55">
        <f>IFERROR((SUMIF(tbl_główna_GRACZE[I. Nazwisko],tbl_zawodnicy_średnie[[#This Row],[I. Nazwisko]],tbl_główna_GRACZE[fgm]))/tbl_zawodnicy_średnie[[#This Row],[Played]],0)</f>
        <v>0.5</v>
      </c>
      <c r="E63" s="55">
        <f>IFERROR((SUMIF(tbl_główna_GRACZE[I. Nazwisko],tbl_zawodnicy_średnie[[#This Row],[I. Nazwisko]],tbl_główna_GRACZE[fga]))/tbl_zawodnicy_średnie[[#This Row],[Played]],0)</f>
        <v>3</v>
      </c>
      <c r="F63" s="55">
        <f>IFERROR((SUMIF(tbl_główna_GRACZE[I. Nazwisko],tbl_zawodnicy_średnie[[#This Row],[I. Nazwisko]],tbl_główna_GRACZE[3pm]))/tbl_zawodnicy_średnie[[#This Row],[Played]],0)</f>
        <v>0</v>
      </c>
      <c r="G63" s="55">
        <f>IFERROR((SUMIF(tbl_główna_GRACZE[I. Nazwisko],tbl_zawodnicy_średnie[[#This Row],[I. Nazwisko]],tbl_główna_GRACZE[3pa]))/tbl_zawodnicy_średnie[[#This Row],[Played]],0)</f>
        <v>0.5</v>
      </c>
      <c r="H63" s="55">
        <f>IFERROR((SUMIF(tbl_główna_GRACZE[I. Nazwisko],tbl_zawodnicy_średnie[[#This Row],[I. Nazwisko]],tbl_główna_GRACZE[ftm]))/tbl_zawodnicy_średnie[[#This Row],[Played]],0)</f>
        <v>1</v>
      </c>
      <c r="I63" s="55">
        <f>IFERROR((SUMIF(tbl_główna_GRACZE[I. Nazwisko],tbl_zawodnicy_średnie[[#This Row],[I. Nazwisko]],tbl_główna_GRACZE[fta]))/tbl_zawodnicy_średnie[[#This Row],[Played]],0)</f>
        <v>1</v>
      </c>
      <c r="J63" s="55">
        <f>IFERROR((SUMIF(tbl_główna_GRACZE[I. Nazwisko],tbl_zawodnicy_średnie[[#This Row],[I. Nazwisko]],tbl_główna_GRACZE[oreb]))/tbl_zawodnicy_średnie[[#This Row],[Played]],0)</f>
        <v>0.5</v>
      </c>
      <c r="K63" s="55">
        <f>IFERROR((SUMIF(tbl_główna_GRACZE[I. Nazwisko],tbl_zawodnicy_średnie[[#This Row],[I. Nazwisko]],tbl_główna_GRACZE[dreb]))/tbl_zawodnicy_średnie[[#This Row],[Played]],0)</f>
        <v>1.5</v>
      </c>
      <c r="L63" s="55">
        <f>IFERROR((SUMIF(tbl_główna_GRACZE[I. Nazwisko],tbl_zawodnicy_średnie[[#This Row],[I. Nazwisko]],tbl_główna_GRACZE[foul]))/tbl_zawodnicy_średnie[[#This Row],[Played]],0)</f>
        <v>0</v>
      </c>
      <c r="M63" s="55">
        <f>IFERROR((SUMIF(tbl_główna_GRACZE[I. Nazwisko],tbl_zawodnicy_średnie[[#This Row],[I. Nazwisko]],tbl_główna_GRACZE[stl]))/tbl_zawodnicy_średnie[[#This Row],[Played]],0)</f>
        <v>1</v>
      </c>
      <c r="N63" s="55">
        <f>IFERROR((SUMIF(tbl_główna_GRACZE[I. Nazwisko],tbl_zawodnicy_średnie[[#This Row],[I. Nazwisko]],tbl_główna_GRACZE[to]))/tbl_zawodnicy_średnie[[#This Row],[Played]],0)</f>
        <v>0</v>
      </c>
      <c r="O63" s="55">
        <f>IFERROR((SUMIF(tbl_główna_GRACZE[I. Nazwisko],tbl_zawodnicy_średnie[[#This Row],[I. Nazwisko]],tbl_główna_GRACZE[blk]))/tbl_zawodnicy_średnie[[#This Row],[Played]],0)</f>
        <v>0</v>
      </c>
      <c r="P63" s="55">
        <f>IFERROR((SUMIF(tbl_główna_GRACZE[I. Nazwisko],tbl_zawodnicy_średnie[[#This Row],[I. Nazwisko]],tbl_główna_GRACZE[asst]))/tbl_zawodnicy_średnie[[#This Row],[Played]],0)</f>
        <v>1</v>
      </c>
      <c r="Q63" s="55">
        <f>IFERROR((SUMIF(tbl_główna_GRACZE[I. Nazwisko],tbl_zawodnicy_średnie[[#This Row],[I. Nazwisko]],tbl_główna_GRACZE[min]))/tbl_zawodnicy_średnie[[#This Row],[Played]],0)</f>
        <v>18</v>
      </c>
      <c r="R63" s="55">
        <f>IFERROR((SUMIF(tbl_główna_GRACZE[I. Nazwisko],tbl_zawodnicy_średnie[[#This Row],[I. Nazwisko]],tbl_główna_GRACZE[pts]))/tbl_zawodnicy_średnie[[#This Row],[Played]],0)</f>
        <v>2</v>
      </c>
      <c r="S63" s="6">
        <f t="shared" si="11"/>
        <v>2</v>
      </c>
      <c r="T63" s="4">
        <f t="shared" si="12"/>
        <v>0.16666666666666666</v>
      </c>
      <c r="U63" s="4">
        <f t="shared" si="13"/>
        <v>0</v>
      </c>
      <c r="V63" s="4">
        <f t="shared" si="14"/>
        <v>1</v>
      </c>
      <c r="W63" s="4">
        <f>IFERROR(tbl_zawodnicy_średnie[[#This Row],[2pm]]/tbl_zawodnicy_średnie[[#This Row],[2pa]],0)</f>
        <v>0.2</v>
      </c>
      <c r="X63" s="4">
        <f t="shared" si="15"/>
        <v>0.29069767441860467</v>
      </c>
      <c r="Y63" s="4">
        <f t="shared" si="16"/>
        <v>0.16666666666666666</v>
      </c>
      <c r="Z63" s="6">
        <f t="shared" si="17"/>
        <v>3.5</v>
      </c>
      <c r="AA63" s="4">
        <f t="shared" si="18"/>
        <v>0.33333333333333331</v>
      </c>
      <c r="AB63" s="4">
        <f t="shared" si="19"/>
        <v>0.16666666666666666</v>
      </c>
      <c r="AC63" s="26">
        <f>IFERROR((SUMIF(tbl_główna_GRACZE[I. Nazwisko],tbl_zawodnicy_średnie[[#This Row],[I. Nazwisko]],tbl_główna_GRACZE[USG%]))/tbl_zawodnicy_średnie[[#This Row],[Played]],0)</f>
        <v>4.6535495018092642E-2</v>
      </c>
      <c r="AD63" s="25">
        <f>IFERROR(tbl_zawodnicy_średnie[[#This Row],[pts]]*(40/tbl_zawodnicy_średnie[[#This Row],[min]]),0)</f>
        <v>4.4444444444444446</v>
      </c>
      <c r="AE63" s="25">
        <f>IFERROR(tbl_zawodnicy_średnie[[#This Row],[reb total]]*(40/tbl_zawodnicy_średnie[[#This Row],[min]]),0)</f>
        <v>4.4444444444444446</v>
      </c>
      <c r="AF63" s="30">
        <f>IFERROR(tbl_zawodnicy_średnie[[#This Row],[asst]]*(40/tbl_zawodnicy_średnie[[#This Row],[min]]),0)</f>
        <v>2.2222222222222223</v>
      </c>
      <c r="AG63" s="5">
        <f t="shared" si="20"/>
        <v>0.66666666666666663</v>
      </c>
      <c r="AH63" s="5">
        <f>IFERROR((tbl_zawodnicy_średnie[[#This Row],[stl]]+tbl_zawodnicy_średnie[[#This Row],[blk]])*(40/tbl_zawodnicy_średnie[[#This Row],[min]]),0)</f>
        <v>2.2222222222222223</v>
      </c>
      <c r="AI63" s="24">
        <f>IFERROR((SUMIF(tbl_główna_GRACZE[I. Nazwisko],tbl_zawodnicy_średnie[[#This Row],[I. Nazwisko]],tbl_główna_GRACZE[DI]))/tbl_zawodnicy_średnie[[#This Row],[Played]],0)</f>
        <v>5.2777777777777778E-2</v>
      </c>
      <c r="AJ63" s="25">
        <f>tbl_zawodnicy_średnie[[#This Row],[stl]]+tbl_zawodnicy_średnie[[#This Row],[blk]]+(tbl_zawodnicy_średnie[[#This Row],[dreb]]*0.5)</f>
        <v>1.75</v>
      </c>
      <c r="AK63" s="29">
        <f>IFERROR((tbl_zawodnicy_średnie[[#This Row],[stl]]+tbl_zawodnicy_średnie[[#This Row],[blk]]+0.5*tbl_zawodnicy_średnie[[#This Row],[dreb]])/tbl_zawodnicy_średnie[[#This Row],[min]],0)</f>
        <v>9.7222222222222224E-2</v>
      </c>
      <c r="AL63" s="6">
        <f t="shared" si="21"/>
        <v>2.6000000000000005</v>
      </c>
      <c r="AM63" s="6">
        <f>IFERROR(tbl_zawodnicy_średnie[[#This Row],[GmSc]]*(40/tbl_zawodnicy_średnie[[#This Row],[min]]),0)</f>
        <v>5.7777777777777795</v>
      </c>
      <c r="AN63" s="6">
        <f>IFERROR(tbl_zawodnicy_średnie[[#This Row],[EVAL]]*(40/tbl_zawodnicy_średnie[[#This Row],[min]]),0)</f>
        <v>7.7777777777777786</v>
      </c>
      <c r="AO63" s="6">
        <f>tbl_zawodnicy_średnie[[#This Row],[fgm]]-tbl_zawodnicy_średnie[[#This Row],[3pm]]</f>
        <v>0.5</v>
      </c>
      <c r="AP63" s="6">
        <f>tbl_zawodnicy_średnie[[#This Row],[fga]]-tbl_zawodnicy_średnie[[#This Row],[3pa]]</f>
        <v>2.5</v>
      </c>
      <c r="AQ63">
        <v>55</v>
      </c>
      <c r="AR63" s="6" t="str">
        <f>tbl_zawodnicy_średnie[[#This Row],[I. Nazwisko]]&amp;" ["&amp;VLOOKUP(tbl_zawodnicy_średnie[[#This Row],[zespół]],tab_nazwy_zespołów[],2,0)&amp;"]"</f>
        <v>M. Bartosiewicz [ŁOD]</v>
      </c>
    </row>
    <row r="64" spans="1:44" x14ac:dyDescent="0.35">
      <c r="A64" t="s">
        <v>48</v>
      </c>
      <c r="B64" t="s">
        <v>212</v>
      </c>
      <c r="C64" s="9">
        <f>SUMIF(tbl_główna_GRACZE[I. Nazwisko],tbl_zawodnicy_średnie[[#This Row],[I. Nazwisko]],tbl_główna_GRACZE[Played?])</f>
        <v>1</v>
      </c>
      <c r="D64" s="55">
        <f>IFERROR((SUMIF(tbl_główna_GRACZE[I. Nazwisko],tbl_zawodnicy_średnie[[#This Row],[I. Nazwisko]],tbl_główna_GRACZE[fgm]))/tbl_zawodnicy_średnie[[#This Row],[Played]],0)</f>
        <v>1</v>
      </c>
      <c r="E64" s="55">
        <f>IFERROR((SUMIF(tbl_główna_GRACZE[I. Nazwisko],tbl_zawodnicy_średnie[[#This Row],[I. Nazwisko]],tbl_główna_GRACZE[fga]))/tbl_zawodnicy_średnie[[#This Row],[Played]],0)</f>
        <v>7</v>
      </c>
      <c r="F64" s="55">
        <f>IFERROR((SUMIF(tbl_główna_GRACZE[I. Nazwisko],tbl_zawodnicy_średnie[[#This Row],[I. Nazwisko]],tbl_główna_GRACZE[3pm]))/tbl_zawodnicy_średnie[[#This Row],[Played]],0)</f>
        <v>0</v>
      </c>
      <c r="G64" s="55">
        <f>IFERROR((SUMIF(tbl_główna_GRACZE[I. Nazwisko],tbl_zawodnicy_średnie[[#This Row],[I. Nazwisko]],tbl_główna_GRACZE[3pa]))/tbl_zawodnicy_średnie[[#This Row],[Played]],0)</f>
        <v>2</v>
      </c>
      <c r="H64" s="55">
        <f>IFERROR((SUMIF(tbl_główna_GRACZE[I. Nazwisko],tbl_zawodnicy_średnie[[#This Row],[I. Nazwisko]],tbl_główna_GRACZE[ftm]))/tbl_zawodnicy_średnie[[#This Row],[Played]],0)</f>
        <v>0</v>
      </c>
      <c r="I64" s="55">
        <f>IFERROR((SUMIF(tbl_główna_GRACZE[I. Nazwisko],tbl_zawodnicy_średnie[[#This Row],[I. Nazwisko]],tbl_główna_GRACZE[fta]))/tbl_zawodnicy_średnie[[#This Row],[Played]],0)</f>
        <v>0</v>
      </c>
      <c r="J64" s="55">
        <f>IFERROR((SUMIF(tbl_główna_GRACZE[I. Nazwisko],tbl_zawodnicy_średnie[[#This Row],[I. Nazwisko]],tbl_główna_GRACZE[oreb]))/tbl_zawodnicy_średnie[[#This Row],[Played]],0)</f>
        <v>1</v>
      </c>
      <c r="K64" s="55">
        <f>IFERROR((SUMIF(tbl_główna_GRACZE[I. Nazwisko],tbl_zawodnicy_średnie[[#This Row],[I. Nazwisko]],tbl_główna_GRACZE[dreb]))/tbl_zawodnicy_średnie[[#This Row],[Played]],0)</f>
        <v>1</v>
      </c>
      <c r="L64" s="55">
        <f>IFERROR((SUMIF(tbl_główna_GRACZE[I. Nazwisko],tbl_zawodnicy_średnie[[#This Row],[I. Nazwisko]],tbl_główna_GRACZE[foul]))/tbl_zawodnicy_średnie[[#This Row],[Played]],0)</f>
        <v>0</v>
      </c>
      <c r="M64" s="55">
        <f>IFERROR((SUMIF(tbl_główna_GRACZE[I. Nazwisko],tbl_zawodnicy_średnie[[#This Row],[I. Nazwisko]],tbl_główna_GRACZE[stl]))/tbl_zawodnicy_średnie[[#This Row],[Played]],0)</f>
        <v>3</v>
      </c>
      <c r="N64" s="55">
        <f>IFERROR((SUMIF(tbl_główna_GRACZE[I. Nazwisko],tbl_zawodnicy_średnie[[#This Row],[I. Nazwisko]],tbl_główna_GRACZE[to]))/tbl_zawodnicy_średnie[[#This Row],[Played]],0)</f>
        <v>0</v>
      </c>
      <c r="O64" s="55">
        <f>IFERROR((SUMIF(tbl_główna_GRACZE[I. Nazwisko],tbl_zawodnicy_średnie[[#This Row],[I. Nazwisko]],tbl_główna_GRACZE[blk]))/tbl_zawodnicy_średnie[[#This Row],[Played]],0)</f>
        <v>0</v>
      </c>
      <c r="P64" s="55">
        <f>IFERROR((SUMIF(tbl_główna_GRACZE[I. Nazwisko],tbl_zawodnicy_średnie[[#This Row],[I. Nazwisko]],tbl_główna_GRACZE[asst]))/tbl_zawodnicy_średnie[[#This Row],[Played]],0)</f>
        <v>0</v>
      </c>
      <c r="Q64" s="55">
        <f>IFERROR((SUMIF(tbl_główna_GRACZE[I. Nazwisko],tbl_zawodnicy_średnie[[#This Row],[I. Nazwisko]],tbl_główna_GRACZE[min]))/tbl_zawodnicy_średnie[[#This Row],[Played]],0)</f>
        <v>14</v>
      </c>
      <c r="R64" s="55">
        <f>IFERROR((SUMIF(tbl_główna_GRACZE[I. Nazwisko],tbl_zawodnicy_średnie[[#This Row],[I. Nazwisko]],tbl_główna_GRACZE[pts]))/tbl_zawodnicy_średnie[[#This Row],[Played]],0)</f>
        <v>2</v>
      </c>
      <c r="S64" s="6">
        <f t="shared" si="11"/>
        <v>2</v>
      </c>
      <c r="T64" s="4">
        <f t="shared" si="12"/>
        <v>0.14285714285714285</v>
      </c>
      <c r="U64" s="4">
        <f t="shared" si="13"/>
        <v>0</v>
      </c>
      <c r="V64" s="4">
        <f t="shared" si="14"/>
        <v>0</v>
      </c>
      <c r="W64" s="4">
        <f>IFERROR(tbl_zawodnicy_średnie[[#This Row],[2pm]]/tbl_zawodnicy_średnie[[#This Row],[2pa]],0)</f>
        <v>0.2</v>
      </c>
      <c r="X64" s="4">
        <f t="shared" si="15"/>
        <v>0.14285714285714285</v>
      </c>
      <c r="Y64" s="4">
        <f t="shared" si="16"/>
        <v>0.14285714285714285</v>
      </c>
      <c r="Z64" s="6">
        <f t="shared" si="17"/>
        <v>1</v>
      </c>
      <c r="AA64" s="4">
        <f t="shared" si="18"/>
        <v>0</v>
      </c>
      <c r="AB64" s="4">
        <f t="shared" si="19"/>
        <v>0.2857142857142857</v>
      </c>
      <c r="AC64" s="26">
        <f>IFERROR((SUMIF(tbl_główna_GRACZE[I. Nazwisko],tbl_zawodnicy_średnie[[#This Row],[I. Nazwisko]],tbl_główna_GRACZE[USG%]))/tbl_zawodnicy_średnie[[#This Row],[Played]],0)</f>
        <v>0.11047979797979798</v>
      </c>
      <c r="AD64" s="25">
        <f>IFERROR(tbl_zawodnicy_średnie[[#This Row],[pts]]*(40/tbl_zawodnicy_średnie[[#This Row],[min]]),0)</f>
        <v>5.7142857142857144</v>
      </c>
      <c r="AE64" s="25">
        <f>IFERROR(tbl_zawodnicy_średnie[[#This Row],[reb total]]*(40/tbl_zawodnicy_średnie[[#This Row],[min]]),0)</f>
        <v>5.7142857142857144</v>
      </c>
      <c r="AF64" s="30">
        <f>IFERROR(tbl_zawodnicy_średnie[[#This Row],[asst]]*(40/tbl_zawodnicy_średnie[[#This Row],[min]]),0)</f>
        <v>0</v>
      </c>
      <c r="AG64" s="5">
        <f t="shared" si="20"/>
        <v>0.2857142857142857</v>
      </c>
      <c r="AH64" s="5">
        <f>IFERROR((tbl_zawodnicy_średnie[[#This Row],[stl]]+tbl_zawodnicy_średnie[[#This Row],[blk]])*(40/tbl_zawodnicy_średnie[[#This Row],[min]]),0)</f>
        <v>8.5714285714285712</v>
      </c>
      <c r="AI64" s="24">
        <f>IFERROR((SUMIF(tbl_główna_GRACZE[I. Nazwisko],tbl_zawodnicy_średnie[[#This Row],[I. Nazwisko]],tbl_główna_GRACZE[DI]))/tbl_zawodnicy_średnie[[#This Row],[Played]],0)</f>
        <v>0.16666666666666666</v>
      </c>
      <c r="AJ64" s="25">
        <f>tbl_zawodnicy_średnie[[#This Row],[stl]]+tbl_zawodnicy_średnie[[#This Row],[blk]]+(tbl_zawodnicy_średnie[[#This Row],[dreb]]*0.5)</f>
        <v>3.5</v>
      </c>
      <c r="AK64" s="29">
        <f>IFERROR((tbl_zawodnicy_średnie[[#This Row],[stl]]+tbl_zawodnicy_średnie[[#This Row],[blk]]+0.5*tbl_zawodnicy_średnie[[#This Row],[dreb]])/tbl_zawodnicy_średnie[[#This Row],[min]],0)</f>
        <v>0.25</v>
      </c>
      <c r="AL64" s="6">
        <f t="shared" si="21"/>
        <v>1.5000000000000004</v>
      </c>
      <c r="AM64" s="6">
        <f>IFERROR(tbl_zawodnicy_średnie[[#This Row],[GmSc]]*(40/tbl_zawodnicy_średnie[[#This Row],[min]]),0)</f>
        <v>4.2857142857142874</v>
      </c>
      <c r="AN64" s="6">
        <f>IFERROR(tbl_zawodnicy_średnie[[#This Row],[EVAL]]*(40/tbl_zawodnicy_średnie[[#This Row],[min]]),0)</f>
        <v>2.8571428571428572</v>
      </c>
      <c r="AO64" s="6">
        <f>tbl_zawodnicy_średnie[[#This Row],[fgm]]-tbl_zawodnicy_średnie[[#This Row],[3pm]]</f>
        <v>1</v>
      </c>
      <c r="AP64" s="6">
        <f>tbl_zawodnicy_średnie[[#This Row],[fga]]-tbl_zawodnicy_średnie[[#This Row],[3pa]]</f>
        <v>5</v>
      </c>
      <c r="AQ64">
        <v>56</v>
      </c>
      <c r="AR64" s="6" t="str">
        <f>tbl_zawodnicy_średnie[[#This Row],[I. Nazwisko]]&amp;" ["&amp;VLOOKUP(tbl_zawodnicy_średnie[[#This Row],[zespół]],tab_nazwy_zespołów[],2,0)&amp;"]"</f>
        <v>P. Gawryś [ŁOD]</v>
      </c>
    </row>
    <row r="65" spans="1:44" x14ac:dyDescent="0.35">
      <c r="A65" t="s">
        <v>25</v>
      </c>
      <c r="B65" t="s">
        <v>217</v>
      </c>
      <c r="C65" s="9">
        <f>SUMIF(tbl_główna_GRACZE[I. Nazwisko],tbl_zawodnicy_średnie[[#This Row],[I. Nazwisko]],tbl_główna_GRACZE[Played?])</f>
        <v>1</v>
      </c>
      <c r="D65" s="55">
        <f>IFERROR((SUMIF(tbl_główna_GRACZE[I. Nazwisko],tbl_zawodnicy_średnie[[#This Row],[I. Nazwisko]],tbl_główna_GRACZE[fgm]))/tbl_zawodnicy_średnie[[#This Row],[Played]],0)</f>
        <v>3</v>
      </c>
      <c r="E65" s="55">
        <f>IFERROR((SUMIF(tbl_główna_GRACZE[I. Nazwisko],tbl_zawodnicy_średnie[[#This Row],[I. Nazwisko]],tbl_główna_GRACZE[fga]))/tbl_zawodnicy_średnie[[#This Row],[Played]],0)</f>
        <v>14</v>
      </c>
      <c r="F65" s="55">
        <f>IFERROR((SUMIF(tbl_główna_GRACZE[I. Nazwisko],tbl_zawodnicy_średnie[[#This Row],[I. Nazwisko]],tbl_główna_GRACZE[3pm]))/tbl_zawodnicy_średnie[[#This Row],[Played]],0)</f>
        <v>1</v>
      </c>
      <c r="G65" s="55">
        <f>IFERROR((SUMIF(tbl_główna_GRACZE[I. Nazwisko],tbl_zawodnicy_średnie[[#This Row],[I. Nazwisko]],tbl_główna_GRACZE[3pa]))/tbl_zawodnicy_średnie[[#This Row],[Played]],0)</f>
        <v>6</v>
      </c>
      <c r="H65" s="55">
        <f>IFERROR((SUMIF(tbl_główna_GRACZE[I. Nazwisko],tbl_zawodnicy_średnie[[#This Row],[I. Nazwisko]],tbl_główna_GRACZE[ftm]))/tbl_zawodnicy_średnie[[#This Row],[Played]],0)</f>
        <v>1</v>
      </c>
      <c r="I65" s="55">
        <f>IFERROR((SUMIF(tbl_główna_GRACZE[I. Nazwisko],tbl_zawodnicy_średnie[[#This Row],[I. Nazwisko]],tbl_główna_GRACZE[fta]))/tbl_zawodnicy_średnie[[#This Row],[Played]],0)</f>
        <v>1</v>
      </c>
      <c r="J65" s="55">
        <f>IFERROR((SUMIF(tbl_główna_GRACZE[I. Nazwisko],tbl_zawodnicy_średnie[[#This Row],[I. Nazwisko]],tbl_główna_GRACZE[oreb]))/tbl_zawodnicy_średnie[[#This Row],[Played]],0)</f>
        <v>3</v>
      </c>
      <c r="K65" s="55">
        <f>IFERROR((SUMIF(tbl_główna_GRACZE[I. Nazwisko],tbl_zawodnicy_średnie[[#This Row],[I. Nazwisko]],tbl_główna_GRACZE[dreb]))/tbl_zawodnicy_średnie[[#This Row],[Played]],0)</f>
        <v>3</v>
      </c>
      <c r="L65" s="55">
        <f>IFERROR((SUMIF(tbl_główna_GRACZE[I. Nazwisko],tbl_zawodnicy_średnie[[#This Row],[I. Nazwisko]],tbl_główna_GRACZE[foul]))/tbl_zawodnicy_średnie[[#This Row],[Played]],0)</f>
        <v>0</v>
      </c>
      <c r="M65" s="55">
        <f>IFERROR((SUMIF(tbl_główna_GRACZE[I. Nazwisko],tbl_zawodnicy_średnie[[#This Row],[I. Nazwisko]],tbl_główna_GRACZE[stl]))/tbl_zawodnicy_średnie[[#This Row],[Played]],0)</f>
        <v>0</v>
      </c>
      <c r="N65" s="55">
        <f>IFERROR((SUMIF(tbl_główna_GRACZE[I. Nazwisko],tbl_zawodnicy_średnie[[#This Row],[I. Nazwisko]],tbl_główna_GRACZE[to]))/tbl_zawodnicy_średnie[[#This Row],[Played]],0)</f>
        <v>0</v>
      </c>
      <c r="O65" s="55">
        <f>IFERROR((SUMIF(tbl_główna_GRACZE[I. Nazwisko],tbl_zawodnicy_średnie[[#This Row],[I. Nazwisko]],tbl_główna_GRACZE[blk]))/tbl_zawodnicy_średnie[[#This Row],[Played]],0)</f>
        <v>0</v>
      </c>
      <c r="P65" s="55">
        <f>IFERROR((SUMIF(tbl_główna_GRACZE[I. Nazwisko],tbl_zawodnicy_średnie[[#This Row],[I. Nazwisko]],tbl_główna_GRACZE[asst]))/tbl_zawodnicy_średnie[[#This Row],[Played]],0)</f>
        <v>2</v>
      </c>
      <c r="Q65" s="55">
        <f>IFERROR((SUMIF(tbl_główna_GRACZE[I. Nazwisko],tbl_zawodnicy_średnie[[#This Row],[I. Nazwisko]],tbl_główna_GRACZE[min]))/tbl_zawodnicy_średnie[[#This Row],[Played]],0)</f>
        <v>33</v>
      </c>
      <c r="R65" s="55">
        <f>IFERROR((SUMIF(tbl_główna_GRACZE[I. Nazwisko],tbl_zawodnicy_średnie[[#This Row],[I. Nazwisko]],tbl_główna_GRACZE[pts]))/tbl_zawodnicy_średnie[[#This Row],[Played]],0)</f>
        <v>8</v>
      </c>
      <c r="S65" s="6">
        <f t="shared" si="11"/>
        <v>6</v>
      </c>
      <c r="T65" s="4">
        <f t="shared" si="12"/>
        <v>0.21428571428571427</v>
      </c>
      <c r="U65" s="4">
        <f t="shared" si="13"/>
        <v>0.16666666666666666</v>
      </c>
      <c r="V65" s="4">
        <f t="shared" si="14"/>
        <v>1</v>
      </c>
      <c r="W65" s="4">
        <f>IFERROR(tbl_zawodnicy_średnie[[#This Row],[2pm]]/tbl_zawodnicy_średnie[[#This Row],[2pa]],0)</f>
        <v>0.25</v>
      </c>
      <c r="X65" s="4">
        <f t="shared" si="15"/>
        <v>0.2770083102493075</v>
      </c>
      <c r="Y65" s="4">
        <f t="shared" si="16"/>
        <v>0.25</v>
      </c>
      <c r="Z65" s="6">
        <f t="shared" si="17"/>
        <v>5</v>
      </c>
      <c r="AA65" s="4">
        <f t="shared" si="18"/>
        <v>7.1428571428571425E-2</v>
      </c>
      <c r="AB65" s="4">
        <f t="shared" si="19"/>
        <v>0.42857142857142855</v>
      </c>
      <c r="AC65" s="26">
        <f>IFERROR((SUMIF(tbl_główna_GRACZE[I. Nazwisko],tbl_zawodnicy_średnie[[#This Row],[I. Nazwisko]],tbl_główna_GRACZE[USG%]))/tbl_zawodnicy_średnie[[#This Row],[Played]],0)</f>
        <v>0.19966814159292037</v>
      </c>
      <c r="AD65" s="25">
        <f>IFERROR(tbl_zawodnicy_średnie[[#This Row],[pts]]*(40/tbl_zawodnicy_średnie[[#This Row],[min]]),0)</f>
        <v>9.6969696969696972</v>
      </c>
      <c r="AE65" s="25">
        <f>IFERROR(tbl_zawodnicy_średnie[[#This Row],[reb total]]*(40/tbl_zawodnicy_średnie[[#This Row],[min]]),0)</f>
        <v>7.2727272727272734</v>
      </c>
      <c r="AF65" s="30">
        <f>IFERROR(tbl_zawodnicy_średnie[[#This Row],[asst]]*(40/tbl_zawodnicy_średnie[[#This Row],[min]]),0)</f>
        <v>2.4242424242424243</v>
      </c>
      <c r="AG65" s="5">
        <f t="shared" si="20"/>
        <v>0.5714285714285714</v>
      </c>
      <c r="AH65" s="5">
        <f>IFERROR((tbl_zawodnicy_średnie[[#This Row],[stl]]+tbl_zawodnicy_średnie[[#This Row],[blk]])*(40/tbl_zawodnicy_średnie[[#This Row],[min]]),0)</f>
        <v>0</v>
      </c>
      <c r="AI65" s="24">
        <f>IFERROR((SUMIF(tbl_główna_GRACZE[I. Nazwisko],tbl_zawodnicy_średnie[[#This Row],[I. Nazwisko]],tbl_główna_GRACZE[DI]))/tbl_zawodnicy_średnie[[#This Row],[Played]],0)</f>
        <v>0</v>
      </c>
      <c r="AJ65" s="25">
        <f>tbl_zawodnicy_średnie[[#This Row],[stl]]+tbl_zawodnicy_średnie[[#This Row],[blk]]+(tbl_zawodnicy_średnie[[#This Row],[dreb]]*0.5)</f>
        <v>1.5</v>
      </c>
      <c r="AK65" s="29">
        <f>IFERROR((tbl_zawodnicy_średnie[[#This Row],[stl]]+tbl_zawodnicy_średnie[[#This Row],[blk]]+0.5*tbl_zawodnicy_średnie[[#This Row],[dreb]])/tbl_zawodnicy_średnie[[#This Row],[min]],0)</f>
        <v>4.5454545454545456E-2</v>
      </c>
      <c r="AL65" s="6">
        <f t="shared" si="21"/>
        <v>3.8</v>
      </c>
      <c r="AM65" s="6">
        <f>IFERROR(tbl_zawodnicy_średnie[[#This Row],[GmSc]]*(40/tbl_zawodnicy_średnie[[#This Row],[min]]),0)</f>
        <v>4.6060606060606064</v>
      </c>
      <c r="AN65" s="6">
        <f>IFERROR(tbl_zawodnicy_średnie[[#This Row],[EVAL]]*(40/tbl_zawodnicy_średnie[[#This Row],[min]]),0)</f>
        <v>6.0606060606060606</v>
      </c>
      <c r="AO65" s="6">
        <f>tbl_zawodnicy_średnie[[#This Row],[fgm]]-tbl_zawodnicy_średnie[[#This Row],[3pm]]</f>
        <v>2</v>
      </c>
      <c r="AP65" s="6">
        <f>tbl_zawodnicy_średnie[[#This Row],[fga]]-tbl_zawodnicy_średnie[[#This Row],[3pa]]</f>
        <v>8</v>
      </c>
      <c r="AQ65">
        <v>61</v>
      </c>
      <c r="AR65" s="6" t="str">
        <f>tbl_zawodnicy_średnie[[#This Row],[I. Nazwisko]]&amp;" ["&amp;VLOOKUP(tbl_zawodnicy_średnie[[#This Row],[zespół]],tab_nazwy_zespołów[],2,0)&amp;"]"</f>
        <v>D. Newteruk [HUT]</v>
      </c>
    </row>
    <row r="66" spans="1:44" x14ac:dyDescent="0.35">
      <c r="A66" t="s">
        <v>25</v>
      </c>
      <c r="B66" t="s">
        <v>220</v>
      </c>
      <c r="C66" s="9">
        <f>SUMIF(tbl_główna_GRACZE[I. Nazwisko],tbl_zawodnicy_średnie[[#This Row],[I. Nazwisko]],tbl_główna_GRACZE[Played?])</f>
        <v>2</v>
      </c>
      <c r="D66" s="55">
        <f>IFERROR((SUMIF(tbl_główna_GRACZE[I. Nazwisko],tbl_zawodnicy_średnie[[#This Row],[I. Nazwisko]],tbl_główna_GRACZE[fgm]))/tbl_zawodnicy_średnie[[#This Row],[Played]],0)</f>
        <v>3.5</v>
      </c>
      <c r="E66" s="55">
        <f>IFERROR((SUMIF(tbl_główna_GRACZE[I. Nazwisko],tbl_zawodnicy_średnie[[#This Row],[I. Nazwisko]],tbl_główna_GRACZE[fga]))/tbl_zawodnicy_średnie[[#This Row],[Played]],0)</f>
        <v>13</v>
      </c>
      <c r="F66" s="55">
        <f>IFERROR((SUMIF(tbl_główna_GRACZE[I. Nazwisko],tbl_zawodnicy_średnie[[#This Row],[I. Nazwisko]],tbl_główna_GRACZE[3pm]))/tbl_zawodnicy_średnie[[#This Row],[Played]],0)</f>
        <v>0</v>
      </c>
      <c r="G66" s="55">
        <f>IFERROR((SUMIF(tbl_główna_GRACZE[I. Nazwisko],tbl_zawodnicy_średnie[[#This Row],[I. Nazwisko]],tbl_główna_GRACZE[3pa]))/tbl_zawodnicy_średnie[[#This Row],[Played]],0)</f>
        <v>1</v>
      </c>
      <c r="H66" s="55">
        <f>IFERROR((SUMIF(tbl_główna_GRACZE[I. Nazwisko],tbl_zawodnicy_średnie[[#This Row],[I. Nazwisko]],tbl_główna_GRACZE[ftm]))/tbl_zawodnicy_średnie[[#This Row],[Played]],0)</f>
        <v>0</v>
      </c>
      <c r="I66" s="55">
        <f>IFERROR((SUMIF(tbl_główna_GRACZE[I. Nazwisko],tbl_zawodnicy_średnie[[#This Row],[I. Nazwisko]],tbl_główna_GRACZE[fta]))/tbl_zawodnicy_średnie[[#This Row],[Played]],0)</f>
        <v>0</v>
      </c>
      <c r="J66" s="55">
        <f>IFERROR((SUMIF(tbl_główna_GRACZE[I. Nazwisko],tbl_zawodnicy_średnie[[#This Row],[I. Nazwisko]],tbl_główna_GRACZE[oreb]))/tbl_zawodnicy_średnie[[#This Row],[Played]],0)</f>
        <v>4</v>
      </c>
      <c r="K66" s="55">
        <f>IFERROR((SUMIF(tbl_główna_GRACZE[I. Nazwisko],tbl_zawodnicy_średnie[[#This Row],[I. Nazwisko]],tbl_główna_GRACZE[dreb]))/tbl_zawodnicy_średnie[[#This Row],[Played]],0)</f>
        <v>3</v>
      </c>
      <c r="L66" s="55">
        <f>IFERROR((SUMIF(tbl_główna_GRACZE[I. Nazwisko],tbl_zawodnicy_średnie[[#This Row],[I. Nazwisko]],tbl_główna_GRACZE[foul]))/tbl_zawodnicy_średnie[[#This Row],[Played]],0)</f>
        <v>1.5</v>
      </c>
      <c r="M66" s="55">
        <f>IFERROR((SUMIF(tbl_główna_GRACZE[I. Nazwisko],tbl_zawodnicy_średnie[[#This Row],[I. Nazwisko]],tbl_główna_GRACZE[stl]))/tbl_zawodnicy_średnie[[#This Row],[Played]],0)</f>
        <v>2</v>
      </c>
      <c r="N66" s="55">
        <f>IFERROR((SUMIF(tbl_główna_GRACZE[I. Nazwisko],tbl_zawodnicy_średnie[[#This Row],[I. Nazwisko]],tbl_główna_GRACZE[to]))/tbl_zawodnicy_średnie[[#This Row],[Played]],0)</f>
        <v>0</v>
      </c>
      <c r="O66" s="55">
        <f>IFERROR((SUMIF(tbl_główna_GRACZE[I. Nazwisko],tbl_zawodnicy_średnie[[#This Row],[I. Nazwisko]],tbl_główna_GRACZE[blk]))/tbl_zawodnicy_średnie[[#This Row],[Played]],0)</f>
        <v>0</v>
      </c>
      <c r="P66" s="55">
        <f>IFERROR((SUMIF(tbl_główna_GRACZE[I. Nazwisko],tbl_zawodnicy_średnie[[#This Row],[I. Nazwisko]],tbl_główna_GRACZE[asst]))/tbl_zawodnicy_średnie[[#This Row],[Played]],0)</f>
        <v>4.5</v>
      </c>
      <c r="Q66" s="55">
        <f>IFERROR((SUMIF(tbl_główna_GRACZE[I. Nazwisko],tbl_zawodnicy_średnie[[#This Row],[I. Nazwisko]],tbl_główna_GRACZE[min]))/tbl_zawodnicy_średnie[[#This Row],[Played]],0)</f>
        <v>32.5</v>
      </c>
      <c r="R66" s="55">
        <f>IFERROR((SUMIF(tbl_główna_GRACZE[I. Nazwisko],tbl_zawodnicy_średnie[[#This Row],[I. Nazwisko]],tbl_główna_GRACZE[pts]))/tbl_zawodnicy_średnie[[#This Row],[Played]],0)</f>
        <v>7</v>
      </c>
      <c r="S66" s="6">
        <f t="shared" si="11"/>
        <v>7</v>
      </c>
      <c r="T66" s="4">
        <f t="shared" si="12"/>
        <v>0.26923076923076922</v>
      </c>
      <c r="U66" s="4">
        <f t="shared" si="13"/>
        <v>0</v>
      </c>
      <c r="V66" s="4">
        <f t="shared" si="14"/>
        <v>0</v>
      </c>
      <c r="W66" s="4">
        <f>IFERROR(tbl_zawodnicy_średnie[[#This Row],[2pm]]/tbl_zawodnicy_średnie[[#This Row],[2pa]],0)</f>
        <v>0.29166666666666669</v>
      </c>
      <c r="X66" s="4">
        <f t="shared" si="15"/>
        <v>0.26923076923076922</v>
      </c>
      <c r="Y66" s="4">
        <f t="shared" si="16"/>
        <v>0.26923076923076922</v>
      </c>
      <c r="Z66" s="6">
        <f t="shared" si="17"/>
        <v>11</v>
      </c>
      <c r="AA66" s="4">
        <f t="shared" si="18"/>
        <v>0</v>
      </c>
      <c r="AB66" s="4">
        <f t="shared" si="19"/>
        <v>7.6923076923076927E-2</v>
      </c>
      <c r="AC66" s="26">
        <f>IFERROR((SUMIF(tbl_główna_GRACZE[I. Nazwisko],tbl_zawodnicy_średnie[[#This Row],[I. Nazwisko]],tbl_główna_GRACZE[USG%]))/tbl_zawodnicy_średnie[[#This Row],[Played]],0)</f>
        <v>0.17948969829500805</v>
      </c>
      <c r="AD66" s="25">
        <f>IFERROR(tbl_zawodnicy_średnie[[#This Row],[pts]]*(40/tbl_zawodnicy_średnie[[#This Row],[min]]),0)</f>
        <v>8.6153846153846168</v>
      </c>
      <c r="AE66" s="25">
        <f>IFERROR(tbl_zawodnicy_średnie[[#This Row],[reb total]]*(40/tbl_zawodnicy_średnie[[#This Row],[min]]),0)</f>
        <v>8.6153846153846168</v>
      </c>
      <c r="AF66" s="30">
        <f>IFERROR(tbl_zawodnicy_średnie[[#This Row],[asst]]*(40/tbl_zawodnicy_średnie[[#This Row],[min]]),0)</f>
        <v>5.5384615384615383</v>
      </c>
      <c r="AG66" s="5">
        <f t="shared" si="20"/>
        <v>0.53846153846153844</v>
      </c>
      <c r="AH66" s="5">
        <f>IFERROR((tbl_zawodnicy_średnie[[#This Row],[stl]]+tbl_zawodnicy_średnie[[#This Row],[blk]])*(40/tbl_zawodnicy_średnie[[#This Row],[min]]),0)</f>
        <v>2.4615384615384617</v>
      </c>
      <c r="AI66" s="24">
        <f>IFERROR((SUMIF(tbl_główna_GRACZE[I. Nazwisko],tbl_zawodnicy_średnie[[#This Row],[I. Nazwisko]],tbl_główna_GRACZE[DI]))/tbl_zawodnicy_średnie[[#This Row],[Played]],0)</f>
        <v>0.11212121212121212</v>
      </c>
      <c r="AJ66" s="25">
        <f>tbl_zawodnicy_średnie[[#This Row],[stl]]+tbl_zawodnicy_średnie[[#This Row],[blk]]+(tbl_zawodnicy_średnie[[#This Row],[dreb]]*0.5)</f>
        <v>3.5</v>
      </c>
      <c r="AK66" s="29">
        <f>IFERROR((tbl_zawodnicy_średnie[[#This Row],[stl]]+tbl_zawodnicy_średnie[[#This Row],[blk]]+0.5*tbl_zawodnicy_średnie[[#This Row],[dreb]])/tbl_zawodnicy_średnie[[#This Row],[min]],0)</f>
        <v>0.1076923076923077</v>
      </c>
      <c r="AL66" s="6">
        <f t="shared" si="21"/>
        <v>8.15</v>
      </c>
      <c r="AM66" s="6">
        <f>IFERROR(tbl_zawodnicy_średnie[[#This Row],[GmSc]]*(40/tbl_zawodnicy_średnie[[#This Row],[min]]),0)</f>
        <v>10.030769230769232</v>
      </c>
      <c r="AN66" s="6">
        <f>IFERROR(tbl_zawodnicy_średnie[[#This Row],[EVAL]]*(40/tbl_zawodnicy_średnie[[#This Row],[min]]),0)</f>
        <v>13.53846153846154</v>
      </c>
      <c r="AO66" s="6">
        <f>tbl_zawodnicy_średnie[[#This Row],[fgm]]-tbl_zawodnicy_średnie[[#This Row],[3pm]]</f>
        <v>3.5</v>
      </c>
      <c r="AP66" s="6">
        <f>tbl_zawodnicy_średnie[[#This Row],[fga]]-tbl_zawodnicy_średnie[[#This Row],[3pa]]</f>
        <v>12</v>
      </c>
      <c r="AQ66">
        <v>64</v>
      </c>
      <c r="AR66" s="6" t="str">
        <f>tbl_zawodnicy_średnie[[#This Row],[I. Nazwisko]]&amp;" ["&amp;VLOOKUP(tbl_zawodnicy_średnie[[#This Row],[zespół]],tab_nazwy_zespołów[],2,0)&amp;"]"</f>
        <v>S. Gonchar [HUT]</v>
      </c>
    </row>
    <row r="67" spans="1:44" x14ac:dyDescent="0.35">
      <c r="A67" t="s">
        <v>19</v>
      </c>
      <c r="B67" t="s">
        <v>230</v>
      </c>
      <c r="C67" s="9">
        <f>SUMIF(tbl_główna_GRACZE[I. Nazwisko],tbl_zawodnicy_średnie[[#This Row],[I. Nazwisko]],tbl_główna_GRACZE[Played?])</f>
        <v>3</v>
      </c>
      <c r="D67" s="55">
        <f>IFERROR((SUMIF(tbl_główna_GRACZE[I. Nazwisko],tbl_zawodnicy_średnie[[#This Row],[I. Nazwisko]],tbl_główna_GRACZE[fgm]))/tbl_zawodnicy_średnie[[#This Row],[Played]],0)</f>
        <v>2</v>
      </c>
      <c r="E67" s="55">
        <f>IFERROR((SUMIF(tbl_główna_GRACZE[I. Nazwisko],tbl_zawodnicy_średnie[[#This Row],[I. Nazwisko]],tbl_główna_GRACZE[fga]))/tbl_zawodnicy_średnie[[#This Row],[Played]],0)</f>
        <v>8.3333333333333339</v>
      </c>
      <c r="F67" s="55">
        <f>IFERROR((SUMIF(tbl_główna_GRACZE[I. Nazwisko],tbl_zawodnicy_średnie[[#This Row],[I. Nazwisko]],tbl_główna_GRACZE[3pm]))/tbl_zawodnicy_średnie[[#This Row],[Played]],0)</f>
        <v>0</v>
      </c>
      <c r="G67" s="55">
        <f>IFERROR((SUMIF(tbl_główna_GRACZE[I. Nazwisko],tbl_zawodnicy_średnie[[#This Row],[I. Nazwisko]],tbl_główna_GRACZE[3pa]))/tbl_zawodnicy_średnie[[#This Row],[Played]],0)</f>
        <v>1.6666666666666667</v>
      </c>
      <c r="H67" s="55">
        <f>IFERROR((SUMIF(tbl_główna_GRACZE[I. Nazwisko],tbl_zawodnicy_średnie[[#This Row],[I. Nazwisko]],tbl_główna_GRACZE[ftm]))/tbl_zawodnicy_średnie[[#This Row],[Played]],0)</f>
        <v>1.3333333333333333</v>
      </c>
      <c r="I67" s="55">
        <f>IFERROR((SUMIF(tbl_główna_GRACZE[I. Nazwisko],tbl_zawodnicy_średnie[[#This Row],[I. Nazwisko]],tbl_główna_GRACZE[fta]))/tbl_zawodnicy_średnie[[#This Row],[Played]],0)</f>
        <v>2</v>
      </c>
      <c r="J67" s="55">
        <f>IFERROR((SUMIF(tbl_główna_GRACZE[I. Nazwisko],tbl_zawodnicy_średnie[[#This Row],[I. Nazwisko]],tbl_główna_GRACZE[oreb]))/tbl_zawodnicy_średnie[[#This Row],[Played]],0)</f>
        <v>1</v>
      </c>
      <c r="K67" s="55">
        <f>IFERROR((SUMIF(tbl_główna_GRACZE[I. Nazwisko],tbl_zawodnicy_średnie[[#This Row],[I. Nazwisko]],tbl_główna_GRACZE[dreb]))/tbl_zawodnicy_średnie[[#This Row],[Played]],0)</f>
        <v>6.666666666666667</v>
      </c>
      <c r="L67" s="55">
        <f>IFERROR((SUMIF(tbl_główna_GRACZE[I. Nazwisko],tbl_zawodnicy_średnie[[#This Row],[I. Nazwisko]],tbl_główna_GRACZE[foul]))/tbl_zawodnicy_średnie[[#This Row],[Played]],0)</f>
        <v>1.6666666666666667</v>
      </c>
      <c r="M67" s="55">
        <f>IFERROR((SUMIF(tbl_główna_GRACZE[I. Nazwisko],tbl_zawodnicy_średnie[[#This Row],[I. Nazwisko]],tbl_główna_GRACZE[stl]))/tbl_zawodnicy_średnie[[#This Row],[Played]],0)</f>
        <v>0.66666666666666663</v>
      </c>
      <c r="N67" s="55">
        <f>IFERROR((SUMIF(tbl_główna_GRACZE[I. Nazwisko],tbl_zawodnicy_średnie[[#This Row],[I. Nazwisko]],tbl_główna_GRACZE[to]))/tbl_zawodnicy_średnie[[#This Row],[Played]],0)</f>
        <v>0</v>
      </c>
      <c r="O67" s="55">
        <f>IFERROR((SUMIF(tbl_główna_GRACZE[I. Nazwisko],tbl_zawodnicy_średnie[[#This Row],[I. Nazwisko]],tbl_główna_GRACZE[blk]))/tbl_zawodnicy_średnie[[#This Row],[Played]],0)</f>
        <v>0.66666666666666663</v>
      </c>
      <c r="P67" s="55">
        <f>IFERROR((SUMIF(tbl_główna_GRACZE[I. Nazwisko],tbl_zawodnicy_średnie[[#This Row],[I. Nazwisko]],tbl_główna_GRACZE[asst]))/tbl_zawodnicy_średnie[[#This Row],[Played]],0)</f>
        <v>0.33333333333333331</v>
      </c>
      <c r="Q67" s="55">
        <f>IFERROR((SUMIF(tbl_główna_GRACZE[I. Nazwisko],tbl_zawodnicy_średnie[[#This Row],[I. Nazwisko]],tbl_główna_GRACZE[min]))/tbl_zawodnicy_średnie[[#This Row],[Played]],0)</f>
        <v>22.666666666666668</v>
      </c>
      <c r="R67" s="55">
        <f>IFERROR((SUMIF(tbl_główna_GRACZE[I. Nazwisko],tbl_zawodnicy_średnie[[#This Row],[I. Nazwisko]],tbl_główna_GRACZE[pts]))/tbl_zawodnicy_średnie[[#This Row],[Played]],0)</f>
        <v>5.333333333333333</v>
      </c>
      <c r="S67" s="6">
        <f>J67+K67</f>
        <v>7.666666666666667</v>
      </c>
      <c r="T67" s="4">
        <f>IFERROR(D67/E67,0)</f>
        <v>0.24</v>
      </c>
      <c r="U67" s="4">
        <f>IFERROR(F67/G67,0)</f>
        <v>0</v>
      </c>
      <c r="V67" s="4">
        <f>IFERROR(H67/I67,0)</f>
        <v>0.66666666666666663</v>
      </c>
      <c r="W67" s="4">
        <f>IFERROR(tbl_zawodnicy_średnie[[#This Row],[2pm]]/tbl_zawodnicy_średnie[[#This Row],[2pa]],0)</f>
        <v>0.3</v>
      </c>
      <c r="X67" s="4">
        <f>IFERROR(R67/(2*(E67+0.44*I67)),0)</f>
        <v>0.28943560057887113</v>
      </c>
      <c r="Y67" s="4">
        <f>IFERROR((D67+0.5*F67)/E67,0)</f>
        <v>0.24</v>
      </c>
      <c r="Z67" s="6">
        <f>M67+O67+P67+R67+S67-(E67-D67)-(I67-H67)</f>
        <v>7.666666666666667</v>
      </c>
      <c r="AA67" s="4">
        <f>IFERROR(I67/E67,)</f>
        <v>0.24</v>
      </c>
      <c r="AB67" s="4">
        <f>IFERROR(G67/E67,0)</f>
        <v>0.19999999999999998</v>
      </c>
      <c r="AC67" s="26">
        <f>IFERROR((SUMIF(tbl_główna_GRACZE[I. Nazwisko],tbl_zawodnicy_średnie[[#This Row],[I. Nazwisko]],tbl_główna_GRACZE[USG%]))/tbl_zawodnicy_średnie[[#This Row],[Played]],0)</f>
        <v>0.13341993288179388</v>
      </c>
      <c r="AD67" s="25">
        <f>IFERROR(tbl_zawodnicy_średnie[[#This Row],[pts]]*(40/tbl_zawodnicy_średnie[[#This Row],[min]]),0)</f>
        <v>9.4117647058823515</v>
      </c>
      <c r="AE67" s="25">
        <f>IFERROR(tbl_zawodnicy_średnie[[#This Row],[reb total]]*(40/tbl_zawodnicy_średnie[[#This Row],[min]]),0)</f>
        <v>13.529411764705882</v>
      </c>
      <c r="AF67" s="30">
        <f>IFERROR(tbl_zawodnicy_średnie[[#This Row],[asst]]*(40/tbl_zawodnicy_średnie[[#This Row],[min]]),0)</f>
        <v>0.58823529411764697</v>
      </c>
      <c r="AG67" s="5">
        <f>IFERROR(R67/E67,0)</f>
        <v>0.6399999999999999</v>
      </c>
      <c r="AH67" s="5">
        <f>IFERROR((tbl_zawodnicy_średnie[[#This Row],[stl]]+tbl_zawodnicy_średnie[[#This Row],[blk]])*(40/tbl_zawodnicy_średnie[[#This Row],[min]]),0)</f>
        <v>2.3529411764705879</v>
      </c>
      <c r="AI67" s="24">
        <f>IFERROR((SUMIF(tbl_główna_GRACZE[I. Nazwisko],tbl_zawodnicy_średnie[[#This Row],[I. Nazwisko]],tbl_główna_GRACZE[DI]))/tbl_zawodnicy_średnie[[#This Row],[Played]],0)</f>
        <v>8.8888888888888892E-2</v>
      </c>
      <c r="AJ67" s="25">
        <f>tbl_zawodnicy_średnie[[#This Row],[stl]]+tbl_zawodnicy_średnie[[#This Row],[blk]]+(tbl_zawodnicy_średnie[[#This Row],[dreb]]*0.5)</f>
        <v>4.666666666666667</v>
      </c>
      <c r="AK67" s="29">
        <f>IFERROR((tbl_zawodnicy_średnie[[#This Row],[stl]]+tbl_zawodnicy_średnie[[#This Row],[blk]]+0.5*tbl_zawodnicy_średnie[[#This Row],[dreb]])/tbl_zawodnicy_średnie[[#This Row],[min]],0)</f>
        <v>0.20588235294117646</v>
      </c>
      <c r="AL67" s="6">
        <f t="shared" si="21"/>
        <v>4.0999999999999996</v>
      </c>
      <c r="AM67" s="6">
        <f>IFERROR(tbl_zawodnicy_średnie[[#This Row],[GmSc]]*(40/tbl_zawodnicy_średnie[[#This Row],[min]]),0)</f>
        <v>7.235294117647058</v>
      </c>
      <c r="AN67" s="6">
        <f>IFERROR(tbl_zawodnicy_średnie[[#This Row],[EVAL]]*(40/tbl_zawodnicy_średnie[[#This Row],[min]]),0)</f>
        <v>13.529411764705882</v>
      </c>
      <c r="AO67" s="6">
        <f>tbl_zawodnicy_średnie[[#This Row],[fgm]]-tbl_zawodnicy_średnie[[#This Row],[3pm]]</f>
        <v>2</v>
      </c>
      <c r="AP67" s="6">
        <f>tbl_zawodnicy_średnie[[#This Row],[fga]]-tbl_zawodnicy_średnie[[#This Row],[3pa]]</f>
        <v>6.666666666666667</v>
      </c>
      <c r="AR67" s="6" t="str">
        <f>tbl_zawodnicy_średnie[[#This Row],[I. Nazwisko]]&amp;" ["&amp;VLOOKUP(tbl_zawodnicy_średnie[[#This Row],[zespół]],tab_nazwy_zespołów[],2,0)&amp;"]"</f>
        <v>F. Firas [STA]</v>
      </c>
    </row>
    <row r="68" spans="1:44" x14ac:dyDescent="0.35">
      <c r="A68" s="58" t="s">
        <v>25</v>
      </c>
      <c r="B68" t="s">
        <v>337</v>
      </c>
      <c r="C68" s="9">
        <f>SUMIF(tbl_główna_GRACZE[I. Nazwisko],tbl_zawodnicy_średnie[[#This Row],[I. Nazwisko]],tbl_główna_GRACZE[Played?])</f>
        <v>1</v>
      </c>
      <c r="D68" s="55">
        <f>IFERROR((SUMIF(tbl_główna_GRACZE[I. Nazwisko],tbl_zawodnicy_średnie[[#This Row],[I. Nazwisko]],tbl_główna_GRACZE[fgm]))/tbl_zawodnicy_średnie[[#This Row],[Played]],0)</f>
        <v>5</v>
      </c>
      <c r="E68" s="55">
        <f>IFERROR((SUMIF(tbl_główna_GRACZE[I. Nazwisko],tbl_zawodnicy_średnie[[#This Row],[I. Nazwisko]],tbl_główna_GRACZE[fga]))/tbl_zawodnicy_średnie[[#This Row],[Played]],0)</f>
        <v>8</v>
      </c>
      <c r="F68" s="55">
        <f>IFERROR((SUMIF(tbl_główna_GRACZE[I. Nazwisko],tbl_zawodnicy_średnie[[#This Row],[I. Nazwisko]],tbl_główna_GRACZE[3pm]))/tbl_zawodnicy_średnie[[#This Row],[Played]],0)</f>
        <v>0</v>
      </c>
      <c r="G68" s="55">
        <f>IFERROR((SUMIF(tbl_główna_GRACZE[I. Nazwisko],tbl_zawodnicy_średnie[[#This Row],[I. Nazwisko]],tbl_główna_GRACZE[3pa]))/tbl_zawodnicy_średnie[[#This Row],[Played]],0)</f>
        <v>0</v>
      </c>
      <c r="H68" s="55">
        <f>IFERROR((SUMIF(tbl_główna_GRACZE[I. Nazwisko],tbl_zawodnicy_średnie[[#This Row],[I. Nazwisko]],tbl_główna_GRACZE[ftm]))/tbl_zawodnicy_średnie[[#This Row],[Played]],0)</f>
        <v>0</v>
      </c>
      <c r="I68" s="55">
        <f>IFERROR((SUMIF(tbl_główna_GRACZE[I. Nazwisko],tbl_zawodnicy_średnie[[#This Row],[I. Nazwisko]],tbl_główna_GRACZE[fta]))/tbl_zawodnicy_średnie[[#This Row],[Played]],0)</f>
        <v>0</v>
      </c>
      <c r="J68" s="55">
        <f>IFERROR((SUMIF(tbl_główna_GRACZE[I. Nazwisko],tbl_zawodnicy_średnie[[#This Row],[I. Nazwisko]],tbl_główna_GRACZE[oreb]))/tbl_zawodnicy_średnie[[#This Row],[Played]],0)</f>
        <v>3</v>
      </c>
      <c r="K68" s="55">
        <f>IFERROR((SUMIF(tbl_główna_GRACZE[I. Nazwisko],tbl_zawodnicy_średnie[[#This Row],[I. Nazwisko]],tbl_główna_GRACZE[dreb]))/tbl_zawodnicy_średnie[[#This Row],[Played]],0)</f>
        <v>3</v>
      </c>
      <c r="L68" s="55">
        <f>IFERROR((SUMIF(tbl_główna_GRACZE[I. Nazwisko],tbl_zawodnicy_średnie[[#This Row],[I. Nazwisko]],tbl_główna_GRACZE[foul]))/tbl_zawodnicy_średnie[[#This Row],[Played]],0)</f>
        <v>4</v>
      </c>
      <c r="M68" s="55">
        <f>IFERROR((SUMIF(tbl_główna_GRACZE[I. Nazwisko],tbl_zawodnicy_średnie[[#This Row],[I. Nazwisko]],tbl_główna_GRACZE[stl]))/tbl_zawodnicy_średnie[[#This Row],[Played]],0)</f>
        <v>6</v>
      </c>
      <c r="N68" s="55">
        <f>IFERROR((SUMIF(tbl_główna_GRACZE[I. Nazwisko],tbl_zawodnicy_średnie[[#This Row],[I. Nazwisko]],tbl_główna_GRACZE[to]))/tbl_zawodnicy_średnie[[#This Row],[Played]],0)</f>
        <v>0</v>
      </c>
      <c r="O68" s="55">
        <f>IFERROR((SUMIF(tbl_główna_GRACZE[I. Nazwisko],tbl_zawodnicy_średnie[[#This Row],[I. Nazwisko]],tbl_główna_GRACZE[blk]))/tbl_zawodnicy_średnie[[#This Row],[Played]],0)</f>
        <v>1</v>
      </c>
      <c r="P68" s="55">
        <f>IFERROR((SUMIF(tbl_główna_GRACZE[I. Nazwisko],tbl_zawodnicy_średnie[[#This Row],[I. Nazwisko]],tbl_główna_GRACZE[asst]))/tbl_zawodnicy_średnie[[#This Row],[Played]],0)</f>
        <v>2</v>
      </c>
      <c r="Q68" s="55">
        <f>IFERROR((SUMIF(tbl_główna_GRACZE[I. Nazwisko],tbl_zawodnicy_średnie[[#This Row],[I. Nazwisko]],tbl_główna_GRACZE[min]))/tbl_zawodnicy_średnie[[#This Row],[Played]],0)</f>
        <v>31</v>
      </c>
      <c r="R68" s="55">
        <f>IFERROR((SUMIF(tbl_główna_GRACZE[I. Nazwisko],tbl_zawodnicy_średnie[[#This Row],[I. Nazwisko]],tbl_główna_GRACZE[pts]))/tbl_zawodnicy_średnie[[#This Row],[Played]],0)</f>
        <v>10</v>
      </c>
      <c r="S68" s="6">
        <f t="shared" ref="S68:S71" si="22">J68+K68</f>
        <v>6</v>
      </c>
      <c r="T68" s="4">
        <f t="shared" ref="T68:T71" si="23">IFERROR(D68/E68,0)</f>
        <v>0.625</v>
      </c>
      <c r="U68" s="4">
        <f t="shared" ref="U68:U71" si="24">IFERROR(F68/G68,0)</f>
        <v>0</v>
      </c>
      <c r="V68" s="4">
        <f t="shared" ref="V68:V71" si="25">IFERROR(H68/I68,0)</f>
        <v>0</v>
      </c>
      <c r="W68" s="4">
        <f>IFERROR(tbl_zawodnicy_średnie[[#This Row],[2pm]]/tbl_zawodnicy_średnie[[#This Row],[2pa]],0)</f>
        <v>0.625</v>
      </c>
      <c r="X68" s="4">
        <f t="shared" ref="X68:X71" si="26">IFERROR(R68/(2*(E68+0.44*I68)),0)</f>
        <v>0.625</v>
      </c>
      <c r="Y68" s="4">
        <f t="shared" ref="Y68:Y71" si="27">IFERROR((D68+0.5*F68)/E68,0)</f>
        <v>0.625</v>
      </c>
      <c r="Z68" s="6">
        <f t="shared" ref="Z68:Z71" si="28">M68+O68+P68+R68+S68-(E68-D68)-(I68-H68)</f>
        <v>22</v>
      </c>
      <c r="AA68" s="4">
        <f t="shared" ref="AA68:AA71" si="29">IFERROR(I68/E68,)</f>
        <v>0</v>
      </c>
      <c r="AB68" s="4">
        <f t="shared" ref="AB68:AB71" si="30">IFERROR(G68/E68,0)</f>
        <v>0</v>
      </c>
      <c r="AC68" s="26">
        <f>IFERROR((SUMIF(tbl_główna_GRACZE[I. Nazwisko],tbl_zawodnicy_średnie[[#This Row],[I. Nazwisko]],tbl_główna_GRACZE[USG%]))/tbl_zawodnicy_średnie[[#This Row],[Played]],0)</f>
        <v>0.11061946902654868</v>
      </c>
      <c r="AD68" s="25">
        <f>IFERROR(tbl_zawodnicy_średnie[[#This Row],[pts]]*(40/tbl_zawodnicy_średnie[[#This Row],[min]]),0)</f>
        <v>12.903225806451612</v>
      </c>
      <c r="AE68" s="25">
        <f>IFERROR(tbl_zawodnicy_średnie[[#This Row],[reb total]]*(40/tbl_zawodnicy_średnie[[#This Row],[min]]),0)</f>
        <v>7.741935483870968</v>
      </c>
      <c r="AF68" s="30">
        <f>IFERROR(tbl_zawodnicy_średnie[[#This Row],[asst]]*(40/tbl_zawodnicy_średnie[[#This Row],[min]]),0)</f>
        <v>2.5806451612903225</v>
      </c>
      <c r="AG68" s="5">
        <f t="shared" ref="AG68:AG71" si="31">IFERROR(R68/E68,0)</f>
        <v>1.25</v>
      </c>
      <c r="AH68" s="5">
        <f>IFERROR((tbl_zawodnicy_średnie[[#This Row],[stl]]+tbl_zawodnicy_średnie[[#This Row],[blk]])*(40/tbl_zawodnicy_średnie[[#This Row],[min]]),0)</f>
        <v>9.0322580645161281</v>
      </c>
      <c r="AI68" s="24">
        <f>IFERROR((SUMIF(tbl_główna_GRACZE[I. Nazwisko],tbl_zawodnicy_średnie[[#This Row],[I. Nazwisko]],tbl_główna_GRACZE[DI]))/tbl_zawodnicy_średnie[[#This Row],[Played]],0)</f>
        <v>0.31818181818181818</v>
      </c>
      <c r="AJ68" s="25">
        <f>tbl_zawodnicy_średnie[[#This Row],[stl]]+tbl_zawodnicy_średnie[[#This Row],[blk]]+(tbl_zawodnicy_średnie[[#This Row],[dreb]]*0.5)</f>
        <v>8.5</v>
      </c>
      <c r="AK68" s="29">
        <f>IFERROR((tbl_zawodnicy_średnie[[#This Row],[stl]]+tbl_zawodnicy_średnie[[#This Row],[blk]]+0.5*tbl_zawodnicy_średnie[[#This Row],[dreb]])/tbl_zawodnicy_średnie[[#This Row],[min]],0)</f>
        <v>0.27419354838709675</v>
      </c>
      <c r="AL68" s="6">
        <f t="shared" ref="AL68:AL71" si="32">IFERROR(R68+0.4*D68-0.7*E68-0.4*(I68-H68)+0.7*J68+0.3*K68+M68+0.7*P68+0.7*O68,0)</f>
        <v>17.5</v>
      </c>
      <c r="AM68" s="6">
        <f>IFERROR(tbl_zawodnicy_średnie[[#This Row],[GmSc]]*(40/tbl_zawodnicy_średnie[[#This Row],[min]]),0)</f>
        <v>22.58064516129032</v>
      </c>
      <c r="AN68" s="6">
        <f>IFERROR(tbl_zawodnicy_średnie[[#This Row],[EVAL]]*(40/tbl_zawodnicy_średnie[[#This Row],[min]]),0)</f>
        <v>28.387096774193548</v>
      </c>
      <c r="AO68" s="6">
        <f>tbl_zawodnicy_średnie[[#This Row],[fgm]]-tbl_zawodnicy_średnie[[#This Row],[3pm]]</f>
        <v>5</v>
      </c>
      <c r="AP68" s="6">
        <f>tbl_zawodnicy_średnie[[#This Row],[fga]]-tbl_zawodnicy_średnie[[#This Row],[3pa]]</f>
        <v>8</v>
      </c>
      <c r="AR68" s="6" t="str">
        <f>tbl_zawodnicy_średnie[[#This Row],[I. Nazwisko]]&amp;" ["&amp;VLOOKUP(tbl_zawodnicy_średnie[[#This Row],[zespół]],tab_nazwy_zespołów[],2,0)&amp;"]"</f>
        <v>A. Zverev [HUT]</v>
      </c>
    </row>
    <row r="69" spans="1:44" x14ac:dyDescent="0.35">
      <c r="A69" s="58" t="s">
        <v>25</v>
      </c>
      <c r="B69" t="s">
        <v>338</v>
      </c>
      <c r="C69" s="9">
        <f>SUMIF(tbl_główna_GRACZE[I. Nazwisko],tbl_zawodnicy_średnie[[#This Row],[I. Nazwisko]],tbl_główna_GRACZE[Played?])</f>
        <v>2</v>
      </c>
      <c r="D69" s="55">
        <f>IFERROR((SUMIF(tbl_główna_GRACZE[I. Nazwisko],tbl_zawodnicy_średnie[[#This Row],[I. Nazwisko]],tbl_główna_GRACZE[fgm]))/tbl_zawodnicy_średnie[[#This Row],[Played]],0)</f>
        <v>6</v>
      </c>
      <c r="E69" s="55">
        <f>IFERROR((SUMIF(tbl_główna_GRACZE[I. Nazwisko],tbl_zawodnicy_średnie[[#This Row],[I. Nazwisko]],tbl_główna_GRACZE[fga]))/tbl_zawodnicy_średnie[[#This Row],[Played]],0)</f>
        <v>15.5</v>
      </c>
      <c r="F69" s="55">
        <f>IFERROR((SUMIF(tbl_główna_GRACZE[I. Nazwisko],tbl_zawodnicy_średnie[[#This Row],[I. Nazwisko]],tbl_główna_GRACZE[3pm]))/tbl_zawodnicy_średnie[[#This Row],[Played]],0)</f>
        <v>1</v>
      </c>
      <c r="G69" s="55">
        <f>IFERROR((SUMIF(tbl_główna_GRACZE[I. Nazwisko],tbl_zawodnicy_średnie[[#This Row],[I. Nazwisko]],tbl_główna_GRACZE[3pa]))/tbl_zawodnicy_średnie[[#This Row],[Played]],0)</f>
        <v>4</v>
      </c>
      <c r="H69" s="55">
        <f>IFERROR((SUMIF(tbl_główna_GRACZE[I. Nazwisko],tbl_zawodnicy_średnie[[#This Row],[I. Nazwisko]],tbl_główna_GRACZE[ftm]))/tbl_zawodnicy_średnie[[#This Row],[Played]],0)</f>
        <v>1</v>
      </c>
      <c r="I69" s="55">
        <f>IFERROR((SUMIF(tbl_główna_GRACZE[I. Nazwisko],tbl_zawodnicy_średnie[[#This Row],[I. Nazwisko]],tbl_główna_GRACZE[fta]))/tbl_zawodnicy_średnie[[#This Row],[Played]],0)</f>
        <v>1</v>
      </c>
      <c r="J69" s="55">
        <f>IFERROR((SUMIF(tbl_główna_GRACZE[I. Nazwisko],tbl_zawodnicy_średnie[[#This Row],[I. Nazwisko]],tbl_główna_GRACZE[oreb]))/tbl_zawodnicy_średnie[[#This Row],[Played]],0)</f>
        <v>1</v>
      </c>
      <c r="K69" s="55">
        <f>IFERROR((SUMIF(tbl_główna_GRACZE[I. Nazwisko],tbl_zawodnicy_średnie[[#This Row],[I. Nazwisko]],tbl_główna_GRACZE[dreb]))/tbl_zawodnicy_średnie[[#This Row],[Played]],0)</f>
        <v>1</v>
      </c>
      <c r="L69" s="55">
        <f>IFERROR((SUMIF(tbl_główna_GRACZE[I. Nazwisko],tbl_zawodnicy_średnie[[#This Row],[I. Nazwisko]],tbl_główna_GRACZE[foul]))/tbl_zawodnicy_średnie[[#This Row],[Played]],0)</f>
        <v>0</v>
      </c>
      <c r="M69" s="55">
        <f>IFERROR((SUMIF(tbl_główna_GRACZE[I. Nazwisko],tbl_zawodnicy_średnie[[#This Row],[I. Nazwisko]],tbl_główna_GRACZE[stl]))/tbl_zawodnicy_średnie[[#This Row],[Played]],0)</f>
        <v>1.5</v>
      </c>
      <c r="N69" s="55">
        <f>IFERROR((SUMIF(tbl_główna_GRACZE[I. Nazwisko],tbl_zawodnicy_średnie[[#This Row],[I. Nazwisko]],tbl_główna_GRACZE[to]))/tbl_zawodnicy_średnie[[#This Row],[Played]],0)</f>
        <v>0</v>
      </c>
      <c r="O69" s="55">
        <f>IFERROR((SUMIF(tbl_główna_GRACZE[I. Nazwisko],tbl_zawodnicy_średnie[[#This Row],[I. Nazwisko]],tbl_główna_GRACZE[blk]))/tbl_zawodnicy_średnie[[#This Row],[Played]],0)</f>
        <v>0</v>
      </c>
      <c r="P69" s="55">
        <f>IFERROR((SUMIF(tbl_główna_GRACZE[I. Nazwisko],tbl_zawodnicy_średnie[[#This Row],[I. Nazwisko]],tbl_główna_GRACZE[asst]))/tbl_zawodnicy_średnie[[#This Row],[Played]],0)</f>
        <v>3</v>
      </c>
      <c r="Q69" s="55">
        <f>IFERROR((SUMIF(tbl_główna_GRACZE[I. Nazwisko],tbl_zawodnicy_średnie[[#This Row],[I. Nazwisko]],tbl_główna_GRACZE[min]))/tbl_zawodnicy_średnie[[#This Row],[Played]],0)</f>
        <v>32</v>
      </c>
      <c r="R69" s="55">
        <f>IFERROR((SUMIF(tbl_główna_GRACZE[I. Nazwisko],tbl_zawodnicy_średnie[[#This Row],[I. Nazwisko]],tbl_główna_GRACZE[pts]))/tbl_zawodnicy_średnie[[#This Row],[Played]],0)</f>
        <v>14</v>
      </c>
      <c r="S69" s="6">
        <f t="shared" si="22"/>
        <v>2</v>
      </c>
      <c r="T69" s="4">
        <f t="shared" si="23"/>
        <v>0.38709677419354838</v>
      </c>
      <c r="U69" s="4">
        <f t="shared" si="24"/>
        <v>0.25</v>
      </c>
      <c r="V69" s="4">
        <f t="shared" si="25"/>
        <v>1</v>
      </c>
      <c r="W69" s="4">
        <f>IFERROR(tbl_zawodnicy_średnie[[#This Row],[2pm]]/tbl_zawodnicy_średnie[[#This Row],[2pa]],0)</f>
        <v>0.43478260869565216</v>
      </c>
      <c r="X69" s="4">
        <f t="shared" si="26"/>
        <v>0.4391468005018821</v>
      </c>
      <c r="Y69" s="4">
        <f t="shared" si="27"/>
        <v>0.41935483870967744</v>
      </c>
      <c r="Z69" s="6">
        <f t="shared" si="28"/>
        <v>11</v>
      </c>
      <c r="AA69" s="4">
        <f t="shared" si="29"/>
        <v>6.4516129032258063E-2</v>
      </c>
      <c r="AB69" s="4">
        <f t="shared" si="30"/>
        <v>0.25806451612903225</v>
      </c>
      <c r="AC69" s="26">
        <f>IFERROR((SUMIF(tbl_główna_GRACZE[I. Nazwisko],tbl_zawodnicy_średnie[[#This Row],[I. Nazwisko]],tbl_główna_GRACZE[USG%]))/tbl_zawodnicy_średnie[[#This Row],[Played]],0)</f>
        <v>0.21997303764844856</v>
      </c>
      <c r="AD69" s="25">
        <f>IFERROR(tbl_zawodnicy_średnie[[#This Row],[pts]]*(40/tbl_zawodnicy_średnie[[#This Row],[min]]),0)</f>
        <v>17.5</v>
      </c>
      <c r="AE69" s="25">
        <f>IFERROR(tbl_zawodnicy_średnie[[#This Row],[reb total]]*(40/tbl_zawodnicy_średnie[[#This Row],[min]]),0)</f>
        <v>2.5</v>
      </c>
      <c r="AF69" s="30">
        <f>IFERROR(tbl_zawodnicy_średnie[[#This Row],[asst]]*(40/tbl_zawodnicy_średnie[[#This Row],[min]]),0)</f>
        <v>3.75</v>
      </c>
      <c r="AG69" s="5">
        <f t="shared" si="31"/>
        <v>0.90322580645161288</v>
      </c>
      <c r="AH69" s="5">
        <f>IFERROR((tbl_zawodnicy_średnie[[#This Row],[stl]]+tbl_zawodnicy_średnie[[#This Row],[blk]])*(40/tbl_zawodnicy_średnie[[#This Row],[min]]),0)</f>
        <v>1.875</v>
      </c>
      <c r="AI69" s="24">
        <f>IFERROR((SUMIF(tbl_główna_GRACZE[I. Nazwisko],tbl_zawodnicy_średnie[[#This Row],[I. Nazwisko]],tbl_główna_GRACZE[DI]))/tbl_zawodnicy_średnie[[#This Row],[Played]],0)</f>
        <v>7.8787878787878796E-2</v>
      </c>
      <c r="AJ69" s="25">
        <f>tbl_zawodnicy_średnie[[#This Row],[stl]]+tbl_zawodnicy_średnie[[#This Row],[blk]]+(tbl_zawodnicy_średnie[[#This Row],[dreb]]*0.5)</f>
        <v>2</v>
      </c>
      <c r="AK69" s="29">
        <f>IFERROR((tbl_zawodnicy_średnie[[#This Row],[stl]]+tbl_zawodnicy_średnie[[#This Row],[blk]]+0.5*tbl_zawodnicy_średnie[[#This Row],[dreb]])/tbl_zawodnicy_średnie[[#This Row],[min]],0)</f>
        <v>6.25E-2</v>
      </c>
      <c r="AL69" s="6">
        <f t="shared" si="32"/>
        <v>10.149999999999999</v>
      </c>
      <c r="AM69" s="6">
        <f>IFERROR(tbl_zawodnicy_średnie[[#This Row],[GmSc]]*(40/tbl_zawodnicy_średnie[[#This Row],[min]]),0)</f>
        <v>12.687499999999998</v>
      </c>
      <c r="AN69" s="6">
        <f>IFERROR(tbl_zawodnicy_średnie[[#This Row],[EVAL]]*(40/tbl_zawodnicy_średnie[[#This Row],[min]]),0)</f>
        <v>13.75</v>
      </c>
      <c r="AO69" s="6">
        <f>tbl_zawodnicy_średnie[[#This Row],[fgm]]-tbl_zawodnicy_średnie[[#This Row],[3pm]]</f>
        <v>5</v>
      </c>
      <c r="AP69" s="6">
        <f>tbl_zawodnicy_średnie[[#This Row],[fga]]-tbl_zawodnicy_średnie[[#This Row],[3pa]]</f>
        <v>11.5</v>
      </c>
      <c r="AR69" s="6" t="str">
        <f>tbl_zawodnicy_średnie[[#This Row],[I. Nazwisko]]&amp;" ["&amp;VLOOKUP(tbl_zawodnicy_średnie[[#This Row],[zespół]],tab_nazwy_zespołów[],2,0)&amp;"]"</f>
        <v>B. Kichuk [HUT]</v>
      </c>
    </row>
    <row r="70" spans="1:44" x14ac:dyDescent="0.35">
      <c r="A70" s="58" t="s">
        <v>25</v>
      </c>
      <c r="B70" t="s">
        <v>339</v>
      </c>
      <c r="C70" s="9">
        <f>SUMIF(tbl_główna_GRACZE[I. Nazwisko],tbl_zawodnicy_średnie[[#This Row],[I. Nazwisko]],tbl_główna_GRACZE[Played?])</f>
        <v>1</v>
      </c>
      <c r="D70" s="55">
        <f>IFERROR((SUMIF(tbl_główna_GRACZE[I. Nazwisko],tbl_zawodnicy_średnie[[#This Row],[I. Nazwisko]],tbl_główna_GRACZE[fgm]))/tbl_zawodnicy_średnie[[#This Row],[Played]],0)</f>
        <v>3</v>
      </c>
      <c r="E70" s="55">
        <f>IFERROR((SUMIF(tbl_główna_GRACZE[I. Nazwisko],tbl_zawodnicy_średnie[[#This Row],[I. Nazwisko]],tbl_główna_GRACZE[fga]))/tbl_zawodnicy_średnie[[#This Row],[Played]],0)</f>
        <v>7</v>
      </c>
      <c r="F70" s="55">
        <f>IFERROR((SUMIF(tbl_główna_GRACZE[I. Nazwisko],tbl_zawodnicy_średnie[[#This Row],[I. Nazwisko]],tbl_główna_GRACZE[3pm]))/tbl_zawodnicy_średnie[[#This Row],[Played]],0)</f>
        <v>0</v>
      </c>
      <c r="G70" s="55">
        <f>IFERROR((SUMIF(tbl_główna_GRACZE[I. Nazwisko],tbl_zawodnicy_średnie[[#This Row],[I. Nazwisko]],tbl_główna_GRACZE[3pa]))/tbl_zawodnicy_średnie[[#This Row],[Played]],0)</f>
        <v>0</v>
      </c>
      <c r="H70" s="55">
        <f>IFERROR((SUMIF(tbl_główna_GRACZE[I. Nazwisko],tbl_zawodnicy_średnie[[#This Row],[I. Nazwisko]],tbl_główna_GRACZE[ftm]))/tbl_zawodnicy_średnie[[#This Row],[Played]],0)</f>
        <v>0</v>
      </c>
      <c r="I70" s="55">
        <f>IFERROR((SUMIF(tbl_główna_GRACZE[I. Nazwisko],tbl_zawodnicy_średnie[[#This Row],[I. Nazwisko]],tbl_główna_GRACZE[fta]))/tbl_zawodnicy_średnie[[#This Row],[Played]],0)</f>
        <v>0</v>
      </c>
      <c r="J70" s="55">
        <f>IFERROR((SUMIF(tbl_główna_GRACZE[I. Nazwisko],tbl_zawodnicy_średnie[[#This Row],[I. Nazwisko]],tbl_główna_GRACZE[oreb]))/tbl_zawodnicy_średnie[[#This Row],[Played]],0)</f>
        <v>2</v>
      </c>
      <c r="K70" s="55">
        <f>IFERROR((SUMIF(tbl_główna_GRACZE[I. Nazwisko],tbl_zawodnicy_średnie[[#This Row],[I. Nazwisko]],tbl_główna_GRACZE[dreb]))/tbl_zawodnicy_średnie[[#This Row],[Played]],0)</f>
        <v>4</v>
      </c>
      <c r="L70" s="55">
        <f>IFERROR((SUMIF(tbl_główna_GRACZE[I. Nazwisko],tbl_zawodnicy_średnie[[#This Row],[I. Nazwisko]],tbl_główna_GRACZE[foul]))/tbl_zawodnicy_średnie[[#This Row],[Played]],0)</f>
        <v>1</v>
      </c>
      <c r="M70" s="55">
        <f>IFERROR((SUMIF(tbl_główna_GRACZE[I. Nazwisko],tbl_zawodnicy_średnie[[#This Row],[I. Nazwisko]],tbl_główna_GRACZE[stl]))/tbl_zawodnicy_średnie[[#This Row],[Played]],0)</f>
        <v>1</v>
      </c>
      <c r="N70" s="55">
        <f>IFERROR((SUMIF(tbl_główna_GRACZE[I. Nazwisko],tbl_zawodnicy_średnie[[#This Row],[I. Nazwisko]],tbl_główna_GRACZE[to]))/tbl_zawodnicy_średnie[[#This Row],[Played]],0)</f>
        <v>0</v>
      </c>
      <c r="O70" s="55">
        <f>IFERROR((SUMIF(tbl_główna_GRACZE[I. Nazwisko],tbl_zawodnicy_średnie[[#This Row],[I. Nazwisko]],tbl_główna_GRACZE[blk]))/tbl_zawodnicy_średnie[[#This Row],[Played]],0)</f>
        <v>1</v>
      </c>
      <c r="P70" s="55">
        <f>IFERROR((SUMIF(tbl_główna_GRACZE[I. Nazwisko],tbl_zawodnicy_średnie[[#This Row],[I. Nazwisko]],tbl_główna_GRACZE[asst]))/tbl_zawodnicy_średnie[[#This Row],[Played]],0)</f>
        <v>1</v>
      </c>
      <c r="Q70" s="55">
        <f>IFERROR((SUMIF(tbl_główna_GRACZE[I. Nazwisko],tbl_zawodnicy_średnie[[#This Row],[I. Nazwisko]],tbl_główna_GRACZE[min]))/tbl_zawodnicy_średnie[[#This Row],[Played]],0)</f>
        <v>23</v>
      </c>
      <c r="R70" s="55">
        <f>IFERROR((SUMIF(tbl_główna_GRACZE[I. Nazwisko],tbl_zawodnicy_średnie[[#This Row],[I. Nazwisko]],tbl_główna_GRACZE[pts]))/tbl_zawodnicy_średnie[[#This Row],[Played]],0)</f>
        <v>6</v>
      </c>
      <c r="S70" s="6">
        <f t="shared" si="22"/>
        <v>6</v>
      </c>
      <c r="T70" s="4">
        <f t="shared" si="23"/>
        <v>0.42857142857142855</v>
      </c>
      <c r="U70" s="4">
        <f t="shared" si="24"/>
        <v>0</v>
      </c>
      <c r="V70" s="4">
        <f t="shared" si="25"/>
        <v>0</v>
      </c>
      <c r="W70" s="4">
        <f>IFERROR(tbl_zawodnicy_średnie[[#This Row],[2pm]]/tbl_zawodnicy_średnie[[#This Row],[2pa]],0)</f>
        <v>0.42857142857142855</v>
      </c>
      <c r="X70" s="4">
        <f t="shared" si="26"/>
        <v>0.42857142857142855</v>
      </c>
      <c r="Y70" s="4">
        <f t="shared" si="27"/>
        <v>0.42857142857142855</v>
      </c>
      <c r="Z70" s="6">
        <f t="shared" si="28"/>
        <v>11</v>
      </c>
      <c r="AA70" s="4">
        <f t="shared" si="29"/>
        <v>0</v>
      </c>
      <c r="AB70" s="4">
        <f t="shared" si="30"/>
        <v>0</v>
      </c>
      <c r="AC70" s="26">
        <f>IFERROR((SUMIF(tbl_główna_GRACZE[I. Nazwisko],tbl_zawodnicy_średnie[[#This Row],[I. Nazwisko]],tbl_główna_GRACZE[USG%]))/tbl_zawodnicy_średnie[[#This Row],[Played]],0)</f>
        <v>9.67920353982301E-2</v>
      </c>
      <c r="AD70" s="25">
        <f>IFERROR(tbl_zawodnicy_średnie[[#This Row],[pts]]*(40/tbl_zawodnicy_średnie[[#This Row],[min]]),0)</f>
        <v>10.434782608695652</v>
      </c>
      <c r="AE70" s="25">
        <f>IFERROR(tbl_zawodnicy_średnie[[#This Row],[reb total]]*(40/tbl_zawodnicy_średnie[[#This Row],[min]]),0)</f>
        <v>10.434782608695652</v>
      </c>
      <c r="AF70" s="30">
        <f>IFERROR(tbl_zawodnicy_średnie[[#This Row],[asst]]*(40/tbl_zawodnicy_średnie[[#This Row],[min]]),0)</f>
        <v>1.7391304347826086</v>
      </c>
      <c r="AG70" s="5">
        <f t="shared" si="31"/>
        <v>0.8571428571428571</v>
      </c>
      <c r="AH70" s="5">
        <f>IFERROR((tbl_zawodnicy_średnie[[#This Row],[stl]]+tbl_zawodnicy_średnie[[#This Row],[blk]])*(40/tbl_zawodnicy_średnie[[#This Row],[min]]),0)</f>
        <v>3.4782608695652173</v>
      </c>
      <c r="AI70" s="24">
        <f>IFERROR((SUMIF(tbl_główna_GRACZE[I. Nazwisko],tbl_zawodnicy_średnie[[#This Row],[I. Nazwisko]],tbl_główna_GRACZE[DI]))/tbl_zawodnicy_średnie[[#This Row],[Played]],0)</f>
        <v>9.0909090909090912E-2</v>
      </c>
      <c r="AJ70" s="25">
        <f>tbl_zawodnicy_średnie[[#This Row],[stl]]+tbl_zawodnicy_średnie[[#This Row],[blk]]+(tbl_zawodnicy_średnie[[#This Row],[dreb]]*0.5)</f>
        <v>4</v>
      </c>
      <c r="AK70" s="29">
        <f>IFERROR((tbl_zawodnicy_średnie[[#This Row],[stl]]+tbl_zawodnicy_średnie[[#This Row],[blk]]+0.5*tbl_zawodnicy_średnie[[#This Row],[dreb]])/tbl_zawodnicy_średnie[[#This Row],[min]],0)</f>
        <v>0.17391304347826086</v>
      </c>
      <c r="AL70" s="6">
        <f t="shared" si="32"/>
        <v>7.3000000000000007</v>
      </c>
      <c r="AM70" s="6">
        <f>IFERROR(tbl_zawodnicy_średnie[[#This Row],[GmSc]]*(40/tbl_zawodnicy_średnie[[#This Row],[min]]),0)</f>
        <v>12.695652173913045</v>
      </c>
      <c r="AN70" s="6">
        <f>IFERROR(tbl_zawodnicy_średnie[[#This Row],[EVAL]]*(40/tbl_zawodnicy_średnie[[#This Row],[min]]),0)</f>
        <v>19.130434782608695</v>
      </c>
      <c r="AO70" s="6">
        <f>tbl_zawodnicy_średnie[[#This Row],[fgm]]-tbl_zawodnicy_średnie[[#This Row],[3pm]]</f>
        <v>3</v>
      </c>
      <c r="AP70" s="6">
        <f>tbl_zawodnicy_średnie[[#This Row],[fga]]-tbl_zawodnicy_średnie[[#This Row],[3pa]]</f>
        <v>7</v>
      </c>
      <c r="AR70" s="6" t="str">
        <f>tbl_zawodnicy_średnie[[#This Row],[I. Nazwisko]]&amp;" ["&amp;VLOOKUP(tbl_zawodnicy_średnie[[#This Row],[zespół]],tab_nazwy_zespołów[],2,0)&amp;"]"</f>
        <v>K. Mikolaj [HUT]</v>
      </c>
    </row>
    <row r="71" spans="1:44" x14ac:dyDescent="0.35">
      <c r="A71" s="58" t="s">
        <v>25</v>
      </c>
      <c r="B71" t="s">
        <v>340</v>
      </c>
      <c r="C71" s="9">
        <f>SUMIF(tbl_główna_GRACZE[I. Nazwisko],tbl_zawodnicy_średnie[[#This Row],[I. Nazwisko]],tbl_główna_GRACZE[Played?])</f>
        <v>3</v>
      </c>
      <c r="D71" s="55">
        <f>IFERROR((SUMIF(tbl_główna_GRACZE[I. Nazwisko],tbl_zawodnicy_średnie[[#This Row],[I. Nazwisko]],tbl_główna_GRACZE[fgm]))/tbl_zawodnicy_średnie[[#This Row],[Played]],0)</f>
        <v>0.66666666666666663</v>
      </c>
      <c r="E71" s="55">
        <f>IFERROR((SUMIF(tbl_główna_GRACZE[I. Nazwisko],tbl_zawodnicy_średnie[[#This Row],[I. Nazwisko]],tbl_główna_GRACZE[fga]))/tbl_zawodnicy_średnie[[#This Row],[Played]],0)</f>
        <v>3</v>
      </c>
      <c r="F71" s="55">
        <f>IFERROR((SUMIF(tbl_główna_GRACZE[I. Nazwisko],tbl_zawodnicy_średnie[[#This Row],[I. Nazwisko]],tbl_główna_GRACZE[3pm]))/tbl_zawodnicy_średnie[[#This Row],[Played]],0)</f>
        <v>0.33333333333333331</v>
      </c>
      <c r="G71" s="55">
        <f>IFERROR((SUMIF(tbl_główna_GRACZE[I. Nazwisko],tbl_zawodnicy_średnie[[#This Row],[I. Nazwisko]],tbl_główna_GRACZE[3pa]))/tbl_zawodnicy_średnie[[#This Row],[Played]],0)</f>
        <v>1.3333333333333333</v>
      </c>
      <c r="H71" s="55">
        <f>IFERROR((SUMIF(tbl_główna_GRACZE[I. Nazwisko],tbl_zawodnicy_średnie[[#This Row],[I. Nazwisko]],tbl_główna_GRACZE[ftm]))/tbl_zawodnicy_średnie[[#This Row],[Played]],0)</f>
        <v>0.66666666666666663</v>
      </c>
      <c r="I71" s="55">
        <f>IFERROR((SUMIF(tbl_główna_GRACZE[I. Nazwisko],tbl_zawodnicy_średnie[[#This Row],[I. Nazwisko]],tbl_główna_GRACZE[fta]))/tbl_zawodnicy_średnie[[#This Row],[Played]],0)</f>
        <v>1</v>
      </c>
      <c r="J71" s="55">
        <f>IFERROR((SUMIF(tbl_główna_GRACZE[I. Nazwisko],tbl_zawodnicy_średnie[[#This Row],[I. Nazwisko]],tbl_główna_GRACZE[oreb]))/tbl_zawodnicy_średnie[[#This Row],[Played]],0)</f>
        <v>1</v>
      </c>
      <c r="K71" s="55">
        <f>IFERROR((SUMIF(tbl_główna_GRACZE[I. Nazwisko],tbl_zawodnicy_średnie[[#This Row],[I. Nazwisko]],tbl_główna_GRACZE[dreb]))/tbl_zawodnicy_średnie[[#This Row],[Played]],0)</f>
        <v>3.6666666666666665</v>
      </c>
      <c r="L71" s="55">
        <f>IFERROR((SUMIF(tbl_główna_GRACZE[I. Nazwisko],tbl_zawodnicy_średnie[[#This Row],[I. Nazwisko]],tbl_główna_GRACZE[foul]))/tbl_zawodnicy_średnie[[#This Row],[Played]],0)</f>
        <v>0.66666666666666663</v>
      </c>
      <c r="M71" s="55">
        <f>IFERROR((SUMIF(tbl_główna_GRACZE[I. Nazwisko],tbl_zawodnicy_średnie[[#This Row],[I. Nazwisko]],tbl_główna_GRACZE[stl]))/tbl_zawodnicy_średnie[[#This Row],[Played]],0)</f>
        <v>2.3333333333333335</v>
      </c>
      <c r="N71" s="55">
        <f>IFERROR((SUMIF(tbl_główna_GRACZE[I. Nazwisko],tbl_zawodnicy_średnie[[#This Row],[I. Nazwisko]],tbl_główna_GRACZE[to]))/tbl_zawodnicy_średnie[[#This Row],[Played]],0)</f>
        <v>0</v>
      </c>
      <c r="O71" s="55">
        <f>IFERROR((SUMIF(tbl_główna_GRACZE[I. Nazwisko],tbl_zawodnicy_średnie[[#This Row],[I. Nazwisko]],tbl_główna_GRACZE[blk]))/tbl_zawodnicy_średnie[[#This Row],[Played]],0)</f>
        <v>0.66666666666666663</v>
      </c>
      <c r="P71" s="55">
        <f>IFERROR((SUMIF(tbl_główna_GRACZE[I. Nazwisko],tbl_zawodnicy_średnie[[#This Row],[I. Nazwisko]],tbl_główna_GRACZE[asst]))/tbl_zawodnicy_średnie[[#This Row],[Played]],0)</f>
        <v>1.3333333333333333</v>
      </c>
      <c r="Q71" s="55">
        <f>IFERROR((SUMIF(tbl_główna_GRACZE[I. Nazwisko],tbl_zawodnicy_średnie[[#This Row],[I. Nazwisko]],tbl_główna_GRACZE[min]))/tbl_zawodnicy_średnie[[#This Row],[Played]],0)</f>
        <v>26.333333333333332</v>
      </c>
      <c r="R71" s="55">
        <f>IFERROR((SUMIF(tbl_główna_GRACZE[I. Nazwisko],tbl_zawodnicy_średnie[[#This Row],[I. Nazwisko]],tbl_główna_GRACZE[pts]))/tbl_zawodnicy_średnie[[#This Row],[Played]],0)</f>
        <v>2.3333333333333335</v>
      </c>
      <c r="S71" s="6">
        <f t="shared" si="22"/>
        <v>4.6666666666666661</v>
      </c>
      <c r="T71" s="4">
        <f t="shared" si="23"/>
        <v>0.22222222222222221</v>
      </c>
      <c r="U71" s="4">
        <f t="shared" si="24"/>
        <v>0.25</v>
      </c>
      <c r="V71" s="4">
        <f t="shared" si="25"/>
        <v>0.66666666666666663</v>
      </c>
      <c r="W71" s="4">
        <f>IFERROR(tbl_zawodnicy_średnie[[#This Row],[2pm]]/tbl_zawodnicy_średnie[[#This Row],[2pa]],0)</f>
        <v>0.19999999999999998</v>
      </c>
      <c r="X71" s="4">
        <f t="shared" si="26"/>
        <v>0.33914728682170547</v>
      </c>
      <c r="Y71" s="4">
        <f t="shared" si="27"/>
        <v>0.27777777777777773</v>
      </c>
      <c r="Z71" s="6">
        <f t="shared" si="28"/>
        <v>8.6666666666666643</v>
      </c>
      <c r="AA71" s="4">
        <f t="shared" si="29"/>
        <v>0.33333333333333331</v>
      </c>
      <c r="AB71" s="4">
        <f t="shared" si="30"/>
        <v>0.44444444444444442</v>
      </c>
      <c r="AC71" s="26">
        <f>IFERROR((SUMIF(tbl_główna_GRACZE[I. Nazwisko],tbl_zawodnicy_średnie[[#This Row],[I. Nazwisko]],tbl_główna_GRACZE[USG%]))/tbl_zawodnicy_średnie[[#This Row],[Played]],0)</f>
        <v>4.8398341610053131E-2</v>
      </c>
      <c r="AD71" s="25">
        <f>IFERROR(tbl_zawodnicy_średnie[[#This Row],[pts]]*(40/tbl_zawodnicy_średnie[[#This Row],[min]]),0)</f>
        <v>3.5443037974683551</v>
      </c>
      <c r="AE71" s="25">
        <f>IFERROR(tbl_zawodnicy_średnie[[#This Row],[reb total]]*(40/tbl_zawodnicy_średnie[[#This Row],[min]]),0)</f>
        <v>7.0886075949367084</v>
      </c>
      <c r="AF71" s="30">
        <f>IFERROR(tbl_zawodnicy_średnie[[#This Row],[asst]]*(40/tbl_zawodnicy_średnie[[#This Row],[min]]),0)</f>
        <v>2.0253164556962027</v>
      </c>
      <c r="AG71" s="5">
        <f t="shared" si="31"/>
        <v>0.77777777777777779</v>
      </c>
      <c r="AH71" s="5">
        <f>IFERROR((tbl_zawodnicy_średnie[[#This Row],[stl]]+tbl_zawodnicy_średnie[[#This Row],[blk]])*(40/tbl_zawodnicy_średnie[[#This Row],[min]]),0)</f>
        <v>4.556962025316456</v>
      </c>
      <c r="AI71" s="24">
        <f>IFERROR((SUMIF(tbl_główna_GRACZE[I. Nazwisko],tbl_zawodnicy_średnie[[#This Row],[I. Nazwisko]],tbl_główna_GRACZE[DI]))/tbl_zawodnicy_średnie[[#This Row],[Played]],0)</f>
        <v>0.26204906204906203</v>
      </c>
      <c r="AJ71" s="25">
        <f>tbl_zawodnicy_średnie[[#This Row],[stl]]+tbl_zawodnicy_średnie[[#This Row],[blk]]+(tbl_zawodnicy_średnie[[#This Row],[dreb]]*0.5)</f>
        <v>4.833333333333333</v>
      </c>
      <c r="AK71" s="29">
        <f>IFERROR((tbl_zawodnicy_średnie[[#This Row],[stl]]+tbl_zawodnicy_średnie[[#This Row],[blk]]+0.5*tbl_zawodnicy_średnie[[#This Row],[dreb]])/tbl_zawodnicy_średnie[[#This Row],[min]],0)</f>
        <v>0.18354430379746836</v>
      </c>
      <c r="AL71" s="6">
        <f t="shared" si="32"/>
        <v>5.9</v>
      </c>
      <c r="AM71" s="6">
        <f>IFERROR(tbl_zawodnicy_średnie[[#This Row],[GmSc]]*(40/tbl_zawodnicy_średnie[[#This Row],[min]]),0)</f>
        <v>8.9620253164556978</v>
      </c>
      <c r="AN71" s="6">
        <f>IFERROR(tbl_zawodnicy_średnie[[#This Row],[EVAL]]*(40/tbl_zawodnicy_średnie[[#This Row],[min]]),0)</f>
        <v>13.164556962025314</v>
      </c>
      <c r="AO71" s="6">
        <f>tbl_zawodnicy_średnie[[#This Row],[fgm]]-tbl_zawodnicy_średnie[[#This Row],[3pm]]</f>
        <v>0.33333333333333331</v>
      </c>
      <c r="AP71" s="6">
        <f>tbl_zawodnicy_średnie[[#This Row],[fga]]-tbl_zawodnicy_średnie[[#This Row],[3pa]]</f>
        <v>1.6666666666666667</v>
      </c>
      <c r="AR71" s="6" t="str">
        <f>tbl_zawodnicy_średnie[[#This Row],[I. Nazwisko]]&amp;" ["&amp;VLOOKUP(tbl_zawodnicy_średnie[[#This Row],[zespół]],tab_nazwy_zespołów[],2,0)&amp;"]"</f>
        <v>V. Kurshynov [HUT]</v>
      </c>
    </row>
    <row r="72" spans="1:44" x14ac:dyDescent="0.35">
      <c r="A72" t="s">
        <v>46</v>
      </c>
      <c r="B72" t="s">
        <v>395</v>
      </c>
      <c r="C72" s="9">
        <f>SUMIF(tbl_główna_GRACZE[I. Nazwisko],tbl_zawodnicy_średnie[[#This Row],[I. Nazwisko]],tbl_główna_GRACZE[Played?])</f>
        <v>2</v>
      </c>
      <c r="D72" s="55">
        <f>IFERROR((SUMIF(tbl_główna_GRACZE[I. Nazwisko],tbl_zawodnicy_średnie[[#This Row],[I. Nazwisko]],tbl_główna_GRACZE[fgm]))/tbl_zawodnicy_średnie[[#This Row],[Played]],0)</f>
        <v>3</v>
      </c>
      <c r="E72" s="55">
        <f>IFERROR((SUMIF(tbl_główna_GRACZE[I. Nazwisko],tbl_zawodnicy_średnie[[#This Row],[I. Nazwisko]],tbl_główna_GRACZE[fga]))/tbl_zawodnicy_średnie[[#This Row],[Played]],0)</f>
        <v>9</v>
      </c>
      <c r="F72" s="55">
        <f>IFERROR((SUMIF(tbl_główna_GRACZE[I. Nazwisko],tbl_zawodnicy_średnie[[#This Row],[I. Nazwisko]],tbl_główna_GRACZE[3pm]))/tbl_zawodnicy_średnie[[#This Row],[Played]],0)</f>
        <v>0</v>
      </c>
      <c r="G72" s="55">
        <f>IFERROR((SUMIF(tbl_główna_GRACZE[I. Nazwisko],tbl_zawodnicy_średnie[[#This Row],[I. Nazwisko]],tbl_główna_GRACZE[3pa]))/tbl_zawodnicy_średnie[[#This Row],[Played]],0)</f>
        <v>0</v>
      </c>
      <c r="H72" s="55">
        <f>IFERROR((SUMIF(tbl_główna_GRACZE[I. Nazwisko],tbl_zawodnicy_średnie[[#This Row],[I. Nazwisko]],tbl_główna_GRACZE[ftm]))/tbl_zawodnicy_średnie[[#This Row],[Played]],0)</f>
        <v>0.5</v>
      </c>
      <c r="I72" s="55">
        <f>IFERROR((SUMIF(tbl_główna_GRACZE[I. Nazwisko],tbl_zawodnicy_średnie[[#This Row],[I. Nazwisko]],tbl_główna_GRACZE[fta]))/tbl_zawodnicy_średnie[[#This Row],[Played]],0)</f>
        <v>2</v>
      </c>
      <c r="J72" s="55">
        <f>IFERROR((SUMIF(tbl_główna_GRACZE[I. Nazwisko],tbl_zawodnicy_średnie[[#This Row],[I. Nazwisko]],tbl_główna_GRACZE[oreb]))/tbl_zawodnicy_średnie[[#This Row],[Played]],0)</f>
        <v>4.5</v>
      </c>
      <c r="K72" s="55">
        <f>IFERROR((SUMIF(tbl_główna_GRACZE[I. Nazwisko],tbl_zawodnicy_średnie[[#This Row],[I. Nazwisko]],tbl_główna_GRACZE[dreb]))/tbl_zawodnicy_średnie[[#This Row],[Played]],0)</f>
        <v>9</v>
      </c>
      <c r="L72" s="55">
        <f>IFERROR((SUMIF(tbl_główna_GRACZE[I. Nazwisko],tbl_zawodnicy_średnie[[#This Row],[I. Nazwisko]],tbl_główna_GRACZE[foul]))/tbl_zawodnicy_średnie[[#This Row],[Played]],0)</f>
        <v>3</v>
      </c>
      <c r="M72" s="55">
        <f>IFERROR((SUMIF(tbl_główna_GRACZE[I. Nazwisko],tbl_zawodnicy_średnie[[#This Row],[I. Nazwisko]],tbl_główna_GRACZE[stl]))/tbl_zawodnicy_średnie[[#This Row],[Played]],0)</f>
        <v>1.5</v>
      </c>
      <c r="N72" s="55">
        <f>IFERROR((SUMIF(tbl_główna_GRACZE[I. Nazwisko],tbl_zawodnicy_średnie[[#This Row],[I. Nazwisko]],tbl_główna_GRACZE[to]))/tbl_zawodnicy_średnie[[#This Row],[Played]],0)</f>
        <v>0</v>
      </c>
      <c r="O72" s="55">
        <f>IFERROR((SUMIF(tbl_główna_GRACZE[I. Nazwisko],tbl_zawodnicy_średnie[[#This Row],[I. Nazwisko]],tbl_główna_GRACZE[blk]))/tbl_zawodnicy_średnie[[#This Row],[Played]],0)</f>
        <v>1.5</v>
      </c>
      <c r="P72" s="55">
        <f>IFERROR((SUMIF(tbl_główna_GRACZE[I. Nazwisko],tbl_zawodnicy_średnie[[#This Row],[I. Nazwisko]],tbl_główna_GRACZE[asst]))/tbl_zawodnicy_średnie[[#This Row],[Played]],0)</f>
        <v>1</v>
      </c>
      <c r="Q72" s="55">
        <f>IFERROR((SUMIF(tbl_główna_GRACZE[I. Nazwisko],tbl_zawodnicy_średnie[[#This Row],[I. Nazwisko]],tbl_główna_GRACZE[min]))/tbl_zawodnicy_średnie[[#This Row],[Played]],0)</f>
        <v>23.5</v>
      </c>
      <c r="R72" s="55">
        <f>IFERROR((SUMIF(tbl_główna_GRACZE[I. Nazwisko],tbl_zawodnicy_średnie[[#This Row],[I. Nazwisko]],tbl_główna_GRACZE[pts]))/tbl_zawodnicy_średnie[[#This Row],[Played]],0)</f>
        <v>6.5</v>
      </c>
      <c r="S72" s="6">
        <f t="shared" ref="S72:S77" si="33">J72+K72</f>
        <v>13.5</v>
      </c>
      <c r="T72" s="4">
        <f t="shared" ref="T72:T77" si="34">IFERROR(D72/E72,0)</f>
        <v>0.33333333333333331</v>
      </c>
      <c r="U72" s="4">
        <f t="shared" ref="U72:U77" si="35">IFERROR(F72/G72,0)</f>
        <v>0</v>
      </c>
      <c r="V72" s="4">
        <f t="shared" ref="V72:V77" si="36">IFERROR(H72/I72,0)</f>
        <v>0.25</v>
      </c>
      <c r="W72" s="4">
        <f>IFERROR(tbl_zawodnicy_średnie[[#This Row],[2pm]]/tbl_zawodnicy_średnie[[#This Row],[2pa]],0)</f>
        <v>0.33333333333333331</v>
      </c>
      <c r="X72" s="4">
        <f t="shared" ref="X72:X77" si="37">IFERROR(R72/(2*(E72+0.44*I72)),0)</f>
        <v>0.3289473684210526</v>
      </c>
      <c r="Y72" s="4">
        <f t="shared" ref="Y72:Y77" si="38">IFERROR((D72+0.5*F72)/E72,0)</f>
        <v>0.33333333333333331</v>
      </c>
      <c r="Z72" s="6">
        <f t="shared" ref="Z72:Z77" si="39">M72+O72+P72+R72+S72-(E72-D72)-(I72-H72)</f>
        <v>16.5</v>
      </c>
      <c r="AA72" s="4">
        <f t="shared" ref="AA72:AA77" si="40">IFERROR(I72/E72,)</f>
        <v>0.22222222222222221</v>
      </c>
      <c r="AB72" s="4">
        <f t="shared" ref="AB72:AB77" si="41">IFERROR(G72/E72,0)</f>
        <v>0</v>
      </c>
      <c r="AC72" s="26">
        <f>IFERROR((SUMIF(tbl_główna_GRACZE[I. Nazwisko],tbl_zawodnicy_średnie[[#This Row],[I. Nazwisko]],tbl_główna_GRACZE[USG%]))/tbl_zawodnicy_średnie[[#This Row],[Played]],0)</f>
        <v>0.16245012896721819</v>
      </c>
      <c r="AD72" s="25">
        <f>IFERROR(tbl_zawodnicy_średnie[[#This Row],[pts]]*(40/tbl_zawodnicy_średnie[[#This Row],[min]]),0)</f>
        <v>11.063829787234043</v>
      </c>
      <c r="AE72" s="25">
        <f>IFERROR(tbl_zawodnicy_średnie[[#This Row],[reb total]]*(40/tbl_zawodnicy_średnie[[#This Row],[min]]),0)</f>
        <v>22.978723404255319</v>
      </c>
      <c r="AF72" s="30">
        <f>IFERROR(tbl_zawodnicy_średnie[[#This Row],[asst]]*(40/tbl_zawodnicy_średnie[[#This Row],[min]]),0)</f>
        <v>1.7021276595744681</v>
      </c>
      <c r="AG72" s="5">
        <f t="shared" ref="AG72:AG77" si="42">IFERROR(R72/E72,0)</f>
        <v>0.72222222222222221</v>
      </c>
      <c r="AH72" s="5">
        <f>IFERROR((tbl_zawodnicy_średnie[[#This Row],[stl]]+tbl_zawodnicy_średnie[[#This Row],[blk]])*(40/tbl_zawodnicy_średnie[[#This Row],[min]]),0)</f>
        <v>5.1063829787234045</v>
      </c>
      <c r="AI72" s="24">
        <f>IFERROR((SUMIF(tbl_główna_GRACZE[I. Nazwisko],tbl_zawodnicy_średnie[[#This Row],[I. Nazwisko]],tbl_główna_GRACZE[DI]))/tbl_zawodnicy_średnie[[#This Row],[Played]],0)</f>
        <v>0.1732456140350877</v>
      </c>
      <c r="AJ72" s="25">
        <f>tbl_zawodnicy_średnie[[#This Row],[stl]]+tbl_zawodnicy_średnie[[#This Row],[blk]]+(tbl_zawodnicy_średnie[[#This Row],[dreb]]*0.5)</f>
        <v>7.5</v>
      </c>
      <c r="AK72" s="29">
        <f>IFERROR((tbl_zawodnicy_średnie[[#This Row],[stl]]+tbl_zawodnicy_średnie[[#This Row],[blk]]+0.5*tbl_zawodnicy_średnie[[#This Row],[dreb]])/tbl_zawodnicy_średnie[[#This Row],[min]],0)</f>
        <v>0.31914893617021278</v>
      </c>
      <c r="AL72" s="6">
        <f t="shared" ref="AL72:AL77" si="43">IFERROR(R72+0.4*D72-0.7*E72-0.4*(I72-H72)+0.7*J72+0.3*K72+M72+0.7*P72+0.7*O72,0)</f>
        <v>9.8999999999999986</v>
      </c>
      <c r="AM72" s="6">
        <f>IFERROR(tbl_zawodnicy_średnie[[#This Row],[GmSc]]*(40/tbl_zawodnicy_średnie[[#This Row],[min]]),0)</f>
        <v>16.851063829787233</v>
      </c>
      <c r="AN72" s="6">
        <f>IFERROR(tbl_zawodnicy_średnie[[#This Row],[EVAL]]*(40/tbl_zawodnicy_średnie[[#This Row],[min]]),0)</f>
        <v>28.085106382978722</v>
      </c>
      <c r="AO72" s="6">
        <f>tbl_zawodnicy_średnie[[#This Row],[fgm]]-tbl_zawodnicy_średnie[[#This Row],[3pm]]</f>
        <v>3</v>
      </c>
      <c r="AP72" s="6">
        <f>tbl_zawodnicy_średnie[[#This Row],[fga]]-tbl_zawodnicy_średnie[[#This Row],[3pa]]</f>
        <v>9</v>
      </c>
      <c r="AR72" s="6" t="str">
        <f>tbl_zawodnicy_średnie[[#This Row],[I. Nazwisko]]&amp;" ["&amp;VLOOKUP(tbl_zawodnicy_średnie[[#This Row],[zespół]],tab_nazwy_zespołów[],2,0)&amp;"]"</f>
        <v>P. Durka [BYP]</v>
      </c>
    </row>
    <row r="73" spans="1:44" x14ac:dyDescent="0.35">
      <c r="A73" t="s">
        <v>46</v>
      </c>
      <c r="B73" t="s">
        <v>396</v>
      </c>
      <c r="C73" s="9">
        <f>SUMIF(tbl_główna_GRACZE[I. Nazwisko],tbl_zawodnicy_średnie[[#This Row],[I. Nazwisko]],tbl_główna_GRACZE[Played?])</f>
        <v>1</v>
      </c>
      <c r="D73" s="55">
        <f>IFERROR((SUMIF(tbl_główna_GRACZE[I. Nazwisko],tbl_zawodnicy_średnie[[#This Row],[I. Nazwisko]],tbl_główna_GRACZE[fgm]))/tbl_zawodnicy_średnie[[#This Row],[Played]],0)</f>
        <v>0</v>
      </c>
      <c r="E73" s="55">
        <f>IFERROR((SUMIF(tbl_główna_GRACZE[I. Nazwisko],tbl_zawodnicy_średnie[[#This Row],[I. Nazwisko]],tbl_główna_GRACZE[fga]))/tbl_zawodnicy_średnie[[#This Row],[Played]],0)</f>
        <v>2</v>
      </c>
      <c r="F73" s="55">
        <f>IFERROR((SUMIF(tbl_główna_GRACZE[I. Nazwisko],tbl_zawodnicy_średnie[[#This Row],[I. Nazwisko]],tbl_główna_GRACZE[3pm]))/tbl_zawodnicy_średnie[[#This Row],[Played]],0)</f>
        <v>0</v>
      </c>
      <c r="G73" s="55">
        <f>IFERROR((SUMIF(tbl_główna_GRACZE[I. Nazwisko],tbl_zawodnicy_średnie[[#This Row],[I. Nazwisko]],tbl_główna_GRACZE[3pa]))/tbl_zawodnicy_średnie[[#This Row],[Played]],0)</f>
        <v>1</v>
      </c>
      <c r="H73" s="55">
        <f>IFERROR((SUMIF(tbl_główna_GRACZE[I. Nazwisko],tbl_zawodnicy_średnie[[#This Row],[I. Nazwisko]],tbl_główna_GRACZE[ftm]))/tbl_zawodnicy_średnie[[#This Row],[Played]],0)</f>
        <v>0</v>
      </c>
      <c r="I73" s="55">
        <f>IFERROR((SUMIF(tbl_główna_GRACZE[I. Nazwisko],tbl_zawodnicy_średnie[[#This Row],[I. Nazwisko]],tbl_główna_GRACZE[fta]))/tbl_zawodnicy_średnie[[#This Row],[Played]],0)</f>
        <v>0</v>
      </c>
      <c r="J73" s="55">
        <f>IFERROR((SUMIF(tbl_główna_GRACZE[I. Nazwisko],tbl_zawodnicy_średnie[[#This Row],[I. Nazwisko]],tbl_główna_GRACZE[oreb]))/tbl_zawodnicy_średnie[[#This Row],[Played]],0)</f>
        <v>0</v>
      </c>
      <c r="K73" s="55">
        <f>IFERROR((SUMIF(tbl_główna_GRACZE[I. Nazwisko],tbl_zawodnicy_średnie[[#This Row],[I. Nazwisko]],tbl_główna_GRACZE[dreb]))/tbl_zawodnicy_średnie[[#This Row],[Played]],0)</f>
        <v>3</v>
      </c>
      <c r="L73" s="55">
        <f>IFERROR((SUMIF(tbl_główna_GRACZE[I. Nazwisko],tbl_zawodnicy_średnie[[#This Row],[I. Nazwisko]],tbl_główna_GRACZE[foul]))/tbl_zawodnicy_średnie[[#This Row],[Played]],0)</f>
        <v>0</v>
      </c>
      <c r="M73" s="55">
        <f>IFERROR((SUMIF(tbl_główna_GRACZE[I. Nazwisko],tbl_zawodnicy_średnie[[#This Row],[I. Nazwisko]],tbl_główna_GRACZE[stl]))/tbl_zawodnicy_średnie[[#This Row],[Played]],0)</f>
        <v>2</v>
      </c>
      <c r="N73" s="55">
        <f>IFERROR((SUMIF(tbl_główna_GRACZE[I. Nazwisko],tbl_zawodnicy_średnie[[#This Row],[I. Nazwisko]],tbl_główna_GRACZE[to]))/tbl_zawodnicy_średnie[[#This Row],[Played]],0)</f>
        <v>0</v>
      </c>
      <c r="O73" s="55">
        <f>IFERROR((SUMIF(tbl_główna_GRACZE[I. Nazwisko],tbl_zawodnicy_średnie[[#This Row],[I. Nazwisko]],tbl_główna_GRACZE[blk]))/tbl_zawodnicy_średnie[[#This Row],[Played]],0)</f>
        <v>0</v>
      </c>
      <c r="P73" s="55">
        <f>IFERROR((SUMIF(tbl_główna_GRACZE[I. Nazwisko],tbl_zawodnicy_średnie[[#This Row],[I. Nazwisko]],tbl_główna_GRACZE[asst]))/tbl_zawodnicy_średnie[[#This Row],[Played]],0)</f>
        <v>2</v>
      </c>
      <c r="Q73" s="55">
        <f>IFERROR((SUMIF(tbl_główna_GRACZE[I. Nazwisko],tbl_zawodnicy_średnie[[#This Row],[I. Nazwisko]],tbl_główna_GRACZE[min]))/tbl_zawodnicy_średnie[[#This Row],[Played]],0)</f>
        <v>9</v>
      </c>
      <c r="R73" s="55">
        <f>IFERROR((SUMIF(tbl_główna_GRACZE[I. Nazwisko],tbl_zawodnicy_średnie[[#This Row],[I. Nazwisko]],tbl_główna_GRACZE[pts]))/tbl_zawodnicy_średnie[[#This Row],[Played]],0)</f>
        <v>0</v>
      </c>
      <c r="S73" s="6">
        <f t="shared" si="33"/>
        <v>3</v>
      </c>
      <c r="T73" s="4">
        <f t="shared" si="34"/>
        <v>0</v>
      </c>
      <c r="U73" s="4">
        <f t="shared" si="35"/>
        <v>0</v>
      </c>
      <c r="V73" s="4">
        <f t="shared" si="36"/>
        <v>0</v>
      </c>
      <c r="W73" s="4">
        <f>IFERROR(tbl_zawodnicy_średnie[[#This Row],[2pm]]/tbl_zawodnicy_średnie[[#This Row],[2pa]],0)</f>
        <v>0</v>
      </c>
      <c r="X73" s="4">
        <f t="shared" si="37"/>
        <v>0</v>
      </c>
      <c r="Y73" s="4">
        <f t="shared" si="38"/>
        <v>0</v>
      </c>
      <c r="Z73" s="6">
        <f t="shared" si="39"/>
        <v>5</v>
      </c>
      <c r="AA73" s="4">
        <f t="shared" si="40"/>
        <v>0</v>
      </c>
      <c r="AB73" s="4">
        <f t="shared" si="41"/>
        <v>0.5</v>
      </c>
      <c r="AC73" s="26">
        <f>IFERROR((SUMIF(tbl_główna_GRACZE[I. Nazwisko],tbl_zawodnicy_średnie[[#This Row],[I. Nazwisko]],tbl_główna_GRACZE[USG%]))/tbl_zawodnicy_średnie[[#This Row],[Played]],0)</f>
        <v>3.4317089910775568E-2</v>
      </c>
      <c r="AD73" s="25">
        <f>IFERROR(tbl_zawodnicy_średnie[[#This Row],[pts]]*(40/tbl_zawodnicy_średnie[[#This Row],[min]]),0)</f>
        <v>0</v>
      </c>
      <c r="AE73" s="25">
        <f>IFERROR(tbl_zawodnicy_średnie[[#This Row],[reb total]]*(40/tbl_zawodnicy_średnie[[#This Row],[min]]),0)</f>
        <v>13.333333333333334</v>
      </c>
      <c r="AF73" s="30">
        <f>IFERROR(tbl_zawodnicy_średnie[[#This Row],[asst]]*(40/tbl_zawodnicy_średnie[[#This Row],[min]]),0)</f>
        <v>8.8888888888888893</v>
      </c>
      <c r="AG73" s="5">
        <f t="shared" si="42"/>
        <v>0</v>
      </c>
      <c r="AH73" s="5">
        <f>IFERROR((tbl_zawodnicy_średnie[[#This Row],[stl]]+tbl_zawodnicy_średnie[[#This Row],[blk]])*(40/tbl_zawodnicy_średnie[[#This Row],[min]]),0)</f>
        <v>8.8888888888888893</v>
      </c>
      <c r="AI73" s="24">
        <f>IFERROR((SUMIF(tbl_główna_GRACZE[I. Nazwisko],tbl_zawodnicy_średnie[[#This Row],[I. Nazwisko]],tbl_główna_GRACZE[DI]))/tbl_zawodnicy_średnie[[#This Row],[Played]],0)</f>
        <v>0.10526315789473684</v>
      </c>
      <c r="AJ73" s="25">
        <f>tbl_zawodnicy_średnie[[#This Row],[stl]]+tbl_zawodnicy_średnie[[#This Row],[blk]]+(tbl_zawodnicy_średnie[[#This Row],[dreb]]*0.5)</f>
        <v>3.5</v>
      </c>
      <c r="AK73" s="29">
        <f>IFERROR((tbl_zawodnicy_średnie[[#This Row],[stl]]+tbl_zawodnicy_średnie[[#This Row],[blk]]+0.5*tbl_zawodnicy_średnie[[#This Row],[dreb]])/tbl_zawodnicy_średnie[[#This Row],[min]],0)</f>
        <v>0.3888888888888889</v>
      </c>
      <c r="AL73" s="6">
        <f t="shared" si="43"/>
        <v>2.9</v>
      </c>
      <c r="AM73" s="6">
        <f>IFERROR(tbl_zawodnicy_średnie[[#This Row],[GmSc]]*(40/tbl_zawodnicy_średnie[[#This Row],[min]]),0)</f>
        <v>12.888888888888889</v>
      </c>
      <c r="AN73" s="6">
        <f>IFERROR(tbl_zawodnicy_średnie[[#This Row],[EVAL]]*(40/tbl_zawodnicy_średnie[[#This Row],[min]]),0)</f>
        <v>22.222222222222221</v>
      </c>
      <c r="AO73" s="6">
        <f>tbl_zawodnicy_średnie[[#This Row],[fgm]]-tbl_zawodnicy_średnie[[#This Row],[3pm]]</f>
        <v>0</v>
      </c>
      <c r="AP73" s="6">
        <f>tbl_zawodnicy_średnie[[#This Row],[fga]]-tbl_zawodnicy_średnie[[#This Row],[3pa]]</f>
        <v>1</v>
      </c>
      <c r="AR73" s="6" t="str">
        <f>tbl_zawodnicy_średnie[[#This Row],[I. Nazwisko]]&amp;" ["&amp;VLOOKUP(tbl_zawodnicy_średnie[[#This Row],[zespół]],tab_nazwy_zespołów[],2,0)&amp;"]"</f>
        <v>F. Szymor [BYP]</v>
      </c>
    </row>
    <row r="74" spans="1:44" x14ac:dyDescent="0.35">
      <c r="A74" t="s">
        <v>48</v>
      </c>
      <c r="B74" t="s">
        <v>397</v>
      </c>
      <c r="C74" s="9">
        <f>SUMIF(tbl_główna_GRACZE[I. Nazwisko],tbl_zawodnicy_średnie[[#This Row],[I. Nazwisko]],tbl_główna_GRACZE[Played?])</f>
        <v>2</v>
      </c>
      <c r="D74" s="55">
        <f>IFERROR((SUMIF(tbl_główna_GRACZE[I. Nazwisko],tbl_zawodnicy_średnie[[#This Row],[I. Nazwisko]],tbl_główna_GRACZE[fgm]))/tbl_zawodnicy_średnie[[#This Row],[Played]],0)</f>
        <v>4.5</v>
      </c>
      <c r="E74" s="55">
        <f>IFERROR((SUMIF(tbl_główna_GRACZE[I. Nazwisko],tbl_zawodnicy_średnie[[#This Row],[I. Nazwisko]],tbl_główna_GRACZE[fga]))/tbl_zawodnicy_średnie[[#This Row],[Played]],0)</f>
        <v>14</v>
      </c>
      <c r="F74" s="55">
        <f>IFERROR((SUMIF(tbl_główna_GRACZE[I. Nazwisko],tbl_zawodnicy_średnie[[#This Row],[I. Nazwisko]],tbl_główna_GRACZE[3pm]))/tbl_zawodnicy_średnie[[#This Row],[Played]],0)</f>
        <v>1</v>
      </c>
      <c r="G74" s="55">
        <f>IFERROR((SUMIF(tbl_główna_GRACZE[I. Nazwisko],tbl_zawodnicy_średnie[[#This Row],[I. Nazwisko]],tbl_główna_GRACZE[3pa]))/tbl_zawodnicy_średnie[[#This Row],[Played]],0)</f>
        <v>5</v>
      </c>
      <c r="H74" s="55">
        <f>IFERROR((SUMIF(tbl_główna_GRACZE[I. Nazwisko],tbl_zawodnicy_średnie[[#This Row],[I. Nazwisko]],tbl_główna_GRACZE[ftm]))/tbl_zawodnicy_średnie[[#This Row],[Played]],0)</f>
        <v>1</v>
      </c>
      <c r="I74" s="55">
        <f>IFERROR((SUMIF(tbl_główna_GRACZE[I. Nazwisko],tbl_zawodnicy_średnie[[#This Row],[I. Nazwisko]],tbl_główna_GRACZE[fta]))/tbl_zawodnicy_średnie[[#This Row],[Played]],0)</f>
        <v>2</v>
      </c>
      <c r="J74" s="55">
        <f>IFERROR((SUMIF(tbl_główna_GRACZE[I. Nazwisko],tbl_zawodnicy_średnie[[#This Row],[I. Nazwisko]],tbl_główna_GRACZE[oreb]))/tbl_zawodnicy_średnie[[#This Row],[Played]],0)</f>
        <v>3</v>
      </c>
      <c r="K74" s="55">
        <f>IFERROR((SUMIF(tbl_główna_GRACZE[I. Nazwisko],tbl_zawodnicy_średnie[[#This Row],[I. Nazwisko]],tbl_główna_GRACZE[dreb]))/tbl_zawodnicy_średnie[[#This Row],[Played]],0)</f>
        <v>1.5</v>
      </c>
      <c r="L74" s="55">
        <f>IFERROR((SUMIF(tbl_główna_GRACZE[I. Nazwisko],tbl_zawodnicy_średnie[[#This Row],[I. Nazwisko]],tbl_główna_GRACZE[foul]))/tbl_zawodnicy_średnie[[#This Row],[Played]],0)</f>
        <v>1.5</v>
      </c>
      <c r="M74" s="55">
        <f>IFERROR((SUMIF(tbl_główna_GRACZE[I. Nazwisko],tbl_zawodnicy_średnie[[#This Row],[I. Nazwisko]],tbl_główna_GRACZE[stl]))/tbl_zawodnicy_średnie[[#This Row],[Played]],0)</f>
        <v>3</v>
      </c>
      <c r="N74" s="55">
        <f>IFERROR((SUMIF(tbl_główna_GRACZE[I. Nazwisko],tbl_zawodnicy_średnie[[#This Row],[I. Nazwisko]],tbl_główna_GRACZE[to]))/tbl_zawodnicy_średnie[[#This Row],[Played]],0)</f>
        <v>0</v>
      </c>
      <c r="O74" s="55">
        <f>IFERROR((SUMIF(tbl_główna_GRACZE[I. Nazwisko],tbl_zawodnicy_średnie[[#This Row],[I. Nazwisko]],tbl_główna_GRACZE[blk]))/tbl_zawodnicy_średnie[[#This Row],[Played]],0)</f>
        <v>0.5</v>
      </c>
      <c r="P74" s="55">
        <f>IFERROR((SUMIF(tbl_główna_GRACZE[I. Nazwisko],tbl_zawodnicy_średnie[[#This Row],[I. Nazwisko]],tbl_główna_GRACZE[asst]))/tbl_zawodnicy_średnie[[#This Row],[Played]],0)</f>
        <v>0.5</v>
      </c>
      <c r="Q74" s="55">
        <f>IFERROR((SUMIF(tbl_główna_GRACZE[I. Nazwisko],tbl_zawodnicy_średnie[[#This Row],[I. Nazwisko]],tbl_główna_GRACZE[min]))/tbl_zawodnicy_średnie[[#This Row],[Played]],0)</f>
        <v>29.5</v>
      </c>
      <c r="R74" s="55">
        <f>IFERROR((SUMIF(tbl_główna_GRACZE[I. Nazwisko],tbl_zawodnicy_średnie[[#This Row],[I. Nazwisko]],tbl_główna_GRACZE[pts]))/tbl_zawodnicy_średnie[[#This Row],[Played]],0)</f>
        <v>11</v>
      </c>
      <c r="S74" s="6">
        <f t="shared" si="33"/>
        <v>4.5</v>
      </c>
      <c r="T74" s="4">
        <f t="shared" si="34"/>
        <v>0.32142857142857145</v>
      </c>
      <c r="U74" s="4">
        <f t="shared" si="35"/>
        <v>0.2</v>
      </c>
      <c r="V74" s="4">
        <f t="shared" si="36"/>
        <v>0.5</v>
      </c>
      <c r="W74" s="4">
        <f>IFERROR(tbl_zawodnicy_średnie[[#This Row],[2pm]]/tbl_zawodnicy_średnie[[#This Row],[2pa]],0)</f>
        <v>0.3888888888888889</v>
      </c>
      <c r="X74" s="4">
        <f t="shared" si="37"/>
        <v>0.3696236559139785</v>
      </c>
      <c r="Y74" s="4">
        <f t="shared" si="38"/>
        <v>0.35714285714285715</v>
      </c>
      <c r="Z74" s="6">
        <f t="shared" si="39"/>
        <v>9</v>
      </c>
      <c r="AA74" s="4">
        <f t="shared" si="40"/>
        <v>0.14285714285714285</v>
      </c>
      <c r="AB74" s="4">
        <f t="shared" si="41"/>
        <v>0.35714285714285715</v>
      </c>
      <c r="AC74" s="26">
        <f>IFERROR((SUMIF(tbl_główna_GRACZE[I. Nazwisko],tbl_zawodnicy_średnie[[#This Row],[I. Nazwisko]],tbl_główna_GRACZE[USG%]))/tbl_zawodnicy_średnie[[#This Row],[Played]],0)</f>
        <v>0.17280573000704047</v>
      </c>
      <c r="AD74" s="25">
        <f>IFERROR(tbl_zawodnicy_średnie[[#This Row],[pts]]*(40/tbl_zawodnicy_średnie[[#This Row],[min]]),0)</f>
        <v>14.915254237288135</v>
      </c>
      <c r="AE74" s="25">
        <f>IFERROR(tbl_zawodnicy_średnie[[#This Row],[reb total]]*(40/tbl_zawodnicy_średnie[[#This Row],[min]]),0)</f>
        <v>6.101694915254237</v>
      </c>
      <c r="AF74" s="30">
        <f>IFERROR(tbl_zawodnicy_średnie[[#This Row],[asst]]*(40/tbl_zawodnicy_średnie[[#This Row],[min]]),0)</f>
        <v>0.67796610169491522</v>
      </c>
      <c r="AG74" s="5">
        <f t="shared" si="42"/>
        <v>0.7857142857142857</v>
      </c>
      <c r="AH74" s="5">
        <f>IFERROR((tbl_zawodnicy_średnie[[#This Row],[stl]]+tbl_zawodnicy_średnie[[#This Row],[blk]])*(40/tbl_zawodnicy_średnie[[#This Row],[min]]),0)</f>
        <v>4.7457627118644066</v>
      </c>
      <c r="AI74" s="24">
        <f>IFERROR((SUMIF(tbl_główna_GRACZE[I. Nazwisko],tbl_zawodnicy_średnie[[#This Row],[I. Nazwisko]],tbl_główna_GRACZE[DI]))/tbl_zawodnicy_średnie[[#This Row],[Played]],0)</f>
        <v>0.15869565217391304</v>
      </c>
      <c r="AJ74" s="25">
        <f>tbl_zawodnicy_średnie[[#This Row],[stl]]+tbl_zawodnicy_średnie[[#This Row],[blk]]+(tbl_zawodnicy_średnie[[#This Row],[dreb]]*0.5)</f>
        <v>4.25</v>
      </c>
      <c r="AK74" s="29">
        <f>IFERROR((tbl_zawodnicy_średnie[[#This Row],[stl]]+tbl_zawodnicy_średnie[[#This Row],[blk]]+0.5*tbl_zawodnicy_średnie[[#This Row],[dreb]])/tbl_zawodnicy_średnie[[#This Row],[min]],0)</f>
        <v>0.1440677966101695</v>
      </c>
      <c r="AL74" s="6">
        <f t="shared" si="43"/>
        <v>8.8500000000000014</v>
      </c>
      <c r="AM74" s="6">
        <f>IFERROR(tbl_zawodnicy_średnie[[#This Row],[GmSc]]*(40/tbl_zawodnicy_średnie[[#This Row],[min]]),0)</f>
        <v>12.000000000000002</v>
      </c>
      <c r="AN74" s="6">
        <f>IFERROR(tbl_zawodnicy_średnie[[#This Row],[EVAL]]*(40/tbl_zawodnicy_średnie[[#This Row],[min]]),0)</f>
        <v>12.203389830508474</v>
      </c>
      <c r="AO74" s="6">
        <f>tbl_zawodnicy_średnie[[#This Row],[fgm]]-tbl_zawodnicy_średnie[[#This Row],[3pm]]</f>
        <v>3.5</v>
      </c>
      <c r="AP74" s="6">
        <f>tbl_zawodnicy_średnie[[#This Row],[fga]]-tbl_zawodnicy_średnie[[#This Row],[3pa]]</f>
        <v>9</v>
      </c>
      <c r="AR74" s="6" t="str">
        <f>tbl_zawodnicy_średnie[[#This Row],[I. Nazwisko]]&amp;" ["&amp;VLOOKUP(tbl_zawodnicy_średnie[[#This Row],[zespół]],tab_nazwy_zespołów[],2,0)&amp;"]"</f>
        <v>F. Siemiątkowski [ŁOD]</v>
      </c>
    </row>
    <row r="75" spans="1:44" x14ac:dyDescent="0.35">
      <c r="A75" t="s">
        <v>19</v>
      </c>
      <c r="B75" t="s">
        <v>398</v>
      </c>
      <c r="C75" s="9">
        <f>SUMIF(tbl_główna_GRACZE[I. Nazwisko],tbl_zawodnicy_średnie[[#This Row],[I. Nazwisko]],tbl_główna_GRACZE[Played?])</f>
        <v>1</v>
      </c>
      <c r="D75" s="55">
        <f>IFERROR((SUMIF(tbl_główna_GRACZE[I. Nazwisko],tbl_zawodnicy_średnie[[#This Row],[I. Nazwisko]],tbl_główna_GRACZE[fgm]))/tbl_zawodnicy_średnie[[#This Row],[Played]],0)</f>
        <v>5</v>
      </c>
      <c r="E75" s="55">
        <f>IFERROR((SUMIF(tbl_główna_GRACZE[I. Nazwisko],tbl_zawodnicy_średnie[[#This Row],[I. Nazwisko]],tbl_główna_GRACZE[fga]))/tbl_zawodnicy_średnie[[#This Row],[Played]],0)</f>
        <v>11</v>
      </c>
      <c r="F75" s="55">
        <f>IFERROR((SUMIF(tbl_główna_GRACZE[I. Nazwisko],tbl_zawodnicy_średnie[[#This Row],[I. Nazwisko]],tbl_główna_GRACZE[3pm]))/tbl_zawodnicy_średnie[[#This Row],[Played]],0)</f>
        <v>2</v>
      </c>
      <c r="G75" s="55">
        <f>IFERROR((SUMIF(tbl_główna_GRACZE[I. Nazwisko],tbl_zawodnicy_średnie[[#This Row],[I. Nazwisko]],tbl_główna_GRACZE[3pa]))/tbl_zawodnicy_średnie[[#This Row],[Played]],0)</f>
        <v>5</v>
      </c>
      <c r="H75" s="55">
        <f>IFERROR((SUMIF(tbl_główna_GRACZE[I. Nazwisko],tbl_zawodnicy_średnie[[#This Row],[I. Nazwisko]],tbl_główna_GRACZE[ftm]))/tbl_zawodnicy_średnie[[#This Row],[Played]],0)</f>
        <v>1</v>
      </c>
      <c r="I75" s="55">
        <f>IFERROR((SUMIF(tbl_główna_GRACZE[I. Nazwisko],tbl_zawodnicy_średnie[[#This Row],[I. Nazwisko]],tbl_główna_GRACZE[fta]))/tbl_zawodnicy_średnie[[#This Row],[Played]],0)</f>
        <v>2</v>
      </c>
      <c r="J75" s="55">
        <f>IFERROR((SUMIF(tbl_główna_GRACZE[I. Nazwisko],tbl_zawodnicy_średnie[[#This Row],[I. Nazwisko]],tbl_główna_GRACZE[oreb]))/tbl_zawodnicy_średnie[[#This Row],[Played]],0)</f>
        <v>1</v>
      </c>
      <c r="K75" s="55">
        <f>IFERROR((SUMIF(tbl_główna_GRACZE[I. Nazwisko],tbl_zawodnicy_średnie[[#This Row],[I. Nazwisko]],tbl_główna_GRACZE[dreb]))/tbl_zawodnicy_średnie[[#This Row],[Played]],0)</f>
        <v>5</v>
      </c>
      <c r="L75" s="55">
        <f>IFERROR((SUMIF(tbl_główna_GRACZE[I. Nazwisko],tbl_zawodnicy_średnie[[#This Row],[I. Nazwisko]],tbl_główna_GRACZE[foul]))/tbl_zawodnicy_średnie[[#This Row],[Played]],0)</f>
        <v>2</v>
      </c>
      <c r="M75" s="55">
        <f>IFERROR((SUMIF(tbl_główna_GRACZE[I. Nazwisko],tbl_zawodnicy_średnie[[#This Row],[I. Nazwisko]],tbl_główna_GRACZE[stl]))/tbl_zawodnicy_średnie[[#This Row],[Played]],0)</f>
        <v>3</v>
      </c>
      <c r="N75" s="55">
        <f>IFERROR((SUMIF(tbl_główna_GRACZE[I. Nazwisko],tbl_zawodnicy_średnie[[#This Row],[I. Nazwisko]],tbl_główna_GRACZE[to]))/tbl_zawodnicy_średnie[[#This Row],[Played]],0)</f>
        <v>0</v>
      </c>
      <c r="O75" s="55">
        <f>IFERROR((SUMIF(tbl_główna_GRACZE[I. Nazwisko],tbl_zawodnicy_średnie[[#This Row],[I. Nazwisko]],tbl_główna_GRACZE[blk]))/tbl_zawodnicy_średnie[[#This Row],[Played]],0)</f>
        <v>1</v>
      </c>
      <c r="P75" s="55">
        <f>IFERROR((SUMIF(tbl_główna_GRACZE[I. Nazwisko],tbl_zawodnicy_średnie[[#This Row],[I. Nazwisko]],tbl_główna_GRACZE[asst]))/tbl_zawodnicy_średnie[[#This Row],[Played]],0)</f>
        <v>4</v>
      </c>
      <c r="Q75" s="55">
        <f>IFERROR((SUMIF(tbl_główna_GRACZE[I. Nazwisko],tbl_zawodnicy_średnie[[#This Row],[I. Nazwisko]],tbl_główna_GRACZE[min]))/tbl_zawodnicy_średnie[[#This Row],[Played]],0)</f>
        <v>23</v>
      </c>
      <c r="R75" s="55">
        <f>IFERROR((SUMIF(tbl_główna_GRACZE[I. Nazwisko],tbl_zawodnicy_średnie[[#This Row],[I. Nazwisko]],tbl_główna_GRACZE[pts]))/tbl_zawodnicy_średnie[[#This Row],[Played]],0)</f>
        <v>13</v>
      </c>
      <c r="S75" s="6">
        <f t="shared" si="33"/>
        <v>6</v>
      </c>
      <c r="T75" s="4">
        <f t="shared" si="34"/>
        <v>0.45454545454545453</v>
      </c>
      <c r="U75" s="4">
        <f t="shared" si="35"/>
        <v>0.4</v>
      </c>
      <c r="V75" s="4">
        <f t="shared" si="36"/>
        <v>0.5</v>
      </c>
      <c r="W75" s="4">
        <f>IFERROR(tbl_zawodnicy_średnie[[#This Row],[2pm]]/tbl_zawodnicy_średnie[[#This Row],[2pa]],0)</f>
        <v>0.5</v>
      </c>
      <c r="X75" s="4">
        <f t="shared" si="37"/>
        <v>0.54713804713804715</v>
      </c>
      <c r="Y75" s="4">
        <f t="shared" si="38"/>
        <v>0.54545454545454541</v>
      </c>
      <c r="Z75" s="6">
        <f t="shared" si="39"/>
        <v>20</v>
      </c>
      <c r="AA75" s="4">
        <f t="shared" si="40"/>
        <v>0.18181818181818182</v>
      </c>
      <c r="AB75" s="4">
        <f t="shared" si="41"/>
        <v>0.45454545454545453</v>
      </c>
      <c r="AC75" s="26">
        <f>IFERROR((SUMIF(tbl_główna_GRACZE[I. Nazwisko],tbl_zawodnicy_średnie[[#This Row],[I. Nazwisko]],tbl_główna_GRACZE[USG%]))/tbl_zawodnicy_średnie[[#This Row],[Played]],0)</f>
        <v>0.167607223476298</v>
      </c>
      <c r="AD75" s="25">
        <f>IFERROR(tbl_zawodnicy_średnie[[#This Row],[pts]]*(40/tbl_zawodnicy_średnie[[#This Row],[min]]),0)</f>
        <v>22.608695652173914</v>
      </c>
      <c r="AE75" s="25">
        <f>IFERROR(tbl_zawodnicy_średnie[[#This Row],[reb total]]*(40/tbl_zawodnicy_średnie[[#This Row],[min]]),0)</f>
        <v>10.434782608695652</v>
      </c>
      <c r="AF75" s="30">
        <f>IFERROR(tbl_zawodnicy_średnie[[#This Row],[asst]]*(40/tbl_zawodnicy_średnie[[#This Row],[min]]),0)</f>
        <v>6.9565217391304346</v>
      </c>
      <c r="AG75" s="5">
        <f t="shared" si="42"/>
        <v>1.1818181818181819</v>
      </c>
      <c r="AH75" s="5">
        <f>IFERROR((tbl_zawodnicy_średnie[[#This Row],[stl]]+tbl_zawodnicy_średnie[[#This Row],[blk]])*(40/tbl_zawodnicy_średnie[[#This Row],[min]]),0)</f>
        <v>6.9565217391304346</v>
      </c>
      <c r="AI75" s="24">
        <f>IFERROR((SUMIF(tbl_główna_GRACZE[I. Nazwisko],tbl_zawodnicy_średnie[[#This Row],[I. Nazwisko]],tbl_główna_GRACZE[DI]))/tbl_zawodnicy_średnie[[#This Row],[Played]],0)</f>
        <v>0.26666666666666666</v>
      </c>
      <c r="AJ75" s="25">
        <f>tbl_zawodnicy_średnie[[#This Row],[stl]]+tbl_zawodnicy_średnie[[#This Row],[blk]]+(tbl_zawodnicy_średnie[[#This Row],[dreb]]*0.5)</f>
        <v>6.5</v>
      </c>
      <c r="AK75" s="29">
        <f>IFERROR((tbl_zawodnicy_średnie[[#This Row],[stl]]+tbl_zawodnicy_średnie[[#This Row],[blk]]+0.5*tbl_zawodnicy_średnie[[#This Row],[dreb]])/tbl_zawodnicy_średnie[[#This Row],[min]],0)</f>
        <v>0.28260869565217389</v>
      </c>
      <c r="AL75" s="6">
        <f t="shared" si="43"/>
        <v>15.600000000000001</v>
      </c>
      <c r="AM75" s="6">
        <f>IFERROR(tbl_zawodnicy_średnie[[#This Row],[GmSc]]*(40/tbl_zawodnicy_średnie[[#This Row],[min]]),0)</f>
        <v>27.130434782608699</v>
      </c>
      <c r="AN75" s="6">
        <f>IFERROR(tbl_zawodnicy_średnie[[#This Row],[EVAL]]*(40/tbl_zawodnicy_średnie[[#This Row],[min]]),0)</f>
        <v>34.782608695652172</v>
      </c>
      <c r="AO75" s="6">
        <f>tbl_zawodnicy_średnie[[#This Row],[fgm]]-tbl_zawodnicy_średnie[[#This Row],[3pm]]</f>
        <v>3</v>
      </c>
      <c r="AP75" s="6">
        <f>tbl_zawodnicy_średnie[[#This Row],[fga]]-tbl_zawodnicy_średnie[[#This Row],[3pa]]</f>
        <v>6</v>
      </c>
      <c r="AR75" s="6" t="str">
        <f>tbl_zawodnicy_średnie[[#This Row],[I. Nazwisko]]&amp;" ["&amp;VLOOKUP(tbl_zawodnicy_średnie[[#This Row],[zespół]],tab_nazwy_zespołów[],2,0)&amp;"]"</f>
        <v>B. Konwicki [STA]</v>
      </c>
    </row>
    <row r="76" spans="1:44" x14ac:dyDescent="0.35">
      <c r="A76" t="s">
        <v>25</v>
      </c>
      <c r="B76" t="s">
        <v>399</v>
      </c>
      <c r="C76" s="9">
        <f>SUMIF(tbl_główna_GRACZE[I. Nazwisko],tbl_zawodnicy_średnie[[#This Row],[I. Nazwisko]],tbl_główna_GRACZE[Played?])</f>
        <v>1</v>
      </c>
      <c r="D76" s="55">
        <f>IFERROR((SUMIF(tbl_główna_GRACZE[I. Nazwisko],tbl_zawodnicy_średnie[[#This Row],[I. Nazwisko]],tbl_główna_GRACZE[fgm]))/tbl_zawodnicy_średnie[[#This Row],[Played]],0)</f>
        <v>4</v>
      </c>
      <c r="E76" s="55">
        <f>IFERROR((SUMIF(tbl_główna_GRACZE[I. Nazwisko],tbl_zawodnicy_średnie[[#This Row],[I. Nazwisko]],tbl_główna_GRACZE[fga]))/tbl_zawodnicy_średnie[[#This Row],[Played]],0)</f>
        <v>13</v>
      </c>
      <c r="F76" s="55">
        <f>IFERROR((SUMIF(tbl_główna_GRACZE[I. Nazwisko],tbl_zawodnicy_średnie[[#This Row],[I. Nazwisko]],tbl_główna_GRACZE[3pm]))/tbl_zawodnicy_średnie[[#This Row],[Played]],0)</f>
        <v>0</v>
      </c>
      <c r="G76" s="55">
        <f>IFERROR((SUMIF(tbl_główna_GRACZE[I. Nazwisko],tbl_zawodnicy_średnie[[#This Row],[I. Nazwisko]],tbl_główna_GRACZE[3pa]))/tbl_zawodnicy_średnie[[#This Row],[Played]],0)</f>
        <v>0</v>
      </c>
      <c r="H76" s="55">
        <f>IFERROR((SUMIF(tbl_główna_GRACZE[I. Nazwisko],tbl_zawodnicy_średnie[[#This Row],[I. Nazwisko]],tbl_główna_GRACZE[ftm]))/tbl_zawodnicy_średnie[[#This Row],[Played]],0)</f>
        <v>0</v>
      </c>
      <c r="I76" s="55">
        <f>IFERROR((SUMIF(tbl_główna_GRACZE[I. Nazwisko],tbl_zawodnicy_średnie[[#This Row],[I. Nazwisko]],tbl_główna_GRACZE[fta]))/tbl_zawodnicy_średnie[[#This Row],[Played]],0)</f>
        <v>0</v>
      </c>
      <c r="J76" s="55">
        <f>IFERROR((SUMIF(tbl_główna_GRACZE[I. Nazwisko],tbl_zawodnicy_średnie[[#This Row],[I. Nazwisko]],tbl_główna_GRACZE[oreb]))/tbl_zawodnicy_średnie[[#This Row],[Played]],0)</f>
        <v>2</v>
      </c>
      <c r="K76" s="55">
        <f>IFERROR((SUMIF(tbl_główna_GRACZE[I. Nazwisko],tbl_zawodnicy_średnie[[#This Row],[I. Nazwisko]],tbl_główna_GRACZE[dreb]))/tbl_zawodnicy_średnie[[#This Row],[Played]],0)</f>
        <v>6</v>
      </c>
      <c r="L76" s="55">
        <f>IFERROR((SUMIF(tbl_główna_GRACZE[I. Nazwisko],tbl_zawodnicy_średnie[[#This Row],[I. Nazwisko]],tbl_główna_GRACZE[foul]))/tbl_zawodnicy_średnie[[#This Row],[Played]],0)</f>
        <v>2</v>
      </c>
      <c r="M76" s="55">
        <f>IFERROR((SUMIF(tbl_główna_GRACZE[I. Nazwisko],tbl_zawodnicy_średnie[[#This Row],[I. Nazwisko]],tbl_główna_GRACZE[stl]))/tbl_zawodnicy_średnie[[#This Row],[Played]],0)</f>
        <v>1</v>
      </c>
      <c r="N76" s="55">
        <f>IFERROR((SUMIF(tbl_główna_GRACZE[I. Nazwisko],tbl_zawodnicy_średnie[[#This Row],[I. Nazwisko]],tbl_główna_GRACZE[to]))/tbl_zawodnicy_średnie[[#This Row],[Played]],0)</f>
        <v>0</v>
      </c>
      <c r="O76" s="55">
        <f>IFERROR((SUMIF(tbl_główna_GRACZE[I. Nazwisko],tbl_zawodnicy_średnie[[#This Row],[I. Nazwisko]],tbl_główna_GRACZE[blk]))/tbl_zawodnicy_średnie[[#This Row],[Played]],0)</f>
        <v>2</v>
      </c>
      <c r="P76" s="55">
        <f>IFERROR((SUMIF(tbl_główna_GRACZE[I. Nazwisko],tbl_zawodnicy_średnie[[#This Row],[I. Nazwisko]],tbl_główna_GRACZE[asst]))/tbl_zawodnicy_średnie[[#This Row],[Played]],0)</f>
        <v>5</v>
      </c>
      <c r="Q76" s="55">
        <f>IFERROR((SUMIF(tbl_główna_GRACZE[I. Nazwisko],tbl_zawodnicy_średnie[[#This Row],[I. Nazwisko]],tbl_główna_GRACZE[min]))/tbl_zawodnicy_średnie[[#This Row],[Played]],0)</f>
        <v>40</v>
      </c>
      <c r="R76" s="55">
        <f>IFERROR((SUMIF(tbl_główna_GRACZE[I. Nazwisko],tbl_zawodnicy_średnie[[#This Row],[I. Nazwisko]],tbl_główna_GRACZE[pts]))/tbl_zawodnicy_średnie[[#This Row],[Played]],0)</f>
        <v>8</v>
      </c>
      <c r="S76" s="6">
        <f t="shared" si="33"/>
        <v>8</v>
      </c>
      <c r="T76" s="4">
        <f t="shared" si="34"/>
        <v>0.30769230769230771</v>
      </c>
      <c r="U76" s="4">
        <f t="shared" si="35"/>
        <v>0</v>
      </c>
      <c r="V76" s="4">
        <f t="shared" si="36"/>
        <v>0</v>
      </c>
      <c r="W76" s="4">
        <f>IFERROR(tbl_zawodnicy_średnie[[#This Row],[2pm]]/tbl_zawodnicy_średnie[[#This Row],[2pa]],0)</f>
        <v>0.30769230769230771</v>
      </c>
      <c r="X76" s="4">
        <f t="shared" si="37"/>
        <v>0.30769230769230771</v>
      </c>
      <c r="Y76" s="4">
        <f t="shared" si="38"/>
        <v>0.30769230769230771</v>
      </c>
      <c r="Z76" s="6">
        <f t="shared" si="39"/>
        <v>15</v>
      </c>
      <c r="AA76" s="4">
        <f t="shared" si="40"/>
        <v>0</v>
      </c>
      <c r="AB76" s="4">
        <f t="shared" si="41"/>
        <v>0</v>
      </c>
      <c r="AC76" s="26">
        <f>IFERROR((SUMIF(tbl_główna_GRACZE[I. Nazwisko],tbl_zawodnicy_średnie[[#This Row],[I. Nazwisko]],tbl_główna_GRACZE[USG%]))/tbl_zawodnicy_średnie[[#This Row],[Played]],0)</f>
        <v>0.17926089354660785</v>
      </c>
      <c r="AD76" s="25">
        <f>IFERROR(tbl_zawodnicy_średnie[[#This Row],[pts]]*(40/tbl_zawodnicy_średnie[[#This Row],[min]]),0)</f>
        <v>8</v>
      </c>
      <c r="AE76" s="25">
        <f>IFERROR(tbl_zawodnicy_średnie[[#This Row],[reb total]]*(40/tbl_zawodnicy_średnie[[#This Row],[min]]),0)</f>
        <v>8</v>
      </c>
      <c r="AF76" s="30">
        <f>IFERROR(tbl_zawodnicy_średnie[[#This Row],[asst]]*(40/tbl_zawodnicy_średnie[[#This Row],[min]]),0)</f>
        <v>5</v>
      </c>
      <c r="AG76" s="5">
        <f t="shared" si="42"/>
        <v>0.61538461538461542</v>
      </c>
      <c r="AH76" s="5">
        <f>IFERROR((tbl_zawodnicy_średnie[[#This Row],[stl]]+tbl_zawodnicy_średnie[[#This Row],[blk]])*(40/tbl_zawodnicy_średnie[[#This Row],[min]]),0)</f>
        <v>3</v>
      </c>
      <c r="AI76" s="24">
        <f>IFERROR((SUMIF(tbl_główna_GRACZE[I. Nazwisko],tbl_zawodnicy_średnie[[#This Row],[I. Nazwisko]],tbl_główna_GRACZE[DI]))/tbl_zawodnicy_średnie[[#This Row],[Played]],0)</f>
        <v>0.2</v>
      </c>
      <c r="AJ76" s="25">
        <f>tbl_zawodnicy_średnie[[#This Row],[stl]]+tbl_zawodnicy_średnie[[#This Row],[blk]]+(tbl_zawodnicy_średnie[[#This Row],[dreb]]*0.5)</f>
        <v>6</v>
      </c>
      <c r="AK76" s="29">
        <f>IFERROR((tbl_zawodnicy_średnie[[#This Row],[stl]]+tbl_zawodnicy_średnie[[#This Row],[blk]]+0.5*tbl_zawodnicy_średnie[[#This Row],[dreb]])/tbl_zawodnicy_średnie[[#This Row],[min]],0)</f>
        <v>0.15</v>
      </c>
      <c r="AL76" s="6">
        <f t="shared" si="43"/>
        <v>9.6</v>
      </c>
      <c r="AM76" s="6">
        <f>IFERROR(tbl_zawodnicy_średnie[[#This Row],[GmSc]]*(40/tbl_zawodnicy_średnie[[#This Row],[min]]),0)</f>
        <v>9.6</v>
      </c>
      <c r="AN76" s="6">
        <f>IFERROR(tbl_zawodnicy_średnie[[#This Row],[EVAL]]*(40/tbl_zawodnicy_średnie[[#This Row],[min]]),0)</f>
        <v>15</v>
      </c>
      <c r="AO76" s="6">
        <f>tbl_zawodnicy_średnie[[#This Row],[fgm]]-tbl_zawodnicy_średnie[[#This Row],[3pm]]</f>
        <v>4</v>
      </c>
      <c r="AP76" s="6">
        <f>tbl_zawodnicy_średnie[[#This Row],[fga]]-tbl_zawodnicy_średnie[[#This Row],[3pa]]</f>
        <v>13</v>
      </c>
      <c r="AR76" s="6" t="str">
        <f>tbl_zawodnicy_średnie[[#This Row],[I. Nazwisko]]&amp;" ["&amp;VLOOKUP(tbl_zawodnicy_średnie[[#This Row],[zespół]],tab_nazwy_zespołów[],2,0)&amp;"]"</f>
        <v>M. Kutz [HUT]</v>
      </c>
    </row>
    <row r="77" spans="1:44" x14ac:dyDescent="0.35">
      <c r="A77" t="s">
        <v>25</v>
      </c>
      <c r="B77" t="s">
        <v>400</v>
      </c>
      <c r="C77" s="9">
        <f>SUMIF(tbl_główna_GRACZE[I. Nazwisko],tbl_zawodnicy_średnie[[#This Row],[I. Nazwisko]],tbl_główna_GRACZE[Played?])</f>
        <v>1</v>
      </c>
      <c r="D77" s="55">
        <f>IFERROR((SUMIF(tbl_główna_GRACZE[I. Nazwisko],tbl_zawodnicy_średnie[[#This Row],[I. Nazwisko]],tbl_główna_GRACZE[fgm]))/tbl_zawodnicy_średnie[[#This Row],[Played]],0)</f>
        <v>0</v>
      </c>
      <c r="E77" s="55">
        <f>IFERROR((SUMIF(tbl_główna_GRACZE[I. Nazwisko],tbl_zawodnicy_średnie[[#This Row],[I. Nazwisko]],tbl_główna_GRACZE[fga]))/tbl_zawodnicy_średnie[[#This Row],[Played]],0)</f>
        <v>2</v>
      </c>
      <c r="F77" s="55">
        <f>IFERROR((SUMIF(tbl_główna_GRACZE[I. Nazwisko],tbl_zawodnicy_średnie[[#This Row],[I. Nazwisko]],tbl_główna_GRACZE[3pm]))/tbl_zawodnicy_średnie[[#This Row],[Played]],0)</f>
        <v>0</v>
      </c>
      <c r="G77" s="55">
        <f>IFERROR((SUMIF(tbl_główna_GRACZE[I. Nazwisko],tbl_zawodnicy_średnie[[#This Row],[I. Nazwisko]],tbl_główna_GRACZE[3pa]))/tbl_zawodnicy_średnie[[#This Row],[Played]],0)</f>
        <v>0</v>
      </c>
      <c r="H77" s="55">
        <f>IFERROR((SUMIF(tbl_główna_GRACZE[I. Nazwisko],tbl_zawodnicy_średnie[[#This Row],[I. Nazwisko]],tbl_główna_GRACZE[ftm]))/tbl_zawodnicy_średnie[[#This Row],[Played]],0)</f>
        <v>0</v>
      </c>
      <c r="I77" s="55">
        <f>IFERROR((SUMIF(tbl_główna_GRACZE[I. Nazwisko],tbl_zawodnicy_średnie[[#This Row],[I. Nazwisko]],tbl_główna_GRACZE[fta]))/tbl_zawodnicy_średnie[[#This Row],[Played]],0)</f>
        <v>0</v>
      </c>
      <c r="J77" s="55">
        <f>IFERROR((SUMIF(tbl_główna_GRACZE[I. Nazwisko],tbl_zawodnicy_średnie[[#This Row],[I. Nazwisko]],tbl_główna_GRACZE[oreb]))/tbl_zawodnicy_średnie[[#This Row],[Played]],0)</f>
        <v>1</v>
      </c>
      <c r="K77" s="55">
        <f>IFERROR((SUMIF(tbl_główna_GRACZE[I. Nazwisko],tbl_zawodnicy_średnie[[#This Row],[I. Nazwisko]],tbl_główna_GRACZE[dreb]))/tbl_zawodnicy_średnie[[#This Row],[Played]],0)</f>
        <v>5</v>
      </c>
      <c r="L77" s="55">
        <f>IFERROR((SUMIF(tbl_główna_GRACZE[I. Nazwisko],tbl_zawodnicy_średnie[[#This Row],[I. Nazwisko]],tbl_główna_GRACZE[foul]))/tbl_zawodnicy_średnie[[#This Row],[Played]],0)</f>
        <v>1</v>
      </c>
      <c r="M77" s="55">
        <f>IFERROR((SUMIF(tbl_główna_GRACZE[I. Nazwisko],tbl_zawodnicy_średnie[[#This Row],[I. Nazwisko]],tbl_główna_GRACZE[stl]))/tbl_zawodnicy_średnie[[#This Row],[Played]],0)</f>
        <v>1</v>
      </c>
      <c r="N77" s="55">
        <f>IFERROR((SUMIF(tbl_główna_GRACZE[I. Nazwisko],tbl_zawodnicy_średnie[[#This Row],[I. Nazwisko]],tbl_główna_GRACZE[to]))/tbl_zawodnicy_średnie[[#This Row],[Played]],0)</f>
        <v>0</v>
      </c>
      <c r="O77" s="55">
        <f>IFERROR((SUMIF(tbl_główna_GRACZE[I. Nazwisko],tbl_zawodnicy_średnie[[#This Row],[I. Nazwisko]],tbl_główna_GRACZE[blk]))/tbl_zawodnicy_średnie[[#This Row],[Played]],0)</f>
        <v>1</v>
      </c>
      <c r="P77" s="55">
        <f>IFERROR((SUMIF(tbl_główna_GRACZE[I. Nazwisko],tbl_zawodnicy_średnie[[#This Row],[I. Nazwisko]],tbl_główna_GRACZE[asst]))/tbl_zawodnicy_średnie[[#This Row],[Played]],0)</f>
        <v>1</v>
      </c>
      <c r="Q77" s="55">
        <f>IFERROR((SUMIF(tbl_główna_GRACZE[I. Nazwisko],tbl_zawodnicy_średnie[[#This Row],[I. Nazwisko]],tbl_główna_GRACZE[min]))/tbl_zawodnicy_średnie[[#This Row],[Played]],0)</f>
        <v>24</v>
      </c>
      <c r="R77" s="55">
        <f>IFERROR((SUMIF(tbl_główna_GRACZE[I. Nazwisko],tbl_zawodnicy_średnie[[#This Row],[I. Nazwisko]],tbl_główna_GRACZE[pts]))/tbl_zawodnicy_średnie[[#This Row],[Played]],0)</f>
        <v>0</v>
      </c>
      <c r="S77" s="6">
        <f t="shared" si="33"/>
        <v>6</v>
      </c>
      <c r="T77" s="4">
        <f t="shared" si="34"/>
        <v>0</v>
      </c>
      <c r="U77" s="4">
        <f t="shared" si="35"/>
        <v>0</v>
      </c>
      <c r="V77" s="4">
        <f t="shared" si="36"/>
        <v>0</v>
      </c>
      <c r="W77" s="4">
        <f>IFERROR(tbl_zawodnicy_średnie[[#This Row],[2pm]]/tbl_zawodnicy_średnie[[#This Row],[2pa]],0)</f>
        <v>0</v>
      </c>
      <c r="X77" s="4">
        <f t="shared" si="37"/>
        <v>0</v>
      </c>
      <c r="Y77" s="4">
        <f t="shared" si="38"/>
        <v>0</v>
      </c>
      <c r="Z77" s="6">
        <f t="shared" si="39"/>
        <v>7</v>
      </c>
      <c r="AA77" s="4">
        <f t="shared" si="40"/>
        <v>0</v>
      </c>
      <c r="AB77" s="4">
        <f t="shared" si="41"/>
        <v>0</v>
      </c>
      <c r="AC77" s="26">
        <f>IFERROR((SUMIF(tbl_główna_GRACZE[I. Nazwisko],tbl_zawodnicy_średnie[[#This Row],[I. Nazwisko]],tbl_główna_GRACZE[USG%]))/tbl_zawodnicy_średnie[[#This Row],[Played]],0)</f>
        <v>2.7578599007170437E-2</v>
      </c>
      <c r="AD77" s="25">
        <f>IFERROR(tbl_zawodnicy_średnie[[#This Row],[pts]]*(40/tbl_zawodnicy_średnie[[#This Row],[min]]),0)</f>
        <v>0</v>
      </c>
      <c r="AE77" s="25">
        <f>IFERROR(tbl_zawodnicy_średnie[[#This Row],[reb total]]*(40/tbl_zawodnicy_średnie[[#This Row],[min]]),0)</f>
        <v>10</v>
      </c>
      <c r="AF77" s="30">
        <f>IFERROR(tbl_zawodnicy_średnie[[#This Row],[asst]]*(40/tbl_zawodnicy_średnie[[#This Row],[min]]),0)</f>
        <v>1.6666666666666667</v>
      </c>
      <c r="AG77" s="5">
        <f t="shared" si="42"/>
        <v>0</v>
      </c>
      <c r="AH77" s="5">
        <f>IFERROR((tbl_zawodnicy_średnie[[#This Row],[stl]]+tbl_zawodnicy_średnie[[#This Row],[blk]])*(40/tbl_zawodnicy_średnie[[#This Row],[min]]),0)</f>
        <v>3.3333333333333335</v>
      </c>
      <c r="AI77" s="24">
        <f>IFERROR((SUMIF(tbl_główna_GRACZE[I. Nazwisko],tbl_zawodnicy_średnie[[#This Row],[I. Nazwisko]],tbl_główna_GRACZE[DI]))/tbl_zawodnicy_średnie[[#This Row],[Played]],0)</f>
        <v>0.13333333333333333</v>
      </c>
      <c r="AJ77" s="25">
        <f>tbl_zawodnicy_średnie[[#This Row],[stl]]+tbl_zawodnicy_średnie[[#This Row],[blk]]+(tbl_zawodnicy_średnie[[#This Row],[dreb]]*0.5)</f>
        <v>4.5</v>
      </c>
      <c r="AK77" s="29">
        <f>IFERROR((tbl_zawodnicy_średnie[[#This Row],[stl]]+tbl_zawodnicy_średnie[[#This Row],[blk]]+0.5*tbl_zawodnicy_średnie[[#This Row],[dreb]])/tbl_zawodnicy_średnie[[#This Row],[min]],0)</f>
        <v>0.1875</v>
      </c>
      <c r="AL77" s="6">
        <f t="shared" si="43"/>
        <v>3.2</v>
      </c>
      <c r="AM77" s="6">
        <f>IFERROR(tbl_zawodnicy_średnie[[#This Row],[GmSc]]*(40/tbl_zawodnicy_średnie[[#This Row],[min]]),0)</f>
        <v>5.3333333333333339</v>
      </c>
      <c r="AN77" s="6">
        <f>IFERROR(tbl_zawodnicy_średnie[[#This Row],[EVAL]]*(40/tbl_zawodnicy_średnie[[#This Row],[min]]),0)</f>
        <v>11.666666666666668</v>
      </c>
      <c r="AO77" s="6">
        <f>tbl_zawodnicy_średnie[[#This Row],[fgm]]-tbl_zawodnicy_średnie[[#This Row],[3pm]]</f>
        <v>0</v>
      </c>
      <c r="AP77" s="6">
        <f>tbl_zawodnicy_średnie[[#This Row],[fga]]-tbl_zawodnicy_średnie[[#This Row],[3pa]]</f>
        <v>2</v>
      </c>
      <c r="AR77" s="6" t="str">
        <f>tbl_zawodnicy_średnie[[#This Row],[I. Nazwisko]]&amp;" ["&amp;VLOOKUP(tbl_zawodnicy_średnie[[#This Row],[zespół]],tab_nazwy_zespołów[],2,0)&amp;"]"</f>
        <v>W. Pyszyński [HUT]</v>
      </c>
    </row>
    <row r="78" spans="1:44" x14ac:dyDescent="0.35">
      <c r="A78" s="58" t="s">
        <v>48</v>
      </c>
      <c r="B78" t="s">
        <v>406</v>
      </c>
      <c r="C78" s="9">
        <f>SUMIF(tbl_główna_GRACZE[I. Nazwisko],tbl_zawodnicy_średnie[[#This Row],[I. Nazwisko]],tbl_główna_GRACZE[Played?])</f>
        <v>1</v>
      </c>
      <c r="D78" s="55">
        <f>IFERROR((SUMIF(tbl_główna_GRACZE[I. Nazwisko],tbl_zawodnicy_średnie[[#This Row],[I. Nazwisko]],tbl_główna_GRACZE[fgm]))/tbl_zawodnicy_średnie[[#This Row],[Played]],0)</f>
        <v>3</v>
      </c>
      <c r="E78" s="55">
        <f>IFERROR((SUMIF(tbl_główna_GRACZE[I. Nazwisko],tbl_zawodnicy_średnie[[#This Row],[I. Nazwisko]],tbl_główna_GRACZE[fga]))/tbl_zawodnicy_średnie[[#This Row],[Played]],0)</f>
        <v>13</v>
      </c>
      <c r="F78" s="55">
        <f>IFERROR((SUMIF(tbl_główna_GRACZE[I. Nazwisko],tbl_zawodnicy_średnie[[#This Row],[I. Nazwisko]],tbl_główna_GRACZE[3pm]))/tbl_zawodnicy_średnie[[#This Row],[Played]],0)</f>
        <v>1</v>
      </c>
      <c r="G78" s="55">
        <f>IFERROR((SUMIF(tbl_główna_GRACZE[I. Nazwisko],tbl_zawodnicy_średnie[[#This Row],[I. Nazwisko]],tbl_główna_GRACZE[3pa]))/tbl_zawodnicy_średnie[[#This Row],[Played]],0)</f>
        <v>6</v>
      </c>
      <c r="H78" s="55">
        <f>IFERROR((SUMIF(tbl_główna_GRACZE[I. Nazwisko],tbl_zawodnicy_średnie[[#This Row],[I. Nazwisko]],tbl_główna_GRACZE[ftm]))/tbl_zawodnicy_średnie[[#This Row],[Played]],0)</f>
        <v>6</v>
      </c>
      <c r="I78" s="55">
        <f>IFERROR((SUMIF(tbl_główna_GRACZE[I. Nazwisko],tbl_zawodnicy_średnie[[#This Row],[I. Nazwisko]],tbl_główna_GRACZE[fta]))/tbl_zawodnicy_średnie[[#This Row],[Played]],0)</f>
        <v>9</v>
      </c>
      <c r="J78" s="55">
        <f>IFERROR((SUMIF(tbl_główna_GRACZE[I. Nazwisko],tbl_zawodnicy_średnie[[#This Row],[I. Nazwisko]],tbl_główna_GRACZE[oreb]))/tbl_zawodnicy_średnie[[#This Row],[Played]],0)</f>
        <v>7</v>
      </c>
      <c r="K78" s="55">
        <f>IFERROR((SUMIF(tbl_główna_GRACZE[I. Nazwisko],tbl_zawodnicy_średnie[[#This Row],[I. Nazwisko]],tbl_główna_GRACZE[dreb]))/tbl_zawodnicy_średnie[[#This Row],[Played]],0)</f>
        <v>13</v>
      </c>
      <c r="L78" s="55">
        <f>IFERROR((SUMIF(tbl_główna_GRACZE[I. Nazwisko],tbl_zawodnicy_średnie[[#This Row],[I. Nazwisko]],tbl_główna_GRACZE[foul]))/tbl_zawodnicy_średnie[[#This Row],[Played]],0)</f>
        <v>0</v>
      </c>
      <c r="M78" s="55">
        <f>IFERROR((SUMIF(tbl_główna_GRACZE[I. Nazwisko],tbl_zawodnicy_średnie[[#This Row],[I. Nazwisko]],tbl_główna_GRACZE[stl]))/tbl_zawodnicy_średnie[[#This Row],[Played]],0)</f>
        <v>4</v>
      </c>
      <c r="N78" s="55">
        <f>IFERROR((SUMIF(tbl_główna_GRACZE[I. Nazwisko],tbl_zawodnicy_średnie[[#This Row],[I. Nazwisko]],tbl_główna_GRACZE[to]))/tbl_zawodnicy_średnie[[#This Row],[Played]],0)</f>
        <v>0</v>
      </c>
      <c r="O78" s="55">
        <f>IFERROR((SUMIF(tbl_główna_GRACZE[I. Nazwisko],tbl_zawodnicy_średnie[[#This Row],[I. Nazwisko]],tbl_główna_GRACZE[blk]))/tbl_zawodnicy_średnie[[#This Row],[Played]],0)</f>
        <v>2</v>
      </c>
      <c r="P78" s="55">
        <f>IFERROR((SUMIF(tbl_główna_GRACZE[I. Nazwisko],tbl_zawodnicy_średnie[[#This Row],[I. Nazwisko]],tbl_główna_GRACZE[asst]))/tbl_zawodnicy_średnie[[#This Row],[Played]],0)</f>
        <v>2</v>
      </c>
      <c r="Q78" s="55">
        <f>IFERROR((SUMIF(tbl_główna_GRACZE[I. Nazwisko],tbl_zawodnicy_średnie[[#This Row],[I. Nazwisko]],tbl_główna_GRACZE[min]))/tbl_zawodnicy_średnie[[#This Row],[Played]],0)</f>
        <v>29</v>
      </c>
      <c r="R78" s="55">
        <f>IFERROR((SUMIF(tbl_główna_GRACZE[I. Nazwisko],tbl_zawodnicy_średnie[[#This Row],[I. Nazwisko]],tbl_główna_GRACZE[pts]))/tbl_zawodnicy_średnie[[#This Row],[Played]],0)</f>
        <v>13</v>
      </c>
      <c r="S78" s="6">
        <f>J78+K78</f>
        <v>20</v>
      </c>
      <c r="T78" s="4">
        <f>IFERROR(D78/E78,0)</f>
        <v>0.23076923076923078</v>
      </c>
      <c r="U78" s="4">
        <f>IFERROR(F78/G78,0)</f>
        <v>0.16666666666666666</v>
      </c>
      <c r="V78" s="4">
        <f>IFERROR(H78/I78,0)</f>
        <v>0.66666666666666663</v>
      </c>
      <c r="W78" s="4">
        <f>IFERROR(tbl_zawodnicy_średnie[[#This Row],[2pm]]/tbl_zawodnicy_średnie[[#This Row],[2pa]],0)</f>
        <v>0.2857142857142857</v>
      </c>
      <c r="X78" s="4">
        <f>IFERROR(R78/(2*(E78+0.44*I78)),0)</f>
        <v>0.38325471698113206</v>
      </c>
      <c r="Y78" s="4">
        <f>IFERROR((D78+0.5*F78)/E78,0)</f>
        <v>0.26923076923076922</v>
      </c>
      <c r="Z78" s="6">
        <f>M78+O78+P78+R78+S78-(E78-D78)-(I78-H78)</f>
        <v>28</v>
      </c>
      <c r="AA78" s="4">
        <f>IFERROR(I78/E78,)</f>
        <v>0.69230769230769229</v>
      </c>
      <c r="AB78" s="4">
        <f>IFERROR(G78/E78,0)</f>
        <v>0.46153846153846156</v>
      </c>
      <c r="AC78" s="26">
        <f>IFERROR((SUMIF(tbl_główna_GRACZE[I. Nazwisko],tbl_zawodnicy_średnie[[#This Row],[I. Nazwisko]],tbl_główna_GRACZE[USG%]))/tbl_zawodnicy_średnie[[#This Row],[Played]],0)</f>
        <v>0.17996604414261461</v>
      </c>
      <c r="AD78" s="25">
        <f>IFERROR(tbl_zawodnicy_średnie[[#This Row],[pts]]*(40/tbl_zawodnicy_średnie[[#This Row],[min]]),0)</f>
        <v>17.931034482758623</v>
      </c>
      <c r="AE78" s="25">
        <f>IFERROR(tbl_zawodnicy_średnie[[#This Row],[reb total]]*(40/tbl_zawodnicy_średnie[[#This Row],[min]]),0)</f>
        <v>27.586206896551726</v>
      </c>
      <c r="AF78" s="30">
        <f>IFERROR(tbl_zawodnicy_średnie[[#This Row],[asst]]*(40/tbl_zawodnicy_średnie[[#This Row],[min]]),0)</f>
        <v>2.7586206896551726</v>
      </c>
      <c r="AG78" s="5">
        <f>IFERROR(R78/E78,0)</f>
        <v>1</v>
      </c>
      <c r="AH78" s="5">
        <f>IFERROR((tbl_zawodnicy_średnie[[#This Row],[stl]]+tbl_zawodnicy_średnie[[#This Row],[blk]])*(40/tbl_zawodnicy_średnie[[#This Row],[min]]),0)</f>
        <v>8.2758620689655178</v>
      </c>
      <c r="AI78" s="24">
        <f>IFERROR((SUMIF(tbl_główna_GRACZE[I. Nazwisko],tbl_zawodnicy_średnie[[#This Row],[I. Nazwisko]],tbl_główna_GRACZE[DI]))/tbl_zawodnicy_średnie[[#This Row],[Played]],0)</f>
        <v>0.3</v>
      </c>
      <c r="AJ78" s="25">
        <f>tbl_zawodnicy_średnie[[#This Row],[stl]]+tbl_zawodnicy_średnie[[#This Row],[blk]]+(tbl_zawodnicy_średnie[[#This Row],[dreb]]*0.5)</f>
        <v>12.5</v>
      </c>
      <c r="AK78" s="29">
        <f>IFERROR((tbl_zawodnicy_średnie[[#This Row],[stl]]+tbl_zawodnicy_średnie[[#This Row],[blk]]+0.5*tbl_zawodnicy_średnie[[#This Row],[dreb]])/tbl_zawodnicy_średnie[[#This Row],[min]],0)</f>
        <v>0.43103448275862066</v>
      </c>
      <c r="AL78" s="6">
        <f>IFERROR(R78+0.4*D78-0.7*E78-0.4*(I78-H78)+0.7*J78+0.3*K78+M78+0.7*P78+0.7*O78,0)</f>
        <v>19.499999999999996</v>
      </c>
      <c r="AM78" s="6">
        <f>IFERROR(tbl_zawodnicy_średnie[[#This Row],[GmSc]]*(40/tbl_zawodnicy_średnie[[#This Row],[min]]),0)</f>
        <v>26.896551724137929</v>
      </c>
      <c r="AN78" s="6">
        <f>IFERROR(tbl_zawodnicy_średnie[[#This Row],[EVAL]]*(40/tbl_zawodnicy_średnie[[#This Row],[min]]),0)</f>
        <v>38.620689655172413</v>
      </c>
      <c r="AO78" s="6">
        <f>tbl_zawodnicy_średnie[[#This Row],[fgm]]-tbl_zawodnicy_średnie[[#This Row],[3pm]]</f>
        <v>2</v>
      </c>
      <c r="AP78" s="6">
        <f>tbl_zawodnicy_średnie[[#This Row],[fga]]-tbl_zawodnicy_średnie[[#This Row],[3pa]]</f>
        <v>7</v>
      </c>
      <c r="AR78" s="6" t="str">
        <f>tbl_zawodnicy_średnie[[#This Row],[I. Nazwisko]]&amp;" ["&amp;VLOOKUP(tbl_zawodnicy_średnie[[#This Row],[zespół]],tab_nazwy_zespołów[],2,0)&amp;"]"</f>
        <v>T. Gortat [ŁOD]</v>
      </c>
    </row>
  </sheetData>
  <sheetProtection algorithmName="SHA-512" hashValue="2nSt39NOX1Gv1NzrTAjDJJF+IGNPMYUvkCxPaBIyBTFKhT8Opk1XkKQDlRv0xijvmYL96cBSuuUtgtbCTHo7OA==" saltValue="f4MhAU1C/eug5CHtApAL6w==" spinCount="100000" sheet="1" objects="1" scenarios="1"/>
  <phoneticPr fontId="4" type="noConversion"/>
  <conditionalFormatting sqref="D11:D78"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:E78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:F78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:G78"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H78"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:I78"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max"/>
        <color rgb="FFFCFCFF"/>
        <color rgb="FF63BE7B"/>
      </colorScale>
    </cfRule>
  </conditionalFormatting>
  <conditionalFormatting sqref="J11:J78"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:K78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L78"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1:M78"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1:O78"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P78"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:Q78"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:R78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:S78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:T78"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:U78"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:W78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:X78"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:Y78"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:Z78"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1:AA78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1:AB78"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1:AC78"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1:AD78"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1:AE78"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1:AF78"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1:AG78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1:AH78"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1:AI78"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11:AJ78"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11:AK78"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1:AL78"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1:AM7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1:AN7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1:AP78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11:AO7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1:AP7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A8BB-2FDF-4D6C-BCFF-1E2BD71271E6}">
  <dimension ref="A1:BK27"/>
  <sheetViews>
    <sheetView workbookViewId="0">
      <selection activeCell="O16" sqref="O16"/>
    </sheetView>
  </sheetViews>
  <sheetFormatPr defaultRowHeight="14.5" x14ac:dyDescent="0.35"/>
  <cols>
    <col min="1" max="1" width="15.7265625" bestFit="1" customWidth="1"/>
    <col min="2" max="2" width="3.6328125" customWidth="1"/>
    <col min="3" max="5" width="2.6328125" customWidth="1"/>
    <col min="6" max="45" width="7.1796875" customWidth="1"/>
    <col min="47" max="63" width="5.6328125" customWidth="1"/>
  </cols>
  <sheetData>
    <row r="1" spans="1:63" x14ac:dyDescent="0.35">
      <c r="P1" t="s">
        <v>157</v>
      </c>
    </row>
    <row r="2" spans="1:63" ht="53.5" x14ac:dyDescent="0.35">
      <c r="AA2" s="27"/>
      <c r="AB2" s="27"/>
      <c r="AC2" s="27"/>
      <c r="AD2" s="27"/>
      <c r="AE2" s="27"/>
      <c r="AF2" s="27"/>
      <c r="AG2" s="27"/>
      <c r="AH2" s="27"/>
      <c r="AI2" s="27"/>
      <c r="AJ2" s="27" t="s">
        <v>122</v>
      </c>
      <c r="AK2" s="27" t="s">
        <v>130</v>
      </c>
      <c r="AL2" s="27" t="s">
        <v>154</v>
      </c>
      <c r="AM2" s="27"/>
      <c r="AN2" s="27"/>
      <c r="AO2" s="27"/>
      <c r="AP2" s="27"/>
      <c r="AQ2" s="27" t="s">
        <v>142</v>
      </c>
      <c r="AR2" s="27" t="s">
        <v>145</v>
      </c>
      <c r="AS2" s="27"/>
    </row>
    <row r="3" spans="1:63" ht="58" x14ac:dyDescent="0.35">
      <c r="AA3" s="8" t="s">
        <v>67</v>
      </c>
      <c r="AB3" s="8" t="s">
        <v>61</v>
      </c>
      <c r="AC3" s="8" t="s">
        <v>63</v>
      </c>
      <c r="AD3" s="8" t="s">
        <v>125</v>
      </c>
      <c r="AE3" s="8" t="s">
        <v>152</v>
      </c>
      <c r="AF3" s="36" t="s">
        <v>127</v>
      </c>
      <c r="AG3" s="36" t="s">
        <v>128</v>
      </c>
      <c r="AH3" s="36" t="s">
        <v>132</v>
      </c>
      <c r="AI3" s="36" t="s">
        <v>42</v>
      </c>
      <c r="AJ3" s="35" t="s">
        <v>121</v>
      </c>
      <c r="AK3" s="35" t="s">
        <v>131</v>
      </c>
      <c r="AL3" s="35" t="s">
        <v>148</v>
      </c>
      <c r="AM3" s="33"/>
      <c r="AN3" s="33"/>
      <c r="AO3" s="33"/>
      <c r="AP3" s="33"/>
      <c r="AQ3" s="34" t="s">
        <v>141</v>
      </c>
      <c r="AR3" s="34" t="s">
        <v>144</v>
      </c>
      <c r="AS3" s="8" t="s">
        <v>155</v>
      </c>
    </row>
    <row r="4" spans="1:63" x14ac:dyDescent="0.35">
      <c r="A4" s="49" t="s">
        <v>38</v>
      </c>
      <c r="B4" s="49" t="s">
        <v>149</v>
      </c>
      <c r="C4" s="49" t="s">
        <v>124</v>
      </c>
      <c r="D4" s="49" t="s">
        <v>113</v>
      </c>
      <c r="E4" s="49" t="s">
        <v>59</v>
      </c>
      <c r="F4" s="49" t="s">
        <v>26</v>
      </c>
      <c r="G4" s="49" t="s">
        <v>27</v>
      </c>
      <c r="H4" s="49" t="s">
        <v>28</v>
      </c>
      <c r="I4" s="49" t="s">
        <v>29</v>
      </c>
      <c r="J4" s="49" t="s">
        <v>30</v>
      </c>
      <c r="K4" s="49" t="s">
        <v>31</v>
      </c>
      <c r="L4" s="49" t="s">
        <v>2</v>
      </c>
      <c r="M4" s="49" t="s">
        <v>3</v>
      </c>
      <c r="N4" s="49" t="s">
        <v>4</v>
      </c>
      <c r="O4" s="49" t="s">
        <v>5</v>
      </c>
      <c r="P4" s="49" t="s">
        <v>6</v>
      </c>
      <c r="Q4" s="49" t="s">
        <v>7</v>
      </c>
      <c r="R4" s="49" t="s">
        <v>8</v>
      </c>
      <c r="S4" s="49" t="s">
        <v>9</v>
      </c>
      <c r="T4" s="49" t="s">
        <v>10</v>
      </c>
      <c r="U4" s="49" t="s">
        <v>32</v>
      </c>
      <c r="V4" s="50" t="s">
        <v>0</v>
      </c>
      <c r="W4" s="50" t="s">
        <v>33</v>
      </c>
      <c r="X4" s="50" t="s">
        <v>1</v>
      </c>
      <c r="Y4" s="49" t="s">
        <v>34</v>
      </c>
      <c r="Z4" s="49" t="s">
        <v>40</v>
      </c>
      <c r="AA4" s="49" t="s">
        <v>35</v>
      </c>
      <c r="AB4" s="49" t="s">
        <v>60</v>
      </c>
      <c r="AC4" s="49" t="s">
        <v>62</v>
      </c>
      <c r="AD4" s="49" t="s">
        <v>126</v>
      </c>
      <c r="AE4" s="49" t="s">
        <v>133</v>
      </c>
      <c r="AF4" s="49" t="s">
        <v>135</v>
      </c>
      <c r="AG4" s="49" t="s">
        <v>134</v>
      </c>
      <c r="AH4" s="49" t="s">
        <v>153</v>
      </c>
      <c r="AI4" s="49" t="s">
        <v>42</v>
      </c>
      <c r="AJ4" s="49" t="s">
        <v>120</v>
      </c>
      <c r="AK4" s="49" t="s">
        <v>123</v>
      </c>
      <c r="AL4" s="49" t="s">
        <v>147</v>
      </c>
      <c r="AM4" s="49" t="s">
        <v>136</v>
      </c>
      <c r="AN4" s="49" t="s">
        <v>137</v>
      </c>
      <c r="AO4" s="49" t="s">
        <v>138</v>
      </c>
      <c r="AP4" s="49" t="s">
        <v>139</v>
      </c>
      <c r="AQ4" s="49" t="s">
        <v>140</v>
      </c>
      <c r="AR4" s="49" t="s">
        <v>143</v>
      </c>
      <c r="AS4" s="51" t="s">
        <v>146</v>
      </c>
      <c r="AT4" s="49" t="s">
        <v>292</v>
      </c>
      <c r="AU4" s="49" t="s">
        <v>356</v>
      </c>
      <c r="AV4" s="49" t="s">
        <v>357</v>
      </c>
      <c r="AW4" s="49" t="s">
        <v>358</v>
      </c>
      <c r="AX4" s="49" t="s">
        <v>359</v>
      </c>
      <c r="AY4" s="49" t="s">
        <v>360</v>
      </c>
      <c r="AZ4" s="49" t="s">
        <v>361</v>
      </c>
      <c r="BA4" s="49" t="s">
        <v>362</v>
      </c>
      <c r="BB4" s="49" t="s">
        <v>363</v>
      </c>
      <c r="BC4" s="49" t="s">
        <v>364</v>
      </c>
      <c r="BD4" s="49" t="s">
        <v>372</v>
      </c>
      <c r="BE4" s="49" t="s">
        <v>373</v>
      </c>
      <c r="BF4" s="49" t="s">
        <v>374</v>
      </c>
      <c r="BG4" s="49" t="s">
        <v>375</v>
      </c>
      <c r="BH4" s="49" t="s">
        <v>376</v>
      </c>
      <c r="BI4" s="49" t="s">
        <v>377</v>
      </c>
      <c r="BJ4" s="49" t="s">
        <v>378</v>
      </c>
      <c r="BK4" s="49" t="s">
        <v>379</v>
      </c>
    </row>
    <row r="5" spans="1:63" x14ac:dyDescent="0.35">
      <c r="A5" s="46" t="s">
        <v>19</v>
      </c>
      <c r="B5" s="52">
        <f>SUMIF(tbl_ZESPOŁY_dane[zespół],Tabela5[[#This Row],[zespół]],tbl_ZESPOŁY_dane[played?])</f>
        <v>4</v>
      </c>
      <c r="C5" s="52"/>
      <c r="D5" s="52"/>
      <c r="E5" s="52"/>
      <c r="F5">
        <f>SUMIF(tbl_ZESPOŁY_dane[zespół],$A5,tbl_ZESPOŁY_dane[fgm])</f>
        <v>75</v>
      </c>
      <c r="G5">
        <f>SUMIF(tbl_ZESPOŁY_dane[zespół],$A5,tbl_ZESPOŁY_dane[fga])</f>
        <v>268</v>
      </c>
      <c r="H5">
        <f>SUMIF(tbl_ZESPOŁY_dane[zespół],$A5,tbl_ZESPOŁY_dane[3pm])</f>
        <v>13</v>
      </c>
      <c r="I5">
        <f>SUMIF(tbl_ZESPOŁY_dane[zespół],$A5,tbl_ZESPOŁY_dane[3pa])</f>
        <v>80</v>
      </c>
      <c r="J5">
        <f>SUMIF(tbl_ZESPOŁY_dane[zespół],$A5,tbl_ZESPOŁY_dane[ftm])</f>
        <v>15</v>
      </c>
      <c r="K5">
        <f>SUMIF(tbl_ZESPOŁY_dane[zespół],$A5,tbl_ZESPOŁY_dane[fta])</f>
        <v>26</v>
      </c>
      <c r="L5">
        <f>SUMIF(tbl_ZESPOŁY_dane[zespół],$A5,tbl_ZESPOŁY_dane[oreb])</f>
        <v>60</v>
      </c>
      <c r="M5">
        <f>SUMIF(tbl_ZESPOŁY_dane[zespół],$A5,tbl_ZESPOŁY_dane[dreb])</f>
        <v>124</v>
      </c>
      <c r="N5">
        <f>SUMIF(tbl_ZESPOŁY_dane[zespół],$A5,tbl_ZESPOŁY_dane[foul])</f>
        <v>43</v>
      </c>
      <c r="O5">
        <f>SUMIF(tbl_ZESPOŁY_dane[zespół],$A5,tbl_ZESPOŁY_dane[stl])</f>
        <v>35</v>
      </c>
      <c r="P5">
        <f>SUMIF(tbl_ZESPOŁY_dane[zespół],$A5,tbl_ZESPOŁY_dane[to])</f>
        <v>0</v>
      </c>
      <c r="Q5">
        <f>SUMIF(tbl_ZESPOŁY_dane[zespół],$A5,tbl_ZESPOŁY_dane[blk])</f>
        <v>13</v>
      </c>
      <c r="R5">
        <f>SUMIF(tbl_ZESPOŁY_dane[zespół],$A5,tbl_ZESPOŁY_dane[asst])</f>
        <v>46</v>
      </c>
      <c r="S5">
        <f>SUMIF(tbl_ZESPOŁY_dane[zespół],$A5,tbl_ZESPOŁY_dane[min])</f>
        <v>773</v>
      </c>
      <c r="T5">
        <f>SUMIF(tbl_ZESPOŁY_dane[zespół],$A5,tbl_ZESPOŁY_dane[pts])</f>
        <v>178</v>
      </c>
      <c r="U5">
        <f>Tabela5[[#This Row],[oreb]]+Tabela5[[#This Row],[dreb]]</f>
        <v>184</v>
      </c>
      <c r="V5" s="4">
        <f>Tabela5[[#This Row],[fgm]]/Tabela5[[#This Row],[fga]]</f>
        <v>0.27985074626865669</v>
      </c>
      <c r="W5" s="4">
        <f>Tabela5[[#This Row],[3pm]]/Tabela5[[#This Row],[3pa]]</f>
        <v>0.16250000000000001</v>
      </c>
      <c r="X5" s="4">
        <f>Tabela5[[#This Row],[ftm]]/Tabela5[[#This Row],[fta]]</f>
        <v>0.57692307692307687</v>
      </c>
      <c r="Y5" s="4">
        <f t="shared" ref="Y5:Y10" si="0">T5/(2*(G5+0.44*K5))</f>
        <v>0.31849413111938163</v>
      </c>
      <c r="Z5" s="4">
        <f t="shared" ref="Z5:Z10" si="1">(F5+0.5*H5)/G5</f>
        <v>0.30410447761194032</v>
      </c>
      <c r="AA5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252</v>
      </c>
      <c r="AB5" s="4">
        <f t="shared" ref="AB5:AB10" si="2">K5/G5</f>
        <v>9.7014925373134331E-2</v>
      </c>
      <c r="AC5" s="4">
        <f t="shared" ref="AC5:AC10" si="3">I5/G5</f>
        <v>0.29850746268656714</v>
      </c>
      <c r="AD5" s="6">
        <f>(Tabela5[[#This Row],[fga]]+0.44*Tabela5[[#This Row],[fta]]-Tabela5[[#This Row],[oreb]])/Tabela5[[#This Row],[Played]]</f>
        <v>54.86</v>
      </c>
      <c r="AE5" s="6">
        <f>(SUMIF(tbl_ZESPOŁY_dane[zespół],Tabela5[[#This Row],[zespół]],tbl_ZESPOŁY_dane[Pace]))/Tabela5[[#This Row],[Played]]</f>
        <v>57.589999999999996</v>
      </c>
      <c r="AF5" s="31">
        <f>(Tabela5[[#This Row],[pts]]/Tabela5[[#This Row],[Poss]]*100)/Tabela5[[#This Row],[Played]]</f>
        <v>81.115566897557429</v>
      </c>
      <c r="AG5" s="31">
        <f>(SUMIFS(tbl_ZESPOŁY_dane[Drating],tbl_ZESPOŁY_dane[zespół],Tabela5[[#This Row],[zespół]],tbl_ZESPOŁY_dane[played?],1))/Tabela5[[#This Row],[Played]]</f>
        <v>80.507075105276542</v>
      </c>
      <c r="AH5" s="6">
        <f>Tabela5[[#This Row],[Orating]]-Tabela5[[#This Row],[Drating]]</f>
        <v>0.60849179228088701</v>
      </c>
      <c r="AI5" s="5">
        <f t="shared" ref="AI5:AI10" si="4">T5/G5</f>
        <v>0.66417910447761197</v>
      </c>
      <c r="AJ5" s="4">
        <f>Tabela5[[#This Row],[asst]]/Tabela5[[#This Row],[fgm]]</f>
        <v>0.61333333333333329</v>
      </c>
      <c r="AK5" s="6">
        <f>Tabela5[[#This Row],[asst]]/Tabela5[[#This Row],[Poss]]*100</f>
        <v>83.849799489609921</v>
      </c>
      <c r="AL5" s="6">
        <f>(Tabela5[[#This Row],[eFG%]]*0.7+Tabela5[[#This Row],[AST%]]*0.3)*100</f>
        <v>39.687313432835822</v>
      </c>
      <c r="AM5" s="4">
        <f>Tabela5[[#This Row],[oreb]]/(Tabela5[[#This Row],[oreb]]+SUMIF(tbl_ZESPOŁY_dane[przeciwnik],Tabela5[[#This Row],[zespół]],tbl_ZESPOŁY_dane[dreb]))</f>
        <v>0.36585365853658536</v>
      </c>
      <c r="AN5" s="4">
        <f>Tabela5[[#This Row],[dreb]]/(Tabela5[[#This Row],[dreb]]+SUMIF(tbl_ZESPOŁY_dane[przeciwnik],Tabela5[[#This Row],[zespół]],tbl_ZESPOŁY_dane[oreb]))</f>
        <v>0.69273743016759781</v>
      </c>
      <c r="AO5" s="4">
        <f>Tabela5[[#This Row],[reb total]]/(Tabela5[[#This Row],[reb total]]+SUMIF(tbl_ZESPOŁY_dane[przeciwnik],Tabela5[[#This Row],[zespół]],tbl_ZESPOŁY_dane[reb total]))</f>
        <v>0.53644314868804666</v>
      </c>
      <c r="AP5">
        <f>Tabela5[[#This Row],[reb total]]-SUMIF(tbl_ZESPOŁY_dane[przeciwnik],Tabela5[[#This Row],[zespół]],tbl_ZESPOŁY_dane[reb total])</f>
        <v>25</v>
      </c>
      <c r="AQ5" s="4">
        <f>Tabela5[[#This Row],[oreb]]/(Tabela5[[#This Row],[fga]]-Tabela5[[#This Row],[fgm]])</f>
        <v>0.31088082901554404</v>
      </c>
      <c r="AR5">
        <f>(Tabela5[[#This Row],[oreb]]*1.1)+(Tabela5[[#This Row],[dreb]]*0.3)</f>
        <v>103.19999999999999</v>
      </c>
      <c r="AS5">
        <f t="shared" ref="AS5:AS10" si="5">T5+0.4*F5-0.7*G5-0.4*(K5-J5)+0.7*L5+0.3*M5+O5+0.7*R5+0.7*Q5</f>
        <v>171.49999999999997</v>
      </c>
      <c r="AT5" s="4">
        <f>(Tabela5[[#This Row],[fga]]-Tabela5[[#This Row],[3pa]])/Tabela5[[#This Row],[fga]]</f>
        <v>0.70149253731343286</v>
      </c>
      <c r="AU5">
        <f>SUMIF(tbl_ZESPOŁY_dane[zespół],Tabela5[[#This Row],[zespół]],tbl_ZESPOŁY_dane[Q1])</f>
        <v>43</v>
      </c>
      <c r="AV5">
        <f>SUMIF(tbl_ZESPOŁY_dane[zespół],Tabela5[[#This Row],[zespół]],tbl_ZESPOŁY_dane[Q2])</f>
        <v>44</v>
      </c>
      <c r="AW5">
        <f>SUMIF(tbl_ZESPOŁY_dane[zespół],Tabela5[[#This Row],[zespół]],tbl_ZESPOŁY_dane[Q3])</f>
        <v>50</v>
      </c>
      <c r="AX5">
        <f>SUMIF(tbl_ZESPOŁY_dane[zespół],Tabela5[[#This Row],[zespół]],tbl_ZESPOŁY_dane[Q4])</f>
        <v>41</v>
      </c>
      <c r="AY5">
        <f>SUMIF(tbl_ZESPOŁY_dane[zespół],Tabela5[[#This Row],[zespół]],tbl_ZESPOŁY_dane[O1])</f>
        <v>55</v>
      </c>
      <c r="AZ5">
        <f>SUMIF(tbl_ZESPOŁY_dane[zespół],Tabela5[[#This Row],[zespół]],tbl_ZESPOŁY_dane[O2])</f>
        <v>49</v>
      </c>
      <c r="BA5">
        <f>SUMIF(tbl_ZESPOŁY_dane[zespół],Tabela5[[#This Row],[zespół]],tbl_ZESPOŁY_dane[O3])</f>
        <v>39</v>
      </c>
      <c r="BB5">
        <f>SUMIF(tbl_ZESPOŁY_dane[zespół],Tabela5[[#This Row],[zespół]],tbl_ZESPOŁY_dane[O4])</f>
        <v>53</v>
      </c>
      <c r="BC5">
        <f>Tabela5[[#This Row],[O1]]+Tabela5[[#This Row],[O2]]+Tabela5[[#This Row],[O3]]+Tabela5[[#This Row],[O4]]</f>
        <v>196</v>
      </c>
      <c r="BD5" s="4">
        <f>Tabela5[[#This Row],[Q1]]/Tabela5[[#This Row],[pts]]</f>
        <v>0.24157303370786518</v>
      </c>
      <c r="BE5" s="4">
        <f>Tabela5[[#This Row],[Q2]]/Tabela5[[#This Row],[pts]]</f>
        <v>0.24719101123595505</v>
      </c>
      <c r="BF5" s="4">
        <f>Tabela5[[#This Row],[Q3]]/Tabela5[[#This Row],[pts]]</f>
        <v>0.2808988764044944</v>
      </c>
      <c r="BG5" s="4">
        <f>Tabela5[[#This Row],[Q4]]/Tabela5[[#This Row],[pts]]</f>
        <v>0.2303370786516854</v>
      </c>
      <c r="BH5" s="4">
        <f>Tabela5[[#This Row],[O1]]/Tabela5[[#This Row],[pts OPP]]</f>
        <v>0.28061224489795916</v>
      </c>
      <c r="BI5" s="4">
        <f>Tabela5[[#This Row],[O2]]/Tabela5[[#This Row],[pts OPP]]</f>
        <v>0.25</v>
      </c>
      <c r="BJ5" s="4">
        <f>Tabela5[[#This Row],[O3]]/Tabela5[[#This Row],[pts OPP]]</f>
        <v>0.19897959183673469</v>
      </c>
      <c r="BK5" s="4">
        <f>Tabela5[[#This Row],[O4]]/Tabela5[[#This Row],[pts OPP]]</f>
        <v>0.27040816326530615</v>
      </c>
    </row>
    <row r="6" spans="1:63" x14ac:dyDescent="0.35">
      <c r="A6" s="47" t="s">
        <v>25</v>
      </c>
      <c r="B6" s="32">
        <f>SUMIF(tbl_ZESPOŁY_dane[zespół],Tabela5[[#This Row],[zespół]],tbl_ZESPOŁY_dane[played?])</f>
        <v>4</v>
      </c>
      <c r="C6" s="32"/>
      <c r="D6" s="32"/>
      <c r="E6" s="32"/>
      <c r="F6">
        <f>SUMIF(tbl_ZESPOŁY_dane[zespół],$A6,tbl_ZESPOŁY_dane[fgm])</f>
        <v>97</v>
      </c>
      <c r="G6">
        <f>SUMIF(tbl_ZESPOŁY_dane[zespół],$A6,tbl_ZESPOŁY_dane[fga])</f>
        <v>283</v>
      </c>
      <c r="H6">
        <f>SUMIF(tbl_ZESPOŁY_dane[zespół],$A6,tbl_ZESPOŁY_dane[3pm])</f>
        <v>21</v>
      </c>
      <c r="I6">
        <f>SUMIF(tbl_ZESPOŁY_dane[zespół],$A6,tbl_ZESPOŁY_dane[3pa])</f>
        <v>103</v>
      </c>
      <c r="J6">
        <f>SUMIF(tbl_ZESPOŁY_dane[zespół],$A6,tbl_ZESPOŁY_dane[ftm])</f>
        <v>15</v>
      </c>
      <c r="K6">
        <f>SUMIF(tbl_ZESPOŁY_dane[zespół],$A6,tbl_ZESPOŁY_dane[fta])</f>
        <v>32</v>
      </c>
      <c r="L6">
        <f>SUMIF(tbl_ZESPOŁY_dane[zespół],$A6,tbl_ZESPOŁY_dane[oreb])</f>
        <v>56</v>
      </c>
      <c r="M6">
        <f>SUMIF(tbl_ZESPOŁY_dane[zespół],$A6,tbl_ZESPOŁY_dane[dreb])</f>
        <v>106</v>
      </c>
      <c r="N6">
        <f>SUMIF(tbl_ZESPOŁY_dane[zespół],$A6,tbl_ZESPOŁY_dane[foul])</f>
        <v>25</v>
      </c>
      <c r="O6">
        <f>SUMIF(tbl_ZESPOŁY_dane[zespół],$A6,tbl_ZESPOŁY_dane[stl])</f>
        <v>52</v>
      </c>
      <c r="P6">
        <f>SUMIF(tbl_ZESPOŁY_dane[zespół],$A6,tbl_ZESPOŁY_dane[to])</f>
        <v>0</v>
      </c>
      <c r="Q6">
        <f>SUMIF(tbl_ZESPOŁY_dane[zespół],$A6,tbl_ZESPOŁY_dane[blk])</f>
        <v>9</v>
      </c>
      <c r="R6">
        <f>SUMIF(tbl_ZESPOŁY_dane[zespół],$A6,tbl_ZESPOŁY_dane[asst])</f>
        <v>65</v>
      </c>
      <c r="S6">
        <f>SUMIF(tbl_ZESPOŁY_dane[zespół],$A6,tbl_ZESPOŁY_dane[min])</f>
        <v>755</v>
      </c>
      <c r="T6">
        <f>SUMIF(tbl_ZESPOŁY_dane[zespół],$A6,tbl_ZESPOŁY_dane[pts])</f>
        <v>232</v>
      </c>
      <c r="U6">
        <f>Tabela5[[#This Row],[oreb]]+Tabela5[[#This Row],[dreb]]</f>
        <v>162</v>
      </c>
      <c r="V6" s="4">
        <f>Tabela5[[#This Row],[fgm]]/Tabela5[[#This Row],[fga]]</f>
        <v>0.34275618374558303</v>
      </c>
      <c r="W6" s="4">
        <f>Tabela5[[#This Row],[3pm]]/Tabela5[[#This Row],[3pa]]</f>
        <v>0.20388349514563106</v>
      </c>
      <c r="X6" s="4">
        <f>Tabela5[[#This Row],[ftm]]/Tabela5[[#This Row],[fta]]</f>
        <v>0.46875</v>
      </c>
      <c r="Y6" s="4">
        <f t="shared" si="0"/>
        <v>0.39046721421839237</v>
      </c>
      <c r="Z6" s="4">
        <f t="shared" si="1"/>
        <v>0.37985865724381623</v>
      </c>
      <c r="AA6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317</v>
      </c>
      <c r="AB6" s="4">
        <f t="shared" si="2"/>
        <v>0.11307420494699646</v>
      </c>
      <c r="AC6" s="4">
        <f t="shared" si="3"/>
        <v>0.36395759717314485</v>
      </c>
      <c r="AD6" s="6">
        <f>(Tabela5[[#This Row],[fga]]+0.44*Tabela5[[#This Row],[fta]]-Tabela5[[#This Row],[oreb]])/Tabela5[[#This Row],[Played]]</f>
        <v>60.269999999999996</v>
      </c>
      <c r="AE6" s="6">
        <f>(SUMIF(tbl_ZESPOŁY_dane[zespół],Tabela5[[#This Row],[zespół]],tbl_ZESPOŁY_dane[Pace]))/Tabela5[[#This Row],[Played]]</f>
        <v>60.864999999999995</v>
      </c>
      <c r="AF6" s="6">
        <f>(Tabela5[[#This Row],[pts]]/Tabela5[[#This Row],[Poss]]*100)/Tabela5[[#This Row],[Played]]</f>
        <v>96.233615397378472</v>
      </c>
      <c r="AG6" s="6">
        <f>(SUMIFS(tbl_ZESPOŁY_dane[Drating],tbl_ZESPOŁY_dane[zespół],Tabela5[[#This Row],[zespół]],tbl_ZESPOŁY_dane[played?],1))/Tabela5[[#This Row],[Played]]</f>
        <v>95.208076229376019</v>
      </c>
      <c r="AH6" s="6">
        <f>Tabela5[[#This Row],[Orating]]-Tabela5[[#This Row],[Drating]]</f>
        <v>1.025539168002453</v>
      </c>
      <c r="AI6" s="5">
        <f t="shared" si="4"/>
        <v>0.81978798586572443</v>
      </c>
      <c r="AJ6" s="4">
        <f>Tabela5[[#This Row],[asst]]/Tabela5[[#This Row],[fgm]]</f>
        <v>0.67010309278350511</v>
      </c>
      <c r="AK6" s="6">
        <f>Tabela5[[#This Row],[asst]]/Tabela5[[#This Row],[Poss]]*100</f>
        <v>107.84801725568276</v>
      </c>
      <c r="AL6" s="6">
        <f>(Tabela5[[#This Row],[eFG%]]*0.7+Tabela5[[#This Row],[AST%]]*0.3)*100</f>
        <v>46.693198790572289</v>
      </c>
      <c r="AM6" s="4">
        <f>Tabela5[[#This Row],[oreb]]/(Tabela5[[#This Row],[oreb]]+SUMIF(tbl_ZESPOŁY_dane[przeciwnik],Tabela5[[#This Row],[zespół]],tbl_ZESPOŁY_dane[dreb]))</f>
        <v>0.32558139534883723</v>
      </c>
      <c r="AN6" s="4">
        <f>Tabela5[[#This Row],[dreb]]/(Tabela5[[#This Row],[dreb]]+SUMIF(tbl_ZESPOŁY_dane[przeciwnik],Tabela5[[#This Row],[zespół]],tbl_ZESPOŁY_dane[oreb]))</f>
        <v>0.68387096774193545</v>
      </c>
      <c r="AO6" s="4">
        <f>Tabela5[[#This Row],[reb total]]/(Tabela5[[#This Row],[reb total]]+SUMIF(tbl_ZESPOŁY_dane[przeciwnik],Tabela5[[#This Row],[zespół]],tbl_ZESPOŁY_dane[reb total]))</f>
        <v>0.49541284403669728</v>
      </c>
      <c r="AP6">
        <f>Tabela5[[#This Row],[reb total]]-SUMIF(tbl_ZESPOŁY_dane[przeciwnik],Tabela5[[#This Row],[zespół]],tbl_ZESPOŁY_dane[reb total])</f>
        <v>-3</v>
      </c>
      <c r="AQ6" s="4">
        <f>Tabela5[[#This Row],[oreb]]/(Tabela5[[#This Row],[fga]]-Tabela5[[#This Row],[fgm]])</f>
        <v>0.30107526881720431</v>
      </c>
      <c r="AR6">
        <f>(Tabela5[[#This Row],[oreb]]*1.1)+(Tabela5[[#This Row],[dreb]]*0.3)</f>
        <v>93.4</v>
      </c>
      <c r="AS6">
        <f t="shared" si="5"/>
        <v>240.70000000000005</v>
      </c>
      <c r="AT6" s="24">
        <f>(Tabela5[[#This Row],[fga]]-Tabela5[[#This Row],[3pa]])/Tabela5[[#This Row],[fga]]</f>
        <v>0.63604240282685509</v>
      </c>
      <c r="AU6">
        <f>SUMIF(tbl_ZESPOŁY_dane[zespół],Tabela5[[#This Row],[zespół]],tbl_ZESPOŁY_dane[Q1])</f>
        <v>55</v>
      </c>
      <c r="AV6">
        <f>SUMIF(tbl_ZESPOŁY_dane[zespół],Tabela5[[#This Row],[zespół]],tbl_ZESPOŁY_dane[Q2])</f>
        <v>57</v>
      </c>
      <c r="AW6">
        <f>SUMIF(tbl_ZESPOŁY_dane[zespół],Tabela5[[#This Row],[zespół]],tbl_ZESPOŁY_dane[Q3])</f>
        <v>56</v>
      </c>
      <c r="AX6">
        <f>SUMIF(tbl_ZESPOŁY_dane[zespół],Tabela5[[#This Row],[zespół]],tbl_ZESPOŁY_dane[Q4])</f>
        <v>63</v>
      </c>
      <c r="AY6">
        <f>SUMIF(tbl_ZESPOŁY_dane[zespół],Tabela5[[#This Row],[zespół]],tbl_ZESPOŁY_dane[O1])</f>
        <v>50</v>
      </c>
      <c r="AZ6">
        <f>SUMIF(tbl_ZESPOŁY_dane[zespół],Tabela5[[#This Row],[zespół]],tbl_ZESPOŁY_dane[O2])</f>
        <v>61</v>
      </c>
      <c r="BA6">
        <f>SUMIF(tbl_ZESPOŁY_dane[zespół],Tabela5[[#This Row],[zespół]],tbl_ZESPOŁY_dane[O3])</f>
        <v>55</v>
      </c>
      <c r="BB6">
        <f>SUMIF(tbl_ZESPOŁY_dane[zespół],Tabela5[[#This Row],[zespół]],tbl_ZESPOŁY_dane[O4])</f>
        <v>63</v>
      </c>
      <c r="BC6">
        <f>Tabela5[[#This Row],[O1]]+Tabela5[[#This Row],[O2]]+Tabela5[[#This Row],[O3]]+Tabela5[[#This Row],[O4]]</f>
        <v>229</v>
      </c>
      <c r="BD6" s="4">
        <f>Tabela5[[#This Row],[Q1]]/Tabela5[[#This Row],[pts]]</f>
        <v>0.23706896551724138</v>
      </c>
      <c r="BE6" s="4">
        <f>Tabela5[[#This Row],[Q2]]/Tabela5[[#This Row],[pts]]</f>
        <v>0.24568965517241378</v>
      </c>
      <c r="BF6" s="4">
        <f>Tabela5[[#This Row],[Q3]]/Tabela5[[#This Row],[pts]]</f>
        <v>0.2413793103448276</v>
      </c>
      <c r="BG6" s="4">
        <f>Tabela5[[#This Row],[Q4]]/Tabela5[[#This Row],[pts]]</f>
        <v>0.27155172413793105</v>
      </c>
      <c r="BH6" s="4">
        <f>Tabela5[[#This Row],[O1]]/Tabela5[[#This Row],[pts OPP]]</f>
        <v>0.2183406113537118</v>
      </c>
      <c r="BI6" s="4">
        <f>Tabela5[[#This Row],[O2]]/Tabela5[[#This Row],[pts OPP]]</f>
        <v>0.26637554585152839</v>
      </c>
      <c r="BJ6" s="4">
        <f>Tabela5[[#This Row],[O3]]/Tabela5[[#This Row],[pts OPP]]</f>
        <v>0.24017467248908297</v>
      </c>
      <c r="BK6" s="4">
        <f>Tabela5[[#This Row],[O4]]/Tabela5[[#This Row],[pts OPP]]</f>
        <v>0.27510917030567683</v>
      </c>
    </row>
    <row r="7" spans="1:63" x14ac:dyDescent="0.35">
      <c r="A7" s="46" t="s">
        <v>46</v>
      </c>
      <c r="B7" s="52">
        <f>SUMIF(tbl_ZESPOŁY_dane[zespół],Tabela5[[#This Row],[zespół]],tbl_ZESPOŁY_dane[played?])</f>
        <v>4</v>
      </c>
      <c r="C7" s="52"/>
      <c r="D7" s="52"/>
      <c r="E7" s="52"/>
      <c r="F7">
        <f>SUMIF(tbl_ZESPOŁY_dane[zespół],$A7,tbl_ZESPOŁY_dane[fgm])</f>
        <v>69</v>
      </c>
      <c r="G7">
        <f>SUMIF(tbl_ZESPOŁY_dane[zespół],$A7,tbl_ZESPOŁY_dane[fga])</f>
        <v>236</v>
      </c>
      <c r="H7">
        <f>SUMIF(tbl_ZESPOŁY_dane[zespół],$A7,tbl_ZESPOŁY_dane[3pm])</f>
        <v>15</v>
      </c>
      <c r="I7">
        <f>SUMIF(tbl_ZESPOŁY_dane[zespół],$A7,tbl_ZESPOŁY_dane[3pa])</f>
        <v>74</v>
      </c>
      <c r="J7">
        <f>SUMIF(tbl_ZESPOŁY_dane[zespół],$A7,tbl_ZESPOŁY_dane[ftm])</f>
        <v>26</v>
      </c>
      <c r="K7">
        <f>SUMIF(tbl_ZESPOŁY_dane[zespół],$A7,tbl_ZESPOŁY_dane[fta])</f>
        <v>50</v>
      </c>
      <c r="L7">
        <f>SUMIF(tbl_ZESPOŁY_dane[zespół],$A7,tbl_ZESPOŁY_dane[oreb])</f>
        <v>38</v>
      </c>
      <c r="M7">
        <f>SUMIF(tbl_ZESPOŁY_dane[zespół],$A7,tbl_ZESPOŁY_dane[dreb])</f>
        <v>114</v>
      </c>
      <c r="N7">
        <f>SUMIF(tbl_ZESPOŁY_dane[zespół],$A7,tbl_ZESPOŁY_dane[foul])</f>
        <v>27</v>
      </c>
      <c r="O7">
        <f>SUMIF(tbl_ZESPOŁY_dane[zespół],$A7,tbl_ZESPOŁY_dane[stl])</f>
        <v>35</v>
      </c>
      <c r="P7">
        <f>SUMIF(tbl_ZESPOŁY_dane[zespół],$A7,tbl_ZESPOŁY_dane[to])</f>
        <v>0</v>
      </c>
      <c r="Q7">
        <f>SUMIF(tbl_ZESPOŁY_dane[zespół],$A7,tbl_ZESPOŁY_dane[blk])</f>
        <v>19</v>
      </c>
      <c r="R7">
        <f>SUMIF(tbl_ZESPOŁY_dane[zespół],$A7,tbl_ZESPOŁY_dane[asst])</f>
        <v>47</v>
      </c>
      <c r="S7">
        <f>SUMIF(tbl_ZESPOŁY_dane[zespół],$A7,tbl_ZESPOŁY_dane[min])</f>
        <v>735</v>
      </c>
      <c r="T7">
        <f>SUMIF(tbl_ZESPOŁY_dane[zespół],$A7,tbl_ZESPOŁY_dane[pts])</f>
        <v>179</v>
      </c>
      <c r="U7">
        <f>Tabela5[[#This Row],[oreb]]+Tabela5[[#This Row],[dreb]]</f>
        <v>152</v>
      </c>
      <c r="V7" s="4">
        <f>Tabela5[[#This Row],[fgm]]/Tabela5[[#This Row],[fga]]</f>
        <v>0.2923728813559322</v>
      </c>
      <c r="W7" s="4">
        <f>Tabela5[[#This Row],[3pm]]/Tabela5[[#This Row],[3pa]]</f>
        <v>0.20270270270270271</v>
      </c>
      <c r="X7" s="4">
        <f>Tabela5[[#This Row],[ftm]]/Tabela5[[#This Row],[fta]]</f>
        <v>0.52</v>
      </c>
      <c r="Y7" s="4">
        <f t="shared" si="0"/>
        <v>0.34689922480620156</v>
      </c>
      <c r="Z7" s="4">
        <f t="shared" si="1"/>
        <v>0.32415254237288138</v>
      </c>
      <c r="AA7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241</v>
      </c>
      <c r="AB7" s="4">
        <f t="shared" si="2"/>
        <v>0.21186440677966101</v>
      </c>
      <c r="AC7" s="4">
        <f t="shared" si="3"/>
        <v>0.3135593220338983</v>
      </c>
      <c r="AD7" s="6">
        <f>(Tabela5[[#This Row],[fga]]+0.44*Tabela5[[#This Row],[fta]]-Tabela5[[#This Row],[oreb]])/Tabela5[[#This Row],[Played]]</f>
        <v>55</v>
      </c>
      <c r="AE7" s="6">
        <f>(SUMIF(tbl_ZESPOŁY_dane[zespół],Tabela5[[#This Row],[zespół]],tbl_ZESPOŁY_dane[Pace]))/Tabela5[[#This Row],[Played]]</f>
        <v>58.449999999999996</v>
      </c>
      <c r="AF7" s="6">
        <f>(Tabela5[[#This Row],[pts]]/Tabela5[[#This Row],[Poss]]*100)/Tabela5[[#This Row],[Played]]</f>
        <v>81.36363636363636</v>
      </c>
      <c r="AG7" s="6">
        <f>(SUMIFS(tbl_ZESPOŁY_dane[Drating],tbl_ZESPOŁY_dane[zespół],Tabela5[[#This Row],[zespół]],tbl_ZESPOŁY_dane[played?],1))/Tabela5[[#This Row],[Played]]</f>
        <v>96.112667759262862</v>
      </c>
      <c r="AH7" s="6">
        <f>Tabela5[[#This Row],[Orating]]-Tabela5[[#This Row],[Drating]]</f>
        <v>-14.749031395626503</v>
      </c>
      <c r="AI7" s="5">
        <f t="shared" si="4"/>
        <v>0.75847457627118642</v>
      </c>
      <c r="AJ7" s="4">
        <f>Tabela5[[#This Row],[asst]]/Tabela5[[#This Row],[fgm]]</f>
        <v>0.6811594202898551</v>
      </c>
      <c r="AK7" s="6">
        <f>Tabela5[[#This Row],[asst]]/Tabela5[[#This Row],[Poss]]*100</f>
        <v>85.454545454545453</v>
      </c>
      <c r="AL7" s="6">
        <f>(Tabela5[[#This Row],[eFG%]]*0.7+Tabela5[[#This Row],[AST%]]*0.3)*100</f>
        <v>43.125460574797344</v>
      </c>
      <c r="AM7" s="4">
        <f>Tabela5[[#This Row],[oreb]]/(Tabela5[[#This Row],[oreb]]+SUMIF(tbl_ZESPOŁY_dane[przeciwnik],Tabela5[[#This Row],[zespół]],tbl_ZESPOŁY_dane[dreb]))</f>
        <v>0.26573426573426573</v>
      </c>
      <c r="AN7" s="4">
        <f>Tabela5[[#This Row],[dreb]]/(Tabela5[[#This Row],[dreb]]+SUMIF(tbl_ZESPOŁY_dane[przeciwnik],Tabela5[[#This Row],[zespół]],tbl_ZESPOŁY_dane[oreb]))</f>
        <v>0.61290322580645162</v>
      </c>
      <c r="AO7" s="4">
        <f>Tabela5[[#This Row],[reb total]]/(Tabela5[[#This Row],[reb total]]+SUMIF(tbl_ZESPOŁY_dane[przeciwnik],Tabela5[[#This Row],[zespół]],tbl_ZESPOŁY_dane[reb total]))</f>
        <v>0.46200607902735563</v>
      </c>
      <c r="AP7">
        <f>Tabela5[[#This Row],[reb total]]-SUMIF(tbl_ZESPOŁY_dane[przeciwnik],Tabela5[[#This Row],[zespół]],tbl_ZESPOŁY_dane[reb total])</f>
        <v>-25</v>
      </c>
      <c r="AQ7" s="4">
        <f>Tabela5[[#This Row],[oreb]]/(Tabela5[[#This Row],[fga]]-Tabela5[[#This Row],[fgm]])</f>
        <v>0.22754491017964071</v>
      </c>
      <c r="AR7">
        <f>(Tabela5[[#This Row],[oreb]]*1.1)+(Tabela5[[#This Row],[dreb]]*0.3)</f>
        <v>76</v>
      </c>
      <c r="AS7">
        <f t="shared" si="5"/>
        <v>173.8</v>
      </c>
      <c r="AT7" s="24">
        <f>(Tabela5[[#This Row],[fga]]-Tabela5[[#This Row],[3pa]])/Tabela5[[#This Row],[fga]]</f>
        <v>0.68644067796610164</v>
      </c>
      <c r="AU7">
        <f>SUMIF(tbl_ZESPOŁY_dane[zespół],Tabela5[[#This Row],[zespół]],tbl_ZESPOŁY_dane[Q1])</f>
        <v>41</v>
      </c>
      <c r="AV7">
        <f>SUMIF(tbl_ZESPOŁY_dane[zespół],Tabela5[[#This Row],[zespół]],tbl_ZESPOŁY_dane[Q2])</f>
        <v>35</v>
      </c>
      <c r="AW7">
        <f>SUMIF(tbl_ZESPOŁY_dane[zespół],Tabela5[[#This Row],[zespół]],tbl_ZESPOŁY_dane[Q3])</f>
        <v>49</v>
      </c>
      <c r="AX7">
        <f>SUMIF(tbl_ZESPOŁY_dane[zespół],Tabela5[[#This Row],[zespół]],tbl_ZESPOŁY_dane[Q4])</f>
        <v>54</v>
      </c>
      <c r="AY7">
        <f>SUMIF(tbl_ZESPOŁY_dane[zespół],Tabela5[[#This Row],[zespół]],tbl_ZESPOŁY_dane[O1])</f>
        <v>59</v>
      </c>
      <c r="AZ7">
        <f>SUMIF(tbl_ZESPOŁY_dane[zespół],Tabela5[[#This Row],[zespół]],tbl_ZESPOŁY_dane[O2])</f>
        <v>51</v>
      </c>
      <c r="BA7">
        <f>SUMIF(tbl_ZESPOŁY_dane[zespół],Tabela5[[#This Row],[zespół]],tbl_ZESPOŁY_dane[O3])</f>
        <v>59</v>
      </c>
      <c r="BB7">
        <f>SUMIF(tbl_ZESPOŁY_dane[zespół],Tabela5[[#This Row],[zespół]],tbl_ZESPOŁY_dane[O4])</f>
        <v>73</v>
      </c>
      <c r="BC7">
        <f>Tabela5[[#This Row],[O1]]+Tabela5[[#This Row],[O2]]+Tabela5[[#This Row],[O3]]+Tabela5[[#This Row],[O4]]</f>
        <v>242</v>
      </c>
      <c r="BD7" s="4">
        <f>Tabela5[[#This Row],[Q1]]/Tabela5[[#This Row],[pts]]</f>
        <v>0.22905027932960895</v>
      </c>
      <c r="BE7" s="4">
        <f>Tabela5[[#This Row],[Q2]]/Tabela5[[#This Row],[pts]]</f>
        <v>0.19553072625698323</v>
      </c>
      <c r="BF7" s="4">
        <f>Tabela5[[#This Row],[Q3]]/Tabela5[[#This Row],[pts]]</f>
        <v>0.27374301675977653</v>
      </c>
      <c r="BG7" s="4">
        <f>Tabela5[[#This Row],[Q4]]/Tabela5[[#This Row],[pts]]</f>
        <v>0.3016759776536313</v>
      </c>
      <c r="BH7" s="4">
        <f>Tabela5[[#This Row],[O1]]/Tabela5[[#This Row],[pts OPP]]</f>
        <v>0.24380165289256198</v>
      </c>
      <c r="BI7" s="4">
        <f>Tabela5[[#This Row],[O2]]/Tabela5[[#This Row],[pts OPP]]</f>
        <v>0.21074380165289255</v>
      </c>
      <c r="BJ7" s="4">
        <f>Tabela5[[#This Row],[O3]]/Tabela5[[#This Row],[pts OPP]]</f>
        <v>0.24380165289256198</v>
      </c>
      <c r="BK7" s="4">
        <f>Tabela5[[#This Row],[O4]]/Tabela5[[#This Row],[pts OPP]]</f>
        <v>0.30165289256198347</v>
      </c>
    </row>
    <row r="8" spans="1:63" x14ac:dyDescent="0.35">
      <c r="A8" s="47" t="s">
        <v>48</v>
      </c>
      <c r="B8" s="32">
        <f>SUMIF(tbl_ZESPOŁY_dane[zespół],Tabela5[[#This Row],[zespół]],tbl_ZESPOŁY_dane[played?])</f>
        <v>4</v>
      </c>
      <c r="C8" s="32"/>
      <c r="D8" s="32"/>
      <c r="E8" s="32"/>
      <c r="F8">
        <f>SUMIF(tbl_ZESPOŁY_dane[zespół],$A8,tbl_ZESPOŁY_dane[fgm])</f>
        <v>96</v>
      </c>
      <c r="G8">
        <f>SUMIF(tbl_ZESPOŁY_dane[zespół],$A8,tbl_ZESPOŁY_dane[fga])</f>
        <v>297</v>
      </c>
      <c r="H8">
        <f>SUMIF(tbl_ZESPOŁY_dane[zespół],$A8,tbl_ZESPOŁY_dane[3pm])</f>
        <v>25</v>
      </c>
      <c r="I8">
        <f>SUMIF(tbl_ZESPOŁY_dane[zespół],$A8,tbl_ZESPOŁY_dane[3pa])</f>
        <v>101</v>
      </c>
      <c r="J8">
        <f>SUMIF(tbl_ZESPOŁY_dane[zespół],$A8,tbl_ZESPOŁY_dane[ftm])</f>
        <v>37</v>
      </c>
      <c r="K8">
        <f>SUMIF(tbl_ZESPOŁY_dane[zespół],$A8,tbl_ZESPOŁY_dane[fta])</f>
        <v>74</v>
      </c>
      <c r="L8">
        <f>SUMIF(tbl_ZESPOŁY_dane[zespół],$A8,tbl_ZESPOŁY_dane[oreb])</f>
        <v>52</v>
      </c>
      <c r="M8">
        <f>SUMIF(tbl_ZESPOŁY_dane[zespół],$A8,tbl_ZESPOŁY_dane[dreb])</f>
        <v>114</v>
      </c>
      <c r="N8">
        <f>SUMIF(tbl_ZESPOŁY_dane[zespół],$A8,tbl_ZESPOŁY_dane[foul])</f>
        <v>22</v>
      </c>
      <c r="O8">
        <f>SUMIF(tbl_ZESPOŁY_dane[zespół],$A8,tbl_ZESPOŁY_dane[stl])</f>
        <v>66</v>
      </c>
      <c r="P8">
        <f>SUMIF(tbl_ZESPOŁY_dane[zespół],$A8,tbl_ZESPOŁY_dane[to])</f>
        <v>0</v>
      </c>
      <c r="Q8">
        <f>SUMIF(tbl_ZESPOŁY_dane[zespół],$A8,tbl_ZESPOŁY_dane[blk])</f>
        <v>11</v>
      </c>
      <c r="R8">
        <f>SUMIF(tbl_ZESPOŁY_dane[zespół],$A8,tbl_ZESPOŁY_dane[asst])</f>
        <v>56</v>
      </c>
      <c r="S8">
        <f>SUMIF(tbl_ZESPOŁY_dane[zespół],$A8,tbl_ZESPOŁY_dane[min])</f>
        <v>781</v>
      </c>
      <c r="T8">
        <f>SUMIF(tbl_ZESPOŁY_dane[zespół],$A8,tbl_ZESPOŁY_dane[pts])</f>
        <v>254</v>
      </c>
      <c r="U8">
        <f>Tabela5[[#This Row],[oreb]]+Tabela5[[#This Row],[dreb]]</f>
        <v>166</v>
      </c>
      <c r="V8" s="4">
        <f>Tabela5[[#This Row],[fgm]]/Tabela5[[#This Row],[fga]]</f>
        <v>0.32323232323232326</v>
      </c>
      <c r="W8" s="4">
        <f>Tabela5[[#This Row],[3pm]]/Tabela5[[#This Row],[3pa]]</f>
        <v>0.24752475247524752</v>
      </c>
      <c r="X8" s="4">
        <f>Tabela5[[#This Row],[ftm]]/Tabela5[[#This Row],[fta]]</f>
        <v>0.5</v>
      </c>
      <c r="Y8" s="4">
        <f t="shared" si="0"/>
        <v>0.3853623012501517</v>
      </c>
      <c r="Z8" s="4">
        <f t="shared" si="1"/>
        <v>0.36531986531986532</v>
      </c>
      <c r="AA8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315</v>
      </c>
      <c r="AB8" s="4">
        <f t="shared" si="2"/>
        <v>0.24915824915824916</v>
      </c>
      <c r="AC8" s="4">
        <f t="shared" si="3"/>
        <v>0.34006734006734007</v>
      </c>
      <c r="AD8" s="6">
        <f>(Tabela5[[#This Row],[fga]]+0.44*Tabela5[[#This Row],[fta]]-Tabela5[[#This Row],[oreb]])/Tabela5[[#This Row],[Played]]</f>
        <v>69.39</v>
      </c>
      <c r="AE8" s="6">
        <f>(SUMIF(tbl_ZESPOŁY_dane[zespół],Tabela5[[#This Row],[zespół]],tbl_ZESPOŁY_dane[Pace]))/Tabela5[[#This Row],[Played]]</f>
        <v>62.71</v>
      </c>
      <c r="AF8" s="6">
        <f>(Tabela5[[#This Row],[pts]]/Tabela5[[#This Row],[Poss]]*100)/Tabela5[[#This Row],[Played]]</f>
        <v>91.511745208243269</v>
      </c>
      <c r="AG8" s="6">
        <f>(SUMIFS(tbl_ZESPOŁY_dane[Drating],tbl_ZESPOŁY_dane[zespół],Tabela5[[#This Row],[zespół]],tbl_ZESPOŁY_dane[played?],1))/Tabela5[[#This Row],[Played]]</f>
        <v>76.205167712718236</v>
      </c>
      <c r="AH8" s="6">
        <f>Tabela5[[#This Row],[Orating]]-Tabela5[[#This Row],[Drating]]</f>
        <v>15.306577495525033</v>
      </c>
      <c r="AI8" s="5">
        <f t="shared" si="4"/>
        <v>0.85521885521885521</v>
      </c>
      <c r="AJ8" s="4">
        <f>Tabela5[[#This Row],[asst]]/Tabela5[[#This Row],[fgm]]</f>
        <v>0.58333333333333337</v>
      </c>
      <c r="AK8" s="6">
        <f>Tabela5[[#This Row],[asst]]/Tabela5[[#This Row],[Poss]]*100</f>
        <v>80.703271364749966</v>
      </c>
      <c r="AL8" s="6">
        <f>(Tabela5[[#This Row],[eFG%]]*0.7+Tabela5[[#This Row],[AST%]]*0.3)*100</f>
        <v>43.072390572390574</v>
      </c>
      <c r="AM8" s="4">
        <f>Tabela5[[#This Row],[oreb]]/(Tabela5[[#This Row],[oreb]]+SUMIF(tbl_ZESPOŁY_dane[przeciwnik],Tabela5[[#This Row],[zespół]],tbl_ZESPOŁY_dane[dreb]))</f>
        <v>0.287292817679558</v>
      </c>
      <c r="AN8" s="4">
        <f>Tabela5[[#This Row],[dreb]]/(Tabela5[[#This Row],[dreb]]+SUMIF(tbl_ZESPOŁY_dane[przeciwnik],Tabela5[[#This Row],[zespół]],tbl_ZESPOŁY_dane[oreb]))</f>
        <v>0.71698113207547165</v>
      </c>
      <c r="AO8" s="4">
        <f>Tabela5[[#This Row],[reb total]]/(Tabela5[[#This Row],[reb total]]+SUMIF(tbl_ZESPOŁY_dane[przeciwnik],Tabela5[[#This Row],[zespół]],tbl_ZESPOŁY_dane[reb total]))</f>
        <v>0.48823529411764705</v>
      </c>
      <c r="AP8">
        <f>Tabela5[[#This Row],[reb total]]-SUMIF(tbl_ZESPOŁY_dane[przeciwnik],Tabela5[[#This Row],[zespół]],tbl_ZESPOŁY_dane[reb total])</f>
        <v>-8</v>
      </c>
      <c r="AQ8" s="4">
        <f>Tabela5[[#This Row],[oreb]]/(Tabela5[[#This Row],[fga]]-Tabela5[[#This Row],[fgm]])</f>
        <v>0.25870646766169153</v>
      </c>
      <c r="AR8">
        <f>(Tabela5[[#This Row],[oreb]]*1.1)+(Tabela5[[#This Row],[dreb]]*0.3)</f>
        <v>91.4</v>
      </c>
      <c r="AS8">
        <f t="shared" si="5"/>
        <v>253.19999999999996</v>
      </c>
      <c r="AT8" s="24">
        <f>(Tabela5[[#This Row],[fga]]-Tabela5[[#This Row],[3pa]])/Tabela5[[#This Row],[fga]]</f>
        <v>0.65993265993265993</v>
      </c>
      <c r="AU8">
        <f>SUMIF(tbl_ZESPOŁY_dane[zespół],Tabela5[[#This Row],[zespół]],tbl_ZESPOŁY_dane[Q1])</f>
        <v>59</v>
      </c>
      <c r="AV8">
        <f>SUMIF(tbl_ZESPOŁY_dane[zespół],Tabela5[[#This Row],[zespół]],tbl_ZESPOŁY_dane[Q2])</f>
        <v>68</v>
      </c>
      <c r="AW8">
        <f>SUMIF(tbl_ZESPOŁY_dane[zespół],Tabela5[[#This Row],[zespół]],tbl_ZESPOŁY_dane[Q3])</f>
        <v>49</v>
      </c>
      <c r="AX8">
        <f>SUMIF(tbl_ZESPOŁY_dane[zespół],Tabela5[[#This Row],[zespół]],tbl_ZESPOŁY_dane[Q4])</f>
        <v>78</v>
      </c>
      <c r="AY8">
        <f>SUMIF(tbl_ZESPOŁY_dane[zespół],Tabela5[[#This Row],[zespół]],tbl_ZESPOŁY_dane[O1])</f>
        <v>39</v>
      </c>
      <c r="AZ8">
        <f>SUMIF(tbl_ZESPOŁY_dane[zespół],Tabela5[[#This Row],[zespół]],tbl_ZESPOŁY_dane[O2])</f>
        <v>49</v>
      </c>
      <c r="BA8">
        <f>SUMIF(tbl_ZESPOŁY_dane[zespół],Tabela5[[#This Row],[zespół]],tbl_ZESPOŁY_dane[O3])</f>
        <v>31</v>
      </c>
      <c r="BB8">
        <f>SUMIF(tbl_ZESPOŁY_dane[zespół],Tabela5[[#This Row],[zespół]],tbl_ZESPOŁY_dane[O4])</f>
        <v>54</v>
      </c>
      <c r="BC8">
        <f>Tabela5[[#This Row],[O1]]+Tabela5[[#This Row],[O2]]+Tabela5[[#This Row],[O3]]+Tabela5[[#This Row],[O4]]</f>
        <v>173</v>
      </c>
      <c r="BD8" s="4">
        <f>Tabela5[[#This Row],[Q1]]/Tabela5[[#This Row],[pts]]</f>
        <v>0.23228346456692914</v>
      </c>
      <c r="BE8" s="4">
        <f>Tabela5[[#This Row],[Q2]]/Tabela5[[#This Row],[pts]]</f>
        <v>0.26771653543307089</v>
      </c>
      <c r="BF8" s="4">
        <f>Tabela5[[#This Row],[Q3]]/Tabela5[[#This Row],[pts]]</f>
        <v>0.19291338582677164</v>
      </c>
      <c r="BG8" s="4">
        <f>Tabela5[[#This Row],[Q4]]/Tabela5[[#This Row],[pts]]</f>
        <v>0.30708661417322836</v>
      </c>
      <c r="BH8" s="4">
        <f>Tabela5[[#This Row],[O1]]/Tabela5[[#This Row],[pts OPP]]</f>
        <v>0.22543352601156069</v>
      </c>
      <c r="BI8" s="4">
        <f>Tabela5[[#This Row],[O2]]/Tabela5[[#This Row],[pts OPP]]</f>
        <v>0.2832369942196532</v>
      </c>
      <c r="BJ8" s="4">
        <f>Tabela5[[#This Row],[O3]]/Tabela5[[#This Row],[pts OPP]]</f>
        <v>0.1791907514450867</v>
      </c>
      <c r="BK8" s="4">
        <f>Tabela5[[#This Row],[O4]]/Tabela5[[#This Row],[pts OPP]]</f>
        <v>0.31213872832369943</v>
      </c>
    </row>
    <row r="9" spans="1:63" x14ac:dyDescent="0.35">
      <c r="A9" s="46" t="s">
        <v>50</v>
      </c>
      <c r="B9" s="52">
        <f>SUMIF(tbl_ZESPOŁY_dane[zespół],Tabela5[[#This Row],[zespół]],tbl_ZESPOŁY_dane[played?])</f>
        <v>4</v>
      </c>
      <c r="C9" s="52"/>
      <c r="D9" s="52"/>
      <c r="E9" s="52"/>
      <c r="F9">
        <f>SUMIF(tbl_ZESPOŁY_dane[zespół],$A9,tbl_ZESPOŁY_dane[fgm])</f>
        <v>72</v>
      </c>
      <c r="G9">
        <f>SUMIF(tbl_ZESPOŁY_dane[zespół],$A9,tbl_ZESPOŁY_dane[fga])</f>
        <v>260</v>
      </c>
      <c r="H9">
        <f>SUMIF(tbl_ZESPOŁY_dane[zespół],$A9,tbl_ZESPOŁY_dane[3pm])</f>
        <v>28</v>
      </c>
      <c r="I9">
        <f>SUMIF(tbl_ZESPOŁY_dane[zespół],$A9,tbl_ZESPOŁY_dane[3pa])</f>
        <v>121</v>
      </c>
      <c r="J9">
        <f>SUMIF(tbl_ZESPOŁY_dane[zespół],$A9,tbl_ZESPOŁY_dane[ftm])</f>
        <v>25</v>
      </c>
      <c r="K9">
        <f>SUMIF(tbl_ZESPOŁY_dane[zespół],$A9,tbl_ZESPOŁY_dane[fta])</f>
        <v>45</v>
      </c>
      <c r="L9">
        <f>SUMIF(tbl_ZESPOŁY_dane[zespół],$A9,tbl_ZESPOŁY_dane[oreb])</f>
        <v>36</v>
      </c>
      <c r="M9">
        <f>SUMIF(tbl_ZESPOŁY_dane[zespół],$A9,tbl_ZESPOŁY_dane[dreb])</f>
        <v>128</v>
      </c>
      <c r="N9">
        <f>SUMIF(tbl_ZESPOŁY_dane[zespół],$A9,tbl_ZESPOŁY_dane[foul])</f>
        <v>30</v>
      </c>
      <c r="O9">
        <f>SUMIF(tbl_ZESPOŁY_dane[zespół],$A9,tbl_ZESPOŁY_dane[stl])</f>
        <v>40</v>
      </c>
      <c r="P9">
        <f>SUMIF(tbl_ZESPOŁY_dane[zespół],$A9,tbl_ZESPOŁY_dane[to])</f>
        <v>0</v>
      </c>
      <c r="Q9">
        <f>SUMIF(tbl_ZESPOŁY_dane[zespół],$A9,tbl_ZESPOŁY_dane[blk])</f>
        <v>9</v>
      </c>
      <c r="R9">
        <f>SUMIF(tbl_ZESPOŁY_dane[zespół],$A9,tbl_ZESPOŁY_dane[asst])</f>
        <v>47</v>
      </c>
      <c r="S9">
        <f>SUMIF(tbl_ZESPOŁY_dane[zespół],$A9,tbl_ZESPOŁY_dane[min])</f>
        <v>790</v>
      </c>
      <c r="T9">
        <f>SUMIF(tbl_ZESPOŁY_dane[zespół],$A9,tbl_ZESPOŁY_dane[pts])</f>
        <v>197</v>
      </c>
      <c r="U9">
        <f>Tabela5[[#This Row],[oreb]]+Tabela5[[#This Row],[dreb]]</f>
        <v>164</v>
      </c>
      <c r="V9" s="4">
        <f>Tabela5[[#This Row],[fgm]]/Tabela5[[#This Row],[fga]]</f>
        <v>0.27692307692307694</v>
      </c>
      <c r="W9" s="4">
        <f>Tabela5[[#This Row],[3pm]]/Tabela5[[#This Row],[3pa]]</f>
        <v>0.23140495867768596</v>
      </c>
      <c r="X9" s="4">
        <f>Tabela5[[#This Row],[ftm]]/Tabela5[[#This Row],[fta]]</f>
        <v>0.55555555555555558</v>
      </c>
      <c r="Y9" s="4">
        <f t="shared" si="0"/>
        <v>0.35203716940671909</v>
      </c>
      <c r="Z9" s="4">
        <f t="shared" si="1"/>
        <v>0.33076923076923076</v>
      </c>
      <c r="AA9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249</v>
      </c>
      <c r="AB9" s="4">
        <f t="shared" si="2"/>
        <v>0.17307692307692307</v>
      </c>
      <c r="AC9" s="4">
        <f t="shared" si="3"/>
        <v>0.4653846153846154</v>
      </c>
      <c r="AD9" s="6">
        <f>(Tabela5[[#This Row],[fga]]+0.44*Tabela5[[#This Row],[fta]]-Tabela5[[#This Row],[oreb]])/Tabela5[[#This Row],[Played]]</f>
        <v>60.95</v>
      </c>
      <c r="AE9" s="6">
        <f>(SUMIF(tbl_ZESPOŁY_dane[zespół],Tabela5[[#This Row],[zespół]],tbl_ZESPOŁY_dane[Pace]))/Tabela5[[#This Row],[Played]]</f>
        <v>63.215000000000003</v>
      </c>
      <c r="AF9" s="6">
        <f>(Tabela5[[#This Row],[pts]]/Tabela5[[#This Row],[Poss]]*100)/Tabela5[[#This Row],[Played]]</f>
        <v>80.8039376538146</v>
      </c>
      <c r="AG9" s="6">
        <f>(SUMIFS(tbl_ZESPOŁY_dane[Drating],tbl_ZESPOŁY_dane[zespół],Tabela5[[#This Row],[zespół]],tbl_ZESPOŁY_dane[played?],1))/Tabela5[[#This Row],[Played]]</f>
        <v>85.523719034466822</v>
      </c>
      <c r="AH9" s="6">
        <f>Tabela5[[#This Row],[Orating]]-Tabela5[[#This Row],[Drating]]</f>
        <v>-4.719781380652222</v>
      </c>
      <c r="AI9" s="5">
        <f t="shared" si="4"/>
        <v>0.75769230769230766</v>
      </c>
      <c r="AJ9" s="4">
        <f>Tabela5[[#This Row],[asst]]/Tabela5[[#This Row],[fgm]]</f>
        <v>0.65277777777777779</v>
      </c>
      <c r="AK9" s="6">
        <f>Tabela5[[#This Row],[asst]]/Tabela5[[#This Row],[Poss]]*100</f>
        <v>77.112387202625101</v>
      </c>
      <c r="AL9" s="6">
        <f>(Tabela5[[#This Row],[eFG%]]*0.7+Tabela5[[#This Row],[AST%]]*0.3)*100</f>
        <v>42.737179487179489</v>
      </c>
      <c r="AM9" s="4">
        <f>Tabela5[[#This Row],[oreb]]/(Tabela5[[#This Row],[oreb]]+SUMIF(tbl_ZESPOŁY_dane[przeciwnik],Tabela5[[#This Row],[zespół]],tbl_ZESPOŁY_dane[dreb]))</f>
        <v>0.21556886227544911</v>
      </c>
      <c r="AN9" s="4">
        <f>Tabela5[[#This Row],[dreb]]/(Tabela5[[#This Row],[dreb]]+SUMIF(tbl_ZESPOŁY_dane[przeciwnik],Tabela5[[#This Row],[zespół]],tbl_ZESPOŁY_dane[oreb]))</f>
        <v>0.72727272727272729</v>
      </c>
      <c r="AO9" s="4">
        <f>Tabela5[[#This Row],[reb total]]/(Tabela5[[#This Row],[reb total]]+SUMIF(tbl_ZESPOŁY_dane[przeciwnik],Tabela5[[#This Row],[zespół]],tbl_ZESPOŁY_dane[reb total]))</f>
        <v>0.478134110787172</v>
      </c>
      <c r="AP9">
        <f>Tabela5[[#This Row],[reb total]]-SUMIF(tbl_ZESPOŁY_dane[przeciwnik],Tabela5[[#This Row],[zespół]],tbl_ZESPOŁY_dane[reb total])</f>
        <v>-15</v>
      </c>
      <c r="AQ9" s="4">
        <f>Tabela5[[#This Row],[oreb]]/(Tabela5[[#This Row],[fga]]-Tabela5[[#This Row],[fgm]])</f>
        <v>0.19148936170212766</v>
      </c>
      <c r="AR9">
        <f>(Tabela5[[#This Row],[oreb]]*1.1)+(Tabela5[[#This Row],[dreb]]*0.3)</f>
        <v>78</v>
      </c>
      <c r="AS9">
        <f t="shared" si="5"/>
        <v>178.60000000000002</v>
      </c>
      <c r="AT9" s="24">
        <f>(Tabela5[[#This Row],[fga]]-Tabela5[[#This Row],[3pa]])/Tabela5[[#This Row],[fga]]</f>
        <v>0.5346153846153846</v>
      </c>
      <c r="AU9">
        <f>SUMIF(tbl_ZESPOŁY_dane[zespół],Tabela5[[#This Row],[zespół]],tbl_ZESPOŁY_dane[Q1])</f>
        <v>44</v>
      </c>
      <c r="AV9">
        <f>SUMIF(tbl_ZESPOŁY_dane[zespół],Tabela5[[#This Row],[zespół]],tbl_ZESPOŁY_dane[Q2])</f>
        <v>42</v>
      </c>
      <c r="AW9">
        <f>SUMIF(tbl_ZESPOŁY_dane[zespół],Tabela5[[#This Row],[zespół]],tbl_ZESPOŁY_dane[Q3])</f>
        <v>44</v>
      </c>
      <c r="AX9">
        <f>SUMIF(tbl_ZESPOŁY_dane[zespół],Tabela5[[#This Row],[zespół]],tbl_ZESPOŁY_dane[Q4])</f>
        <v>67</v>
      </c>
      <c r="AY9">
        <f>SUMIF(tbl_ZESPOŁY_dane[zespół],Tabela5[[#This Row],[zespół]],tbl_ZESPOŁY_dane[O1])</f>
        <v>50</v>
      </c>
      <c r="AZ9">
        <f>SUMIF(tbl_ZESPOŁY_dane[zespół],Tabela5[[#This Row],[zespół]],tbl_ZESPOŁY_dane[O2])</f>
        <v>57</v>
      </c>
      <c r="BA9">
        <f>SUMIF(tbl_ZESPOŁY_dane[zespół],Tabela5[[#This Row],[zespół]],tbl_ZESPOŁY_dane[O3])</f>
        <v>55</v>
      </c>
      <c r="BB9">
        <f>SUMIF(tbl_ZESPOŁY_dane[zespół],Tabela5[[#This Row],[zespół]],tbl_ZESPOŁY_dane[O4])</f>
        <v>60</v>
      </c>
      <c r="BC9">
        <f>Tabela5[[#This Row],[O1]]+Tabela5[[#This Row],[O2]]+Tabela5[[#This Row],[O3]]+Tabela5[[#This Row],[O4]]</f>
        <v>222</v>
      </c>
      <c r="BD9" s="4">
        <f>Tabela5[[#This Row],[Q1]]/Tabela5[[#This Row],[pts]]</f>
        <v>0.2233502538071066</v>
      </c>
      <c r="BE9" s="4">
        <f>Tabela5[[#This Row],[Q2]]/Tabela5[[#This Row],[pts]]</f>
        <v>0.21319796954314721</v>
      </c>
      <c r="BF9" s="4">
        <f>Tabela5[[#This Row],[Q3]]/Tabela5[[#This Row],[pts]]</f>
        <v>0.2233502538071066</v>
      </c>
      <c r="BG9" s="4">
        <f>Tabela5[[#This Row],[Q4]]/Tabela5[[#This Row],[pts]]</f>
        <v>0.34010152284263961</v>
      </c>
      <c r="BH9" s="4">
        <f>Tabela5[[#This Row],[O1]]/Tabela5[[#This Row],[pts OPP]]</f>
        <v>0.22522522522522523</v>
      </c>
      <c r="BI9" s="4">
        <f>Tabela5[[#This Row],[O2]]/Tabela5[[#This Row],[pts OPP]]</f>
        <v>0.25675675675675674</v>
      </c>
      <c r="BJ9" s="4">
        <f>Tabela5[[#This Row],[O3]]/Tabela5[[#This Row],[pts OPP]]</f>
        <v>0.24774774774774774</v>
      </c>
      <c r="BK9" s="4">
        <f>Tabela5[[#This Row],[O4]]/Tabela5[[#This Row],[pts OPP]]</f>
        <v>0.27027027027027029</v>
      </c>
    </row>
    <row r="10" spans="1:63" s="38" customFormat="1" ht="15" thickBot="1" x14ac:dyDescent="0.4">
      <c r="A10" s="48" t="s">
        <v>52</v>
      </c>
      <c r="B10" s="37">
        <f>SUMIF(tbl_ZESPOŁY_dane[zespół],Tabela5[[#This Row],[zespół]],tbl_ZESPOŁY_dane[played?])</f>
        <v>4</v>
      </c>
      <c r="C10" s="37"/>
      <c r="D10" s="37"/>
      <c r="E10" s="37"/>
      <c r="F10" s="38">
        <f>SUMIF(tbl_ZESPOŁY_dane[zespół],$A10,tbl_ZESPOŁY_dane[fgm])</f>
        <v>91</v>
      </c>
      <c r="G10" s="38">
        <f>SUMIF(tbl_ZESPOŁY_dane[zespół],$A10,tbl_ZESPOŁY_dane[fga])</f>
        <v>286</v>
      </c>
      <c r="H10" s="38">
        <f>SUMIF(tbl_ZESPOŁY_dane[zespół],$A10,tbl_ZESPOŁY_dane[3pm])</f>
        <v>15</v>
      </c>
      <c r="I10" s="38">
        <f>SUMIF(tbl_ZESPOŁY_dane[zespół],$A10,tbl_ZESPOŁY_dane[3pa])</f>
        <v>63</v>
      </c>
      <c r="J10" s="38">
        <f>SUMIF(tbl_ZESPOŁY_dane[zespół],$A10,tbl_ZESPOŁY_dane[ftm])</f>
        <v>12</v>
      </c>
      <c r="K10" s="38">
        <f>SUMIF(tbl_ZESPOŁY_dane[zespół],$A10,tbl_ZESPOŁY_dane[fta])</f>
        <v>27</v>
      </c>
      <c r="L10" s="38">
        <f>SUMIF(tbl_ZESPOŁY_dane[zespół],$A10,tbl_ZESPOŁY_dane[oreb])</f>
        <v>60</v>
      </c>
      <c r="M10" s="38">
        <f>SUMIF(tbl_ZESPOŁY_dane[zespół],$A10,tbl_ZESPOŁY_dane[dreb])</f>
        <v>114</v>
      </c>
      <c r="N10" s="38">
        <f>SUMIF(tbl_ZESPOŁY_dane[zespół],$A10,tbl_ZESPOŁY_dane[foul])</f>
        <v>50</v>
      </c>
      <c r="O10" s="38">
        <f>SUMIF(tbl_ZESPOŁY_dane[zespół],$A10,tbl_ZESPOŁY_dane[stl])</f>
        <v>54</v>
      </c>
      <c r="P10" s="38">
        <f>SUMIF(tbl_ZESPOŁY_dane[zespół],$A10,tbl_ZESPOŁY_dane[to])</f>
        <v>0</v>
      </c>
      <c r="Q10" s="38">
        <f>SUMIF(tbl_ZESPOŁY_dane[zespół],$A10,tbl_ZESPOŁY_dane[blk])</f>
        <v>11</v>
      </c>
      <c r="R10" s="38">
        <f>SUMIF(tbl_ZESPOŁY_dane[zespół],$A10,tbl_ZESPOŁY_dane[asst])</f>
        <v>44</v>
      </c>
      <c r="S10" s="38">
        <f>SUMIF(tbl_ZESPOŁY_dane[zespół],$A10,tbl_ZESPOŁY_dane[min])</f>
        <v>733</v>
      </c>
      <c r="T10" s="38">
        <f>SUMIF(tbl_ZESPOŁY_dane[zespół],$A10,tbl_ZESPOŁY_dane[pts])</f>
        <v>209</v>
      </c>
      <c r="U10" s="38">
        <f>Tabela5[[#This Row],[oreb]]+Tabela5[[#This Row],[dreb]]</f>
        <v>174</v>
      </c>
      <c r="V10" s="40">
        <f>Tabela5[[#This Row],[fgm]]/Tabela5[[#This Row],[fga]]</f>
        <v>0.31818181818181818</v>
      </c>
      <c r="W10" s="40">
        <f>Tabela5[[#This Row],[3pm]]/Tabela5[[#This Row],[3pa]]</f>
        <v>0.23809523809523808</v>
      </c>
      <c r="X10" s="40">
        <f>Tabela5[[#This Row],[ftm]]/Tabela5[[#This Row],[fta]]</f>
        <v>0.44444444444444442</v>
      </c>
      <c r="Y10" s="40">
        <f t="shared" si="0"/>
        <v>0.35081240768094535</v>
      </c>
      <c r="Z10" s="40">
        <f t="shared" si="1"/>
        <v>0.34440559440559443</v>
      </c>
      <c r="AA10" s="38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282</v>
      </c>
      <c r="AB10" s="40">
        <f t="shared" si="2"/>
        <v>9.4405594405594401E-2</v>
      </c>
      <c r="AC10" s="40">
        <f t="shared" si="3"/>
        <v>0.22027972027972029</v>
      </c>
      <c r="AD10" s="43">
        <f>(Tabela5[[#This Row],[fga]]+0.44*Tabela5[[#This Row],[fta]]-Tabela5[[#This Row],[oreb]])/Tabela5[[#This Row],[Played]]</f>
        <v>59.47</v>
      </c>
      <c r="AE10" s="43">
        <f>(SUMIF(tbl_ZESPOŁY_dane[zespół],Tabela5[[#This Row],[zespół]],tbl_ZESPOŁY_dane[Pace]))/Tabela5[[#This Row],[Played]]</f>
        <v>57.11</v>
      </c>
      <c r="AF10" s="43">
        <f>(Tabela5[[#This Row],[pts]]/Tabela5[[#This Row],[Poss]]*100)/Tabela5[[#This Row],[Played]]</f>
        <v>87.859424920127793</v>
      </c>
      <c r="AG10" s="43">
        <f>(SUMIFS(tbl_ZESPOŁY_dane[Drating],tbl_ZESPOŁY_dane[zespół],Tabela5[[#This Row],[zespół]],tbl_ZESPOŁY_dane[played?],1))/Tabela5[[#This Row],[Played]]</f>
        <v>81.988520953792815</v>
      </c>
      <c r="AH10" s="43">
        <f>Tabela5[[#This Row],[Orating]]-Tabela5[[#This Row],[Drating]]</f>
        <v>5.8709039663349785</v>
      </c>
      <c r="AI10" s="53">
        <f t="shared" si="4"/>
        <v>0.73076923076923073</v>
      </c>
      <c r="AJ10" s="40">
        <f>Tabela5[[#This Row],[asst]]/Tabela5[[#This Row],[fgm]]</f>
        <v>0.48351648351648352</v>
      </c>
      <c r="AK10" s="43">
        <f>Tabela5[[#This Row],[asst]]/Tabela5[[#This Row],[Poss]]*100</f>
        <v>73.986884143265513</v>
      </c>
      <c r="AL10" s="43">
        <f>(Tabela5[[#This Row],[eFG%]]*0.7+Tabela5[[#This Row],[AST%]]*0.3)*100</f>
        <v>38.61388611388611</v>
      </c>
      <c r="AM10" s="40">
        <f>Tabela5[[#This Row],[oreb]]/(Tabela5[[#This Row],[oreb]]+SUMIF(tbl_ZESPOŁY_dane[przeciwnik],Tabela5[[#This Row],[zespół]],tbl_ZESPOŁY_dane[dreb]))</f>
        <v>0.34285714285714286</v>
      </c>
      <c r="AN10" s="40">
        <f>Tabela5[[#This Row],[dreb]]/(Tabela5[[#This Row],[dreb]]+SUMIF(tbl_ZESPOŁY_dane[przeciwnik],Tabela5[[#This Row],[zespół]],tbl_ZESPOŁY_dane[oreb]))</f>
        <v>0.77551020408163263</v>
      </c>
      <c r="AO10" s="40">
        <f>Tabela5[[#This Row],[reb total]]/(Tabela5[[#This Row],[reb total]]+SUMIF(tbl_ZESPOŁY_dane[przeciwnik],Tabela5[[#This Row],[zespół]],tbl_ZESPOŁY_dane[reb total]))</f>
        <v>0.54037267080745344</v>
      </c>
      <c r="AP10" s="38">
        <f>Tabela5[[#This Row],[reb total]]-SUMIF(tbl_ZESPOŁY_dane[przeciwnik],Tabela5[[#This Row],[zespół]],tbl_ZESPOŁY_dane[reb total])</f>
        <v>26</v>
      </c>
      <c r="AQ10" s="40">
        <f>Tabela5[[#This Row],[oreb]]/(Tabela5[[#This Row],[fga]]-Tabela5[[#This Row],[fgm]])</f>
        <v>0.30769230769230771</v>
      </c>
      <c r="AR10" s="38">
        <f>(Tabela5[[#This Row],[oreb]]*1.1)+(Tabela5[[#This Row],[dreb]]*0.3)</f>
        <v>100.19999999999999</v>
      </c>
      <c r="AS10" s="38">
        <f t="shared" si="5"/>
        <v>207.89999999999998</v>
      </c>
      <c r="AT10" s="64">
        <f>(Tabela5[[#This Row],[fga]]-Tabela5[[#This Row],[3pa]])/Tabela5[[#This Row],[fga]]</f>
        <v>0.77972027972027969</v>
      </c>
      <c r="AU10" s="38">
        <f>SUMIF(tbl_ZESPOŁY_dane[zespół],Tabela5[[#This Row],[zespół]],tbl_ZESPOŁY_dane[Q1])</f>
        <v>52</v>
      </c>
      <c r="AV10" s="38">
        <f>SUMIF(tbl_ZESPOŁY_dane[zespół],Tabela5[[#This Row],[zespół]],tbl_ZESPOŁY_dane[Q2])</f>
        <v>51</v>
      </c>
      <c r="AW10" s="38">
        <f>SUMIF(tbl_ZESPOŁY_dane[zespół],Tabela5[[#This Row],[zespół]],tbl_ZESPOŁY_dane[Q3])</f>
        <v>42</v>
      </c>
      <c r="AX10" s="38">
        <f>SUMIF(tbl_ZESPOŁY_dane[zespół],Tabela5[[#This Row],[zespół]],tbl_ZESPOŁY_dane[Q4])</f>
        <v>58</v>
      </c>
      <c r="AY10" s="38">
        <f>SUMIF(tbl_ZESPOŁY_dane[zespół],Tabela5[[#This Row],[zespół]],tbl_ZESPOŁY_dane[O1])</f>
        <v>41</v>
      </c>
      <c r="AZ10" s="38">
        <f>SUMIF(tbl_ZESPOŁY_dane[zespół],Tabela5[[#This Row],[zespół]],tbl_ZESPOŁY_dane[O2])</f>
        <v>30</v>
      </c>
      <c r="BA10" s="38">
        <f>SUMIF(tbl_ZESPOŁY_dane[zespół],Tabela5[[#This Row],[zespół]],tbl_ZESPOŁY_dane[O3])</f>
        <v>51</v>
      </c>
      <c r="BB10" s="38">
        <f>SUMIF(tbl_ZESPOŁY_dane[zespół],Tabela5[[#This Row],[zespół]],tbl_ZESPOŁY_dane[O4])</f>
        <v>58</v>
      </c>
      <c r="BC10" s="38">
        <f>Tabela5[[#This Row],[O1]]+Tabela5[[#This Row],[O2]]+Tabela5[[#This Row],[O3]]+Tabela5[[#This Row],[O4]]</f>
        <v>180</v>
      </c>
      <c r="BD10" s="40">
        <f>Tabela5[[#This Row],[Q1]]/Tabela5[[#This Row],[pts]]</f>
        <v>0.24880382775119617</v>
      </c>
      <c r="BE10" s="40">
        <f>Tabela5[[#This Row],[Q2]]/Tabela5[[#This Row],[pts]]</f>
        <v>0.24401913875598086</v>
      </c>
      <c r="BF10" s="40">
        <f>Tabela5[[#This Row],[Q3]]/Tabela5[[#This Row],[pts]]</f>
        <v>0.20095693779904306</v>
      </c>
      <c r="BG10" s="40">
        <f>Tabela5[[#This Row],[Q4]]/Tabela5[[#This Row],[pts]]</f>
        <v>0.27751196172248804</v>
      </c>
      <c r="BH10" s="40">
        <f>Tabela5[[#This Row],[O1]]/Tabela5[[#This Row],[pts OPP]]</f>
        <v>0.22777777777777777</v>
      </c>
      <c r="BI10" s="40">
        <f>Tabela5[[#This Row],[O2]]/Tabela5[[#This Row],[pts OPP]]</f>
        <v>0.16666666666666666</v>
      </c>
      <c r="BJ10" s="40">
        <f>Tabela5[[#This Row],[O3]]/Tabela5[[#This Row],[pts OPP]]</f>
        <v>0.28333333333333333</v>
      </c>
      <c r="BK10" s="40">
        <f>Tabela5[[#This Row],[O4]]/Tabela5[[#This Row],[pts OPP]]</f>
        <v>0.32222222222222224</v>
      </c>
    </row>
    <row r="11" spans="1:63" x14ac:dyDescent="0.35">
      <c r="A11" s="32" t="s">
        <v>156</v>
      </c>
      <c r="B11" s="32"/>
      <c r="C11" s="32"/>
      <c r="D11" s="32"/>
      <c r="E11" s="32"/>
      <c r="F11" s="6">
        <f>AVERAGE(Tabela5[fgm])</f>
        <v>83.333333333333329</v>
      </c>
      <c r="G11" s="6">
        <f>AVERAGE(Tabela5[fga])</f>
        <v>271.66666666666669</v>
      </c>
      <c r="H11" s="6">
        <f>AVERAGE(Tabela5[3pm])</f>
        <v>19.5</v>
      </c>
      <c r="I11" s="6">
        <f>AVERAGE(Tabela5[3pa])</f>
        <v>90.333333333333329</v>
      </c>
      <c r="J11" s="6">
        <f>AVERAGE(Tabela5[ftm])</f>
        <v>21.666666666666668</v>
      </c>
      <c r="K11" s="6">
        <f>AVERAGE(Tabela5[fta])</f>
        <v>42.333333333333336</v>
      </c>
      <c r="L11" s="6">
        <f>AVERAGE(Tabela5[oreb])</f>
        <v>50.333333333333336</v>
      </c>
      <c r="M11" s="6">
        <f>AVERAGE(Tabela5[dreb])</f>
        <v>116.66666666666667</v>
      </c>
      <c r="N11" s="6">
        <f>AVERAGE(Tabela5[foul])</f>
        <v>32.833333333333336</v>
      </c>
      <c r="O11" s="6">
        <f>AVERAGE(Tabela5[stl])</f>
        <v>47</v>
      </c>
      <c r="P11" s="6">
        <f>AVERAGE(Tabela5[to])</f>
        <v>0</v>
      </c>
      <c r="Q11" s="6">
        <f>AVERAGE(Tabela5[blk])</f>
        <v>12</v>
      </c>
      <c r="R11" s="6">
        <f>AVERAGE(Tabela5[asst])</f>
        <v>50.833333333333336</v>
      </c>
      <c r="S11" s="6">
        <f>AVERAGE(Tabela5[min])</f>
        <v>761.16666666666663</v>
      </c>
      <c r="T11" s="6">
        <f>AVERAGE(Tabela5[pts])</f>
        <v>208.16666666666666</v>
      </c>
      <c r="U11" s="6">
        <f>AVERAGE(Tabela5[reb total])</f>
        <v>167</v>
      </c>
      <c r="V11" s="24">
        <f>AVERAGE(Tabela5[fg%])</f>
        <v>0.30555283828456503</v>
      </c>
      <c r="W11" s="24">
        <f>AVERAGE(Tabela5[3p%])</f>
        <v>0.21435185784941757</v>
      </c>
      <c r="X11" s="24">
        <f>AVERAGE(Tabela5[ft%])</f>
        <v>0.51094551282051281</v>
      </c>
      <c r="Y11" s="24">
        <f>AVERAGE(Tabela5[TS%])</f>
        <v>0.35734540808029863</v>
      </c>
      <c r="Z11" s="24">
        <f>AVERAGE(Tabela5[eFG%])</f>
        <v>0.3414350612872214</v>
      </c>
      <c r="AA11" s="6">
        <f>AVERAGE(Tabela5[eval (bez strat)])</f>
        <v>276</v>
      </c>
      <c r="AB11" s="24">
        <f>AVERAGE(Tabela5[FTr])</f>
        <v>0.15643238395675974</v>
      </c>
      <c r="AC11" s="24">
        <f>AVERAGE(Tabela5[[3PAr ]])</f>
        <v>0.33362600960421435</v>
      </c>
      <c r="AD11" s="6">
        <f>AVERAGE(Tabela5[Poss])</f>
        <v>59.989999999999988</v>
      </c>
      <c r="AE11" s="6">
        <f>AVERAGE(Tabela5[Pace])</f>
        <v>59.99</v>
      </c>
      <c r="AF11" s="6">
        <f>AVERAGE(Tabela5[Orating])</f>
        <v>86.481321073459654</v>
      </c>
      <c r="AG11" s="6">
        <f>AVERAGE(Tabela5[Drating])</f>
        <v>85.924204465815535</v>
      </c>
      <c r="AH11" s="6">
        <f>AVERAGE(Tabela5[Net RTG])</f>
        <v>0.55711660764410453</v>
      </c>
      <c r="AI11" s="6">
        <f>AVERAGE(Tabela5[Points per Shot])</f>
        <v>0.76435367671581933</v>
      </c>
      <c r="AJ11" s="24">
        <f>AVERAGE(Tabela5[AST%])</f>
        <v>0.61403724017238137</v>
      </c>
      <c r="AK11" s="6">
        <f>AVERAGE(Tabela5[ASTR])</f>
        <v>84.825817485079781</v>
      </c>
      <c r="AL11" s="6">
        <f>AVERAGE(Tabela5[SQI])</f>
        <v>42.321571495276942</v>
      </c>
      <c r="AM11" s="24">
        <f>AVERAGE(Tabela5[ORB%])</f>
        <v>0.30048135707197304</v>
      </c>
      <c r="AN11" s="24">
        <f>AVERAGE(Tabela5[DRB%])</f>
        <v>0.70154594785763591</v>
      </c>
      <c r="AO11" s="24">
        <f>AVERAGE(Tabela5[TRB%])</f>
        <v>0.50010069124406209</v>
      </c>
      <c r="AP11" s="6">
        <f>AVERAGE(Tabela5[RebDiff])</f>
        <v>0</v>
      </c>
      <c r="AQ11" s="24">
        <f>AVERAGE(Tabela5[OR.R])</f>
        <v>0.26623152417808599</v>
      </c>
      <c r="AR11" s="6">
        <f>AVERAGE(Tabela5[RPA])</f>
        <v>90.366666666666674</v>
      </c>
      <c r="AS11" s="6">
        <f>AVERAGE(Tabela5[GmScore])</f>
        <v>204.2833333333333</v>
      </c>
      <c r="AT11" s="24">
        <f>AVERAGE(Tabela5[2pAr])</f>
        <v>0.6663739903957856</v>
      </c>
    </row>
    <row r="17" spans="1:63" x14ac:dyDescent="0.35">
      <c r="P17" t="s">
        <v>158</v>
      </c>
    </row>
    <row r="18" spans="1:63" ht="53.5" x14ac:dyDescent="0.35"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122</v>
      </c>
      <c r="AK18" s="27" t="s">
        <v>130</v>
      </c>
      <c r="AL18" s="27" t="s">
        <v>154</v>
      </c>
      <c r="AM18" s="27"/>
      <c r="AN18" s="27"/>
      <c r="AO18" s="27"/>
      <c r="AP18" s="27"/>
      <c r="AQ18" s="27" t="s">
        <v>142</v>
      </c>
      <c r="AR18" s="27" t="s">
        <v>145</v>
      </c>
      <c r="AS18" s="27"/>
    </row>
    <row r="19" spans="1:63" ht="58" x14ac:dyDescent="0.35">
      <c r="AA19" s="8" t="s">
        <v>67</v>
      </c>
      <c r="AB19" s="8" t="s">
        <v>61</v>
      </c>
      <c r="AC19" s="8" t="s">
        <v>63</v>
      </c>
      <c r="AD19" s="8" t="s">
        <v>125</v>
      </c>
      <c r="AE19" s="8" t="s">
        <v>152</v>
      </c>
      <c r="AF19" s="36" t="s">
        <v>127</v>
      </c>
      <c r="AG19" s="36" t="s">
        <v>128</v>
      </c>
      <c r="AH19" s="36" t="s">
        <v>132</v>
      </c>
      <c r="AI19" s="36" t="s">
        <v>42</v>
      </c>
      <c r="AJ19" s="35" t="s">
        <v>121</v>
      </c>
      <c r="AK19" s="35" t="s">
        <v>131</v>
      </c>
      <c r="AL19" s="35" t="s">
        <v>148</v>
      </c>
      <c r="AM19" s="33"/>
      <c r="AN19" s="33"/>
      <c r="AO19" s="33"/>
      <c r="AP19" s="33"/>
      <c r="AQ19" s="34" t="s">
        <v>141</v>
      </c>
      <c r="AR19" s="34" t="s">
        <v>144</v>
      </c>
      <c r="AS19" s="8" t="s">
        <v>155</v>
      </c>
    </row>
    <row r="20" spans="1:63" x14ac:dyDescent="0.35">
      <c r="A20" s="49" t="s">
        <v>38</v>
      </c>
      <c r="B20" s="49" t="s">
        <v>149</v>
      </c>
      <c r="C20" s="49" t="s">
        <v>124</v>
      </c>
      <c r="D20" s="49" t="s">
        <v>113</v>
      </c>
      <c r="E20" s="49" t="s">
        <v>59</v>
      </c>
      <c r="F20" s="49" t="s">
        <v>26</v>
      </c>
      <c r="G20" s="49" t="s">
        <v>27</v>
      </c>
      <c r="H20" s="49" t="s">
        <v>28</v>
      </c>
      <c r="I20" s="49" t="s">
        <v>29</v>
      </c>
      <c r="J20" s="49" t="s">
        <v>30</v>
      </c>
      <c r="K20" s="49" t="s">
        <v>31</v>
      </c>
      <c r="L20" s="49" t="s">
        <v>2</v>
      </c>
      <c r="M20" s="49" t="s">
        <v>3</v>
      </c>
      <c r="N20" s="49" t="s">
        <v>4</v>
      </c>
      <c r="O20" s="49" t="s">
        <v>5</v>
      </c>
      <c r="P20" s="49" t="s">
        <v>6</v>
      </c>
      <c r="Q20" s="49" t="s">
        <v>7</v>
      </c>
      <c r="R20" s="49" t="s">
        <v>8</v>
      </c>
      <c r="S20" s="49" t="s">
        <v>9</v>
      </c>
      <c r="T20" s="49" t="s">
        <v>10</v>
      </c>
      <c r="U20" s="49" t="s">
        <v>32</v>
      </c>
      <c r="V20" s="50" t="s">
        <v>0</v>
      </c>
      <c r="W20" s="50" t="s">
        <v>33</v>
      </c>
      <c r="X20" s="50" t="s">
        <v>1</v>
      </c>
      <c r="Y20" s="49" t="s">
        <v>34</v>
      </c>
      <c r="Z20" s="49" t="s">
        <v>40</v>
      </c>
      <c r="AA20" s="49" t="s">
        <v>35</v>
      </c>
      <c r="AB20" s="49" t="s">
        <v>60</v>
      </c>
      <c r="AC20" s="49" t="s">
        <v>62</v>
      </c>
      <c r="AD20" s="49" t="s">
        <v>126</v>
      </c>
      <c r="AE20" s="49" t="s">
        <v>133</v>
      </c>
      <c r="AF20" s="49" t="s">
        <v>135</v>
      </c>
      <c r="AG20" s="49" t="s">
        <v>134</v>
      </c>
      <c r="AH20" s="49" t="s">
        <v>153</v>
      </c>
      <c r="AI20" s="49" t="s">
        <v>42</v>
      </c>
      <c r="AJ20" s="49" t="s">
        <v>120</v>
      </c>
      <c r="AK20" s="49" t="s">
        <v>123</v>
      </c>
      <c r="AL20" s="49" t="s">
        <v>147</v>
      </c>
      <c r="AM20" s="49" t="s">
        <v>136</v>
      </c>
      <c r="AN20" s="49" t="s">
        <v>137</v>
      </c>
      <c r="AO20" s="49" t="s">
        <v>138</v>
      </c>
      <c r="AP20" s="49" t="s">
        <v>139</v>
      </c>
      <c r="AQ20" s="49" t="s">
        <v>140</v>
      </c>
      <c r="AR20" s="49" t="s">
        <v>143</v>
      </c>
      <c r="AS20" s="51" t="s">
        <v>146</v>
      </c>
      <c r="AT20" s="49" t="s">
        <v>292</v>
      </c>
      <c r="AU20" s="49" t="s">
        <v>356</v>
      </c>
      <c r="AV20" s="49" t="s">
        <v>357</v>
      </c>
      <c r="AW20" s="49" t="s">
        <v>358</v>
      </c>
      <c r="AX20" s="49" t="s">
        <v>359</v>
      </c>
      <c r="AY20" s="49" t="s">
        <v>360</v>
      </c>
      <c r="AZ20" s="49" t="s">
        <v>361</v>
      </c>
      <c r="BA20" s="49" t="s">
        <v>362</v>
      </c>
      <c r="BB20" s="49" t="s">
        <v>363</v>
      </c>
      <c r="BC20" s="49" t="s">
        <v>364</v>
      </c>
      <c r="BD20" s="49" t="s">
        <v>372</v>
      </c>
      <c r="BE20" s="49" t="s">
        <v>373</v>
      </c>
      <c r="BF20" s="49" t="s">
        <v>374</v>
      </c>
      <c r="BG20" s="49" t="s">
        <v>375</v>
      </c>
      <c r="BH20" s="49" t="s">
        <v>376</v>
      </c>
      <c r="BI20" s="49" t="s">
        <v>377</v>
      </c>
      <c r="BJ20" s="49" t="s">
        <v>378</v>
      </c>
      <c r="BK20" s="49" t="s">
        <v>379</v>
      </c>
    </row>
    <row r="21" spans="1:63" x14ac:dyDescent="0.35">
      <c r="A21" s="46" t="s">
        <v>19</v>
      </c>
      <c r="B21" s="52">
        <f>SUMIF(tbl_ZESPOŁY_dane[zespół],tbl_zespoły_średnie[[#This Row],[zespół]],tbl_ZESPOŁY_dane[played?])</f>
        <v>4</v>
      </c>
      <c r="C21" s="52"/>
      <c r="D21" s="52"/>
      <c r="E21" s="52"/>
      <c r="F21">
        <f>(SUMIF(tbl_ZESPOŁY_dane[zespół],$A21,tbl_ZESPOŁY_dane[fgm]))/tbl_zespoły_średnie[[#This Row],[Played]]</f>
        <v>18.75</v>
      </c>
      <c r="G21">
        <f>(SUMIF(tbl_ZESPOŁY_dane[zespół],$A21,tbl_ZESPOŁY_dane[fga]))/tbl_zespoły_średnie[[#This Row],[Played]]</f>
        <v>67</v>
      </c>
      <c r="H21">
        <f>(SUMIF(tbl_ZESPOŁY_dane[zespół],$A21,tbl_ZESPOŁY_dane[3pm]))/tbl_zespoły_średnie[[#This Row],[Played]]</f>
        <v>3.25</v>
      </c>
      <c r="I21">
        <f>SUMIF(tbl_ZESPOŁY_dane[zespół],$A21,tbl_ZESPOŁY_dane[3pa])/tbl_zespoły_średnie[[#This Row],[Played]]</f>
        <v>20</v>
      </c>
      <c r="J21">
        <f>SUMIF(tbl_ZESPOŁY_dane[zespół],$A21,tbl_ZESPOŁY_dane[ftm])/tbl_zespoły_średnie[[#This Row],[Played]]</f>
        <v>3.75</v>
      </c>
      <c r="K21">
        <f>SUMIF(tbl_ZESPOŁY_dane[zespół],$A21,tbl_ZESPOŁY_dane[fta])/tbl_zespoły_średnie[[#This Row],[Played]]</f>
        <v>6.5</v>
      </c>
      <c r="L21">
        <f>SUMIF(tbl_ZESPOŁY_dane[zespół],$A21,tbl_ZESPOŁY_dane[oreb])/tbl_zespoły_średnie[[#This Row],[Played]]</f>
        <v>15</v>
      </c>
      <c r="M21">
        <f>SUMIF(tbl_ZESPOŁY_dane[zespół],$A21,tbl_ZESPOŁY_dane[dreb])/tbl_zespoły_średnie[[#This Row],[Played]]</f>
        <v>31</v>
      </c>
      <c r="N21">
        <f>SUMIF(tbl_ZESPOŁY_dane[zespół],$A21,tbl_ZESPOŁY_dane[foul])/tbl_zespoły_średnie[[#This Row],[Played]]</f>
        <v>10.75</v>
      </c>
      <c r="O21">
        <f>SUMIF(tbl_ZESPOŁY_dane[zespół],$A21,tbl_ZESPOŁY_dane[stl])/tbl_zespoły_średnie[[#This Row],[Played]]</f>
        <v>8.75</v>
      </c>
      <c r="P21">
        <f>SUMIF(tbl_ZESPOŁY_dane[zespół],$A21,tbl_ZESPOŁY_dane[to])/tbl_zespoły_średnie[[#This Row],[Played]]</f>
        <v>0</v>
      </c>
      <c r="Q21">
        <f>SUMIF(tbl_ZESPOŁY_dane[zespół],$A21,tbl_ZESPOŁY_dane[blk])/tbl_zespoły_średnie[[#This Row],[Played]]</f>
        <v>3.25</v>
      </c>
      <c r="R21">
        <f>SUMIF(tbl_ZESPOŁY_dane[zespół],$A21,tbl_ZESPOŁY_dane[asst])/tbl_zespoły_średnie[[#This Row],[Played]]</f>
        <v>11.5</v>
      </c>
      <c r="S21">
        <f>SUMIF(tbl_ZESPOŁY_dane[zespół],$A21,tbl_ZESPOŁY_dane[min])/tbl_zespoły_średnie[[#This Row],[Played]]</f>
        <v>193.25</v>
      </c>
      <c r="T21">
        <f>SUMIF(tbl_ZESPOŁY_dane[zespół],$A21,tbl_ZESPOŁY_dane[pts])/tbl_zespoły_średnie[[#This Row],[Played]]</f>
        <v>44.5</v>
      </c>
      <c r="U21">
        <f>(tbl_zespoły_średnie[[#This Row],[oreb]]+tbl_zespoły_średnie[[#This Row],[dreb]])</f>
        <v>46</v>
      </c>
      <c r="V21" s="4">
        <f>tbl_zespoły_średnie[[#This Row],[fgm]]/tbl_zespoły_średnie[[#This Row],[fga]]</f>
        <v>0.27985074626865669</v>
      </c>
      <c r="W21" s="4">
        <f>tbl_zespoły_średnie[[#This Row],[3pm]]/tbl_zespoły_średnie[[#This Row],[3pa]]</f>
        <v>0.16250000000000001</v>
      </c>
      <c r="X21" s="4">
        <f>tbl_zespoły_średnie[[#This Row],[ftm]]/tbl_zespoły_średnie[[#This Row],[fta]]</f>
        <v>0.57692307692307687</v>
      </c>
      <c r="Y21" s="4">
        <f t="shared" ref="Y21:Y26" si="6">T21/(2*(G21+0.44*K21))</f>
        <v>0.31849413111938163</v>
      </c>
      <c r="Z21" s="4">
        <f t="shared" ref="Z21:Z26" si="7">(F21+0.5*H21)/G21</f>
        <v>0.30410447761194032</v>
      </c>
      <c r="AA21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63</v>
      </c>
      <c r="AB21" s="4">
        <f>K21/G21</f>
        <v>9.7014925373134331E-2</v>
      </c>
      <c r="AC21" s="4">
        <f>I21/G21</f>
        <v>0.29850746268656714</v>
      </c>
      <c r="AD21" s="6">
        <f>tbl_zespoły_średnie[[#This Row],[fga]]+0.44*tbl_zespoły_średnie[[#This Row],[fta]]-tbl_zespoły_średnie[[#This Row],[oreb]]</f>
        <v>54.86</v>
      </c>
      <c r="AE21" s="6">
        <f>(SUMIF(tbl_ZESPOŁY_dane[zespół],tbl_zespoły_średnie[[#This Row],[zespół]],tbl_ZESPOŁY_dane[Pace]))/tbl_zespoły_średnie[[#This Row],[Played]]</f>
        <v>57.589999999999996</v>
      </c>
      <c r="AF21" s="31">
        <f>tbl_zespoły_średnie[[#This Row],[pts]]/tbl_zespoły_średnie[[#This Row],[Poss]]*100</f>
        <v>81.115566897557429</v>
      </c>
      <c r="AG21" s="31">
        <f t="shared" ref="AG21:AG26" si="8">AG5</f>
        <v>80.507075105276542</v>
      </c>
      <c r="AH21" s="6">
        <f>tbl_zespoły_średnie[[#This Row],[Orating]]-tbl_zespoły_średnie[[#This Row],[Drating]]</f>
        <v>0.60849179228088701</v>
      </c>
      <c r="AI21" s="5">
        <f t="shared" ref="AI21:AI26" si="9">T21/G21</f>
        <v>0.66417910447761197</v>
      </c>
      <c r="AJ21" s="4">
        <f>tbl_zespoły_średnie[[#This Row],[asst]]/tbl_zespoły_średnie[[#This Row],[fgm]]</f>
        <v>0.61333333333333329</v>
      </c>
      <c r="AK21" s="6">
        <f>tbl_zespoły_średnie[[#This Row],[asst]]/tbl_zespoły_średnie[[#This Row],[Poss]]*100</f>
        <v>20.96244987240248</v>
      </c>
      <c r="AL21" s="6">
        <f>(tbl_zespoły_średnie[[#This Row],[eFG%]]*0.7+tbl_zespoły_średnie[[#This Row],[AST%]]*0.3)*100</f>
        <v>39.687313432835822</v>
      </c>
      <c r="AM21" s="4">
        <f t="shared" ref="AM21:AM26" si="10">AM5</f>
        <v>0.36585365853658536</v>
      </c>
      <c r="AN21" s="4">
        <f t="shared" ref="AN21:AN26" si="11">AN5</f>
        <v>0.69273743016759781</v>
      </c>
      <c r="AO21" s="4">
        <f t="shared" ref="AO21:AO26" si="12">AO5</f>
        <v>0.53644314868804666</v>
      </c>
      <c r="AP21">
        <f>SUMIFS(tbl_ZESPOŁY_dane[RebDiff],tbl_ZESPOŁY_dane[zespół],tbl_zespoły_średnie[[#This Row],[zespół]])</f>
        <v>25</v>
      </c>
      <c r="AQ21" s="4">
        <f>tbl_zespoły_średnie[[#This Row],[oreb]]/(tbl_zespoły_średnie[[#This Row],[fga]]-tbl_zespoły_średnie[[#This Row],[fgm]])</f>
        <v>0.31088082901554404</v>
      </c>
      <c r="AR21">
        <f>(tbl_zespoły_średnie[[#This Row],[oreb]]*1.1)+(tbl_zespoły_średnie[[#This Row],[dreb]]*0.3)</f>
        <v>25.799999999999997</v>
      </c>
      <c r="AS21">
        <f>T21+0.4*F21-0.7*G21-0.4*(K21-J21)+0.7*L21+0.3*M21+O21+0.7*R21+0.7*Q21</f>
        <v>42.874999999999993</v>
      </c>
      <c r="AT21" s="4">
        <f>(tbl_zespoły_średnie[[#This Row],[fga]]-tbl_zespoły_średnie[[#This Row],[3pa]])/tbl_zespoły_średnie[[#This Row],[fga]]</f>
        <v>0.70149253731343286</v>
      </c>
      <c r="AU21">
        <f>SUMIF(tbl_ZESPOŁY_dane[zespół],tbl_zespoły_średnie[[#This Row],[zespół]],tbl_ZESPOŁY_dane[Q1])/tbl_zespoły_średnie[[#This Row],[Played]]</f>
        <v>10.75</v>
      </c>
      <c r="AV21">
        <f>SUMIF(tbl_ZESPOŁY_dane[zespół],tbl_zespoły_średnie[[#This Row],[zespół]],tbl_ZESPOŁY_dane[Q2])/tbl_zespoły_średnie[[#This Row],[Played]]</f>
        <v>11</v>
      </c>
      <c r="AW21">
        <f>SUMIF(tbl_ZESPOŁY_dane[zespół],tbl_zespoły_średnie[[#This Row],[zespół]],tbl_ZESPOŁY_dane[Q3])/tbl_zespoły_średnie[[#This Row],[Played]]</f>
        <v>12.5</v>
      </c>
      <c r="AX21">
        <f>SUMIF(tbl_ZESPOŁY_dane[zespół],tbl_zespoły_średnie[[#This Row],[zespół]],tbl_ZESPOŁY_dane[Q4])/tbl_zespoły_średnie[[#This Row],[Played]]</f>
        <v>10.25</v>
      </c>
      <c r="AY21">
        <f>SUMIF(tbl_ZESPOŁY_dane[zespół],tbl_zespoły_średnie[[#This Row],[zespół]],tbl_ZESPOŁY_dane[O1])/tbl_zespoły_średnie[[#This Row],[Played]]</f>
        <v>13.75</v>
      </c>
      <c r="AZ21">
        <f>SUMIF(tbl_ZESPOŁY_dane[zespół],tbl_zespoły_średnie[[#This Row],[zespół]],tbl_ZESPOŁY_dane[O2])/tbl_zespoły_średnie[[#This Row],[Played]]</f>
        <v>12.25</v>
      </c>
      <c r="BA21">
        <f>SUMIF(tbl_ZESPOŁY_dane[zespół],tbl_zespoły_średnie[[#This Row],[zespół]],tbl_ZESPOŁY_dane[O3])/tbl_zespoły_średnie[[#This Row],[Played]]</f>
        <v>9.75</v>
      </c>
      <c r="BB21">
        <f>SUMIF(tbl_ZESPOŁY_dane[zespół],tbl_zespoły_średnie[[#This Row],[zespół]],tbl_ZESPOŁY_dane[O4])/tbl_zespoły_średnie[[#This Row],[Played]]</f>
        <v>13.25</v>
      </c>
      <c r="BC21">
        <f>BC5/tbl_zespoły_średnie[[#This Row],[Played]]</f>
        <v>49</v>
      </c>
      <c r="BD21" s="4">
        <f t="shared" ref="BD21:BK21" si="13">BD5</f>
        <v>0.24157303370786518</v>
      </c>
      <c r="BE21" s="4">
        <f t="shared" si="13"/>
        <v>0.24719101123595505</v>
      </c>
      <c r="BF21" s="4">
        <f t="shared" si="13"/>
        <v>0.2808988764044944</v>
      </c>
      <c r="BG21" s="4">
        <f t="shared" si="13"/>
        <v>0.2303370786516854</v>
      </c>
      <c r="BH21" s="4">
        <f t="shared" si="13"/>
        <v>0.28061224489795916</v>
      </c>
      <c r="BI21" s="4">
        <f t="shared" si="13"/>
        <v>0.25</v>
      </c>
      <c r="BJ21" s="4">
        <f t="shared" si="13"/>
        <v>0.19897959183673469</v>
      </c>
      <c r="BK21" s="4">
        <f t="shared" si="13"/>
        <v>0.27040816326530615</v>
      </c>
    </row>
    <row r="22" spans="1:63" x14ac:dyDescent="0.35">
      <c r="A22" s="47" t="s">
        <v>25</v>
      </c>
      <c r="B22" s="32">
        <f>SUMIF(tbl_ZESPOŁY_dane[zespół],tbl_zespoły_średnie[[#This Row],[zespół]],tbl_ZESPOŁY_dane[played?])</f>
        <v>4</v>
      </c>
      <c r="C22" s="32"/>
      <c r="D22" s="32"/>
      <c r="E22" s="32"/>
      <c r="F22">
        <f>(SUMIF(tbl_ZESPOŁY_dane[zespół],$A22,tbl_ZESPOŁY_dane[fgm]))/tbl_zespoły_średnie[[#This Row],[Played]]</f>
        <v>24.25</v>
      </c>
      <c r="G22">
        <f>(SUMIF(tbl_ZESPOŁY_dane[zespół],$A22,tbl_ZESPOŁY_dane[fga]))/tbl_zespoły_średnie[[#This Row],[Played]]</f>
        <v>70.75</v>
      </c>
      <c r="H22">
        <f>(SUMIF(tbl_ZESPOŁY_dane[zespół],$A22,tbl_ZESPOŁY_dane[3pm]))/tbl_zespoły_średnie[[#This Row],[Played]]</f>
        <v>5.25</v>
      </c>
      <c r="I22">
        <f>SUMIF(tbl_ZESPOŁY_dane[zespół],$A22,tbl_ZESPOŁY_dane[3pa])/tbl_zespoły_średnie[[#This Row],[Played]]</f>
        <v>25.75</v>
      </c>
      <c r="J22">
        <f>SUMIF(tbl_ZESPOŁY_dane[zespół],$A22,tbl_ZESPOŁY_dane[ftm])/tbl_zespoły_średnie[[#This Row],[Played]]</f>
        <v>3.75</v>
      </c>
      <c r="K22">
        <f>SUMIF(tbl_ZESPOŁY_dane[zespół],$A22,tbl_ZESPOŁY_dane[fta])/tbl_zespoły_średnie[[#This Row],[Played]]</f>
        <v>8</v>
      </c>
      <c r="L22">
        <f>SUMIF(tbl_ZESPOŁY_dane[zespół],$A22,tbl_ZESPOŁY_dane[oreb])/tbl_zespoły_średnie[[#This Row],[Played]]</f>
        <v>14</v>
      </c>
      <c r="M22">
        <f>SUMIF(tbl_ZESPOŁY_dane[zespół],$A22,tbl_ZESPOŁY_dane[dreb])/tbl_zespoły_średnie[[#This Row],[Played]]</f>
        <v>26.5</v>
      </c>
      <c r="N22">
        <f>SUMIF(tbl_ZESPOŁY_dane[zespół],$A22,tbl_ZESPOŁY_dane[foul])/tbl_zespoły_średnie[[#This Row],[Played]]</f>
        <v>6.25</v>
      </c>
      <c r="O22">
        <f>SUMIF(tbl_ZESPOŁY_dane[zespół],$A22,tbl_ZESPOŁY_dane[stl])/tbl_zespoły_średnie[[#This Row],[Played]]</f>
        <v>13</v>
      </c>
      <c r="P22">
        <f>SUMIF(tbl_ZESPOŁY_dane[zespół],$A22,tbl_ZESPOŁY_dane[to])/tbl_zespoły_średnie[[#This Row],[Played]]</f>
        <v>0</v>
      </c>
      <c r="Q22">
        <f>SUMIF(tbl_ZESPOŁY_dane[zespół],$A22,tbl_ZESPOŁY_dane[blk])/tbl_zespoły_średnie[[#This Row],[Played]]</f>
        <v>2.25</v>
      </c>
      <c r="R22">
        <f>SUMIF(tbl_ZESPOŁY_dane[zespół],$A22,tbl_ZESPOŁY_dane[asst])/tbl_zespoły_średnie[[#This Row],[Played]]</f>
        <v>16.25</v>
      </c>
      <c r="S22">
        <f>SUMIF(tbl_ZESPOŁY_dane[zespół],$A22,tbl_ZESPOŁY_dane[min])/tbl_zespoły_średnie[[#This Row],[Played]]</f>
        <v>188.75</v>
      </c>
      <c r="T22">
        <f>SUMIF(tbl_ZESPOŁY_dane[zespół],$A22,tbl_ZESPOŁY_dane[pts])/tbl_zespoły_średnie[[#This Row],[Played]]</f>
        <v>58</v>
      </c>
      <c r="U22">
        <f>(tbl_zespoły_średnie[[#This Row],[oreb]]+tbl_zespoły_średnie[[#This Row],[dreb]])</f>
        <v>40.5</v>
      </c>
      <c r="V22" s="4">
        <f>tbl_zespoły_średnie[[#This Row],[fgm]]/tbl_zespoły_średnie[[#This Row],[fga]]</f>
        <v>0.34275618374558303</v>
      </c>
      <c r="W22" s="4">
        <f>tbl_zespoły_średnie[[#This Row],[3pm]]/tbl_zespoły_średnie[[#This Row],[3pa]]</f>
        <v>0.20388349514563106</v>
      </c>
      <c r="X22" s="4">
        <f>tbl_zespoły_średnie[[#This Row],[ftm]]/tbl_zespoły_średnie[[#This Row],[fta]]</f>
        <v>0.46875</v>
      </c>
      <c r="Y22" s="4">
        <f t="shared" si="6"/>
        <v>0.39046721421839237</v>
      </c>
      <c r="Z22" s="4">
        <f t="shared" si="7"/>
        <v>0.37985865724381623</v>
      </c>
      <c r="AA22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79.25</v>
      </c>
      <c r="AB22" s="4">
        <f t="shared" ref="AB22:AB26" si="14">K22/G22</f>
        <v>0.11307420494699646</v>
      </c>
      <c r="AC22" s="4">
        <f t="shared" ref="AC22:AC26" si="15">I22/G22</f>
        <v>0.36395759717314485</v>
      </c>
      <c r="AD22" s="6">
        <f>tbl_zespoły_średnie[[#This Row],[fga]]+0.44*tbl_zespoły_średnie[[#This Row],[fta]]-tbl_zespoły_średnie[[#This Row],[oreb]]</f>
        <v>60.269999999999996</v>
      </c>
      <c r="AE22" s="6">
        <f>(SUMIF(tbl_ZESPOŁY_dane[zespół],tbl_zespoły_średnie[[#This Row],[zespół]],tbl_ZESPOŁY_dane[Pace]))/tbl_zespoły_średnie[[#This Row],[Played]]</f>
        <v>60.864999999999995</v>
      </c>
      <c r="AF22" s="6">
        <f>tbl_zespoły_średnie[[#This Row],[pts]]/tbl_zespoły_średnie[[#This Row],[Poss]]*100</f>
        <v>96.233615397378472</v>
      </c>
      <c r="AG22" s="6">
        <f t="shared" si="8"/>
        <v>95.208076229376019</v>
      </c>
      <c r="AH22" s="6">
        <f>tbl_zespoły_średnie[[#This Row],[Orating]]-tbl_zespoły_średnie[[#This Row],[Drating]]</f>
        <v>1.025539168002453</v>
      </c>
      <c r="AI22" s="5">
        <f t="shared" si="9"/>
        <v>0.81978798586572443</v>
      </c>
      <c r="AJ22" s="4">
        <f>tbl_zespoły_średnie[[#This Row],[asst]]/tbl_zespoły_średnie[[#This Row],[fgm]]</f>
        <v>0.67010309278350511</v>
      </c>
      <c r="AK22" s="6">
        <f>tbl_zespoły_średnie[[#This Row],[asst]]/tbl_zespoły_średnie[[#This Row],[Poss]]*100</f>
        <v>26.962004313920691</v>
      </c>
      <c r="AL22" s="6">
        <f>(tbl_zespoły_średnie[[#This Row],[eFG%]]*0.7+tbl_zespoły_średnie[[#This Row],[AST%]]*0.3)*100</f>
        <v>46.693198790572289</v>
      </c>
      <c r="AM22" s="4">
        <f t="shared" si="10"/>
        <v>0.32558139534883723</v>
      </c>
      <c r="AN22" s="4">
        <f t="shared" si="11"/>
        <v>0.68387096774193545</v>
      </c>
      <c r="AO22" s="4">
        <f t="shared" si="12"/>
        <v>0.49541284403669728</v>
      </c>
      <c r="AP22">
        <f>SUMIFS(tbl_ZESPOŁY_dane[RebDiff],tbl_ZESPOŁY_dane[zespół],tbl_zespoły_średnie[[#This Row],[zespół]])</f>
        <v>-3</v>
      </c>
      <c r="AQ22" s="4">
        <f>tbl_zespoły_średnie[[#This Row],[oreb]]/(tbl_zespoły_średnie[[#This Row],[fga]]-tbl_zespoły_średnie[[#This Row],[fgm]])</f>
        <v>0.30107526881720431</v>
      </c>
      <c r="AR22">
        <f>(tbl_zespoły_średnie[[#This Row],[oreb]]*1.1)+(tbl_zespoły_średnie[[#This Row],[dreb]]*0.3)</f>
        <v>23.35</v>
      </c>
      <c r="AS22">
        <f t="shared" ref="AS22:AS26" si="16">T22+0.4*F22-0.7*G22-0.4*(K22-J22)+0.7*L22+0.3*M22+O22+0.7*R22+0.7*Q22</f>
        <v>60.175000000000011</v>
      </c>
      <c r="AT22" s="4">
        <f>(tbl_zespoły_średnie[[#This Row],[fga]]-tbl_zespoły_średnie[[#This Row],[3pa]])/tbl_zespoły_średnie[[#This Row],[fga]]</f>
        <v>0.63604240282685509</v>
      </c>
      <c r="AU22">
        <f>SUMIF(tbl_ZESPOŁY_dane[zespół],tbl_zespoły_średnie[[#This Row],[zespół]],tbl_ZESPOŁY_dane[Q1])/tbl_zespoły_średnie[[#This Row],[Played]]</f>
        <v>13.75</v>
      </c>
      <c r="AV22">
        <f>SUMIF(tbl_ZESPOŁY_dane[zespół],tbl_zespoły_średnie[[#This Row],[zespół]],tbl_ZESPOŁY_dane[Q2])/tbl_zespoły_średnie[[#This Row],[Played]]</f>
        <v>14.25</v>
      </c>
      <c r="AW22">
        <f>SUMIF(tbl_ZESPOŁY_dane[zespół],tbl_zespoły_średnie[[#This Row],[zespół]],tbl_ZESPOŁY_dane[Q3])/tbl_zespoły_średnie[[#This Row],[Played]]</f>
        <v>14</v>
      </c>
      <c r="AX22">
        <f>SUMIF(tbl_ZESPOŁY_dane[zespół],tbl_zespoły_średnie[[#This Row],[zespół]],tbl_ZESPOŁY_dane[Q4])/tbl_zespoły_średnie[[#This Row],[Played]]</f>
        <v>15.75</v>
      </c>
      <c r="AY22">
        <f>SUMIF(tbl_ZESPOŁY_dane[zespół],tbl_zespoły_średnie[[#This Row],[zespół]],tbl_ZESPOŁY_dane[O1])/tbl_zespoły_średnie[[#This Row],[Played]]</f>
        <v>12.5</v>
      </c>
      <c r="AZ22">
        <f>SUMIF(tbl_ZESPOŁY_dane[zespół],tbl_zespoły_średnie[[#This Row],[zespół]],tbl_ZESPOŁY_dane[O2])/tbl_zespoły_średnie[[#This Row],[Played]]</f>
        <v>15.25</v>
      </c>
      <c r="BA22">
        <f>SUMIF(tbl_ZESPOŁY_dane[zespół],tbl_zespoły_średnie[[#This Row],[zespół]],tbl_ZESPOŁY_dane[O3])/tbl_zespoły_średnie[[#This Row],[Played]]</f>
        <v>13.75</v>
      </c>
      <c r="BB22">
        <f>SUMIF(tbl_ZESPOŁY_dane[zespół],tbl_zespoły_średnie[[#This Row],[zespół]],tbl_ZESPOŁY_dane[O4])/tbl_zespoły_średnie[[#This Row],[Played]]</f>
        <v>15.75</v>
      </c>
      <c r="BC22">
        <f>BC6/tbl_zespoły_średnie[[#This Row],[Played]]</f>
        <v>57.25</v>
      </c>
      <c r="BD22" s="4">
        <f t="shared" ref="BD22:BK22" si="17">BD6</f>
        <v>0.23706896551724138</v>
      </c>
      <c r="BE22" s="4">
        <f t="shared" si="17"/>
        <v>0.24568965517241378</v>
      </c>
      <c r="BF22" s="4">
        <f t="shared" si="17"/>
        <v>0.2413793103448276</v>
      </c>
      <c r="BG22" s="4">
        <f t="shared" si="17"/>
        <v>0.27155172413793105</v>
      </c>
      <c r="BH22" s="4">
        <f t="shared" si="17"/>
        <v>0.2183406113537118</v>
      </c>
      <c r="BI22" s="4">
        <f t="shared" si="17"/>
        <v>0.26637554585152839</v>
      </c>
      <c r="BJ22" s="4">
        <f t="shared" si="17"/>
        <v>0.24017467248908297</v>
      </c>
      <c r="BK22" s="4">
        <f t="shared" si="17"/>
        <v>0.27510917030567683</v>
      </c>
    </row>
    <row r="23" spans="1:63" x14ac:dyDescent="0.35">
      <c r="A23" s="46" t="s">
        <v>46</v>
      </c>
      <c r="B23" s="52">
        <f>SUMIF(tbl_ZESPOŁY_dane[zespół],tbl_zespoły_średnie[[#This Row],[zespół]],tbl_ZESPOŁY_dane[played?])</f>
        <v>4</v>
      </c>
      <c r="C23" s="52"/>
      <c r="D23" s="52"/>
      <c r="E23" s="52"/>
      <c r="F23">
        <f>(SUMIF(tbl_ZESPOŁY_dane[zespół],$A23,tbl_ZESPOŁY_dane[fgm]))/tbl_zespoły_średnie[[#This Row],[Played]]</f>
        <v>17.25</v>
      </c>
      <c r="G23">
        <f>(SUMIF(tbl_ZESPOŁY_dane[zespół],$A23,tbl_ZESPOŁY_dane[fga]))/tbl_zespoły_średnie[[#This Row],[Played]]</f>
        <v>59</v>
      </c>
      <c r="H23">
        <f>(SUMIF(tbl_ZESPOŁY_dane[zespół],$A23,tbl_ZESPOŁY_dane[3pm]))/tbl_zespoły_średnie[[#This Row],[Played]]</f>
        <v>3.75</v>
      </c>
      <c r="I23">
        <f>SUMIF(tbl_ZESPOŁY_dane[zespół],$A23,tbl_ZESPOŁY_dane[3pa])/tbl_zespoły_średnie[[#This Row],[Played]]</f>
        <v>18.5</v>
      </c>
      <c r="J23">
        <f>SUMIF(tbl_ZESPOŁY_dane[zespół],$A23,tbl_ZESPOŁY_dane[ftm])/tbl_zespoły_średnie[[#This Row],[Played]]</f>
        <v>6.5</v>
      </c>
      <c r="K23">
        <f>SUMIF(tbl_ZESPOŁY_dane[zespół],$A23,tbl_ZESPOŁY_dane[fta])/tbl_zespoły_średnie[[#This Row],[Played]]</f>
        <v>12.5</v>
      </c>
      <c r="L23">
        <f>SUMIF(tbl_ZESPOŁY_dane[zespół],$A23,tbl_ZESPOŁY_dane[oreb])/tbl_zespoły_średnie[[#This Row],[Played]]</f>
        <v>9.5</v>
      </c>
      <c r="M23">
        <f>SUMIF(tbl_ZESPOŁY_dane[zespół],$A23,tbl_ZESPOŁY_dane[dreb])/tbl_zespoły_średnie[[#This Row],[Played]]</f>
        <v>28.5</v>
      </c>
      <c r="N23">
        <f>SUMIF(tbl_ZESPOŁY_dane[zespół],$A23,tbl_ZESPOŁY_dane[foul])/tbl_zespoły_średnie[[#This Row],[Played]]</f>
        <v>6.75</v>
      </c>
      <c r="O23">
        <f>SUMIF(tbl_ZESPOŁY_dane[zespół],$A23,tbl_ZESPOŁY_dane[stl])/tbl_zespoły_średnie[[#This Row],[Played]]</f>
        <v>8.75</v>
      </c>
      <c r="P23">
        <f>SUMIF(tbl_ZESPOŁY_dane[zespół],$A23,tbl_ZESPOŁY_dane[to])/tbl_zespoły_średnie[[#This Row],[Played]]</f>
        <v>0</v>
      </c>
      <c r="Q23">
        <f>SUMIF(tbl_ZESPOŁY_dane[zespół],$A23,tbl_ZESPOŁY_dane[blk])/tbl_zespoły_średnie[[#This Row],[Played]]</f>
        <v>4.75</v>
      </c>
      <c r="R23">
        <f>SUMIF(tbl_ZESPOŁY_dane[zespół],$A23,tbl_ZESPOŁY_dane[asst])/tbl_zespoły_średnie[[#This Row],[Played]]</f>
        <v>11.75</v>
      </c>
      <c r="S23">
        <f>SUMIF(tbl_ZESPOŁY_dane[zespół],$A23,tbl_ZESPOŁY_dane[min])/tbl_zespoły_średnie[[#This Row],[Played]]</f>
        <v>183.75</v>
      </c>
      <c r="T23">
        <f>SUMIF(tbl_ZESPOŁY_dane[zespół],$A23,tbl_ZESPOŁY_dane[pts])/tbl_zespoły_średnie[[#This Row],[Played]]</f>
        <v>44.75</v>
      </c>
      <c r="U23">
        <f>(tbl_zespoły_średnie[[#This Row],[oreb]]+tbl_zespoły_średnie[[#This Row],[dreb]])</f>
        <v>38</v>
      </c>
      <c r="V23" s="4">
        <f>tbl_zespoły_średnie[[#This Row],[fgm]]/tbl_zespoły_średnie[[#This Row],[fga]]</f>
        <v>0.2923728813559322</v>
      </c>
      <c r="W23" s="4">
        <f>tbl_zespoły_średnie[[#This Row],[3pm]]/tbl_zespoły_średnie[[#This Row],[3pa]]</f>
        <v>0.20270270270270271</v>
      </c>
      <c r="X23" s="4">
        <f>tbl_zespoły_średnie[[#This Row],[ftm]]/tbl_zespoły_średnie[[#This Row],[fta]]</f>
        <v>0.52</v>
      </c>
      <c r="Y23" s="4">
        <f t="shared" si="6"/>
        <v>0.34689922480620156</v>
      </c>
      <c r="Z23" s="4">
        <f t="shared" si="7"/>
        <v>0.32415254237288138</v>
      </c>
      <c r="AA23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60.25</v>
      </c>
      <c r="AB23" s="4">
        <f t="shared" si="14"/>
        <v>0.21186440677966101</v>
      </c>
      <c r="AC23" s="4">
        <f t="shared" si="15"/>
        <v>0.3135593220338983</v>
      </c>
      <c r="AD23" s="6">
        <f>tbl_zespoły_średnie[[#This Row],[fga]]+0.44*tbl_zespoły_średnie[[#This Row],[fta]]-tbl_zespoły_średnie[[#This Row],[oreb]]</f>
        <v>55</v>
      </c>
      <c r="AE23" s="6">
        <f>(SUMIF(tbl_ZESPOŁY_dane[zespół],tbl_zespoły_średnie[[#This Row],[zespół]],tbl_ZESPOŁY_dane[Pace]))/tbl_zespoły_średnie[[#This Row],[Played]]</f>
        <v>58.449999999999996</v>
      </c>
      <c r="AF23" s="6">
        <f>tbl_zespoły_średnie[[#This Row],[pts]]/tbl_zespoły_średnie[[#This Row],[Poss]]*100</f>
        <v>81.36363636363636</v>
      </c>
      <c r="AG23" s="6">
        <f t="shared" si="8"/>
        <v>96.112667759262862</v>
      </c>
      <c r="AH23" s="6">
        <f>tbl_zespoły_średnie[[#This Row],[Orating]]-tbl_zespoły_średnie[[#This Row],[Drating]]</f>
        <v>-14.749031395626503</v>
      </c>
      <c r="AI23" s="5">
        <f t="shared" si="9"/>
        <v>0.75847457627118642</v>
      </c>
      <c r="AJ23" s="4">
        <f>tbl_zespoły_średnie[[#This Row],[asst]]/tbl_zespoły_średnie[[#This Row],[fgm]]</f>
        <v>0.6811594202898551</v>
      </c>
      <c r="AK23" s="6">
        <f>tbl_zespoły_średnie[[#This Row],[asst]]/tbl_zespoły_średnie[[#This Row],[Poss]]*100</f>
        <v>21.363636363636363</v>
      </c>
      <c r="AL23" s="6">
        <f>(tbl_zespoły_średnie[[#This Row],[eFG%]]*0.7+tbl_zespoły_średnie[[#This Row],[AST%]]*0.3)*100</f>
        <v>43.125460574797344</v>
      </c>
      <c r="AM23" s="4">
        <f t="shared" si="10"/>
        <v>0.26573426573426573</v>
      </c>
      <c r="AN23" s="4">
        <f t="shared" si="11"/>
        <v>0.61290322580645162</v>
      </c>
      <c r="AO23" s="4">
        <f t="shared" si="12"/>
        <v>0.46200607902735563</v>
      </c>
      <c r="AP23">
        <f>SUMIFS(tbl_ZESPOŁY_dane[RebDiff],tbl_ZESPOŁY_dane[zespół],tbl_zespoły_średnie[[#This Row],[zespół]])</f>
        <v>-25</v>
      </c>
      <c r="AQ23" s="4">
        <f>tbl_zespoły_średnie[[#This Row],[oreb]]/(tbl_zespoły_średnie[[#This Row],[fga]]-tbl_zespoły_średnie[[#This Row],[fgm]])</f>
        <v>0.22754491017964071</v>
      </c>
      <c r="AR23">
        <f>(tbl_zespoły_średnie[[#This Row],[oreb]]*1.1)+(tbl_zespoły_średnie[[#This Row],[dreb]]*0.3)</f>
        <v>19</v>
      </c>
      <c r="AS23">
        <f t="shared" si="16"/>
        <v>43.45</v>
      </c>
      <c r="AT23" s="4">
        <f>(tbl_zespoły_średnie[[#This Row],[fga]]-tbl_zespoły_średnie[[#This Row],[3pa]])/tbl_zespoły_średnie[[#This Row],[fga]]</f>
        <v>0.68644067796610164</v>
      </c>
      <c r="AU23">
        <f>SUMIF(tbl_ZESPOŁY_dane[zespół],tbl_zespoły_średnie[[#This Row],[zespół]],tbl_ZESPOŁY_dane[Q1])/tbl_zespoły_średnie[[#This Row],[Played]]</f>
        <v>10.25</v>
      </c>
      <c r="AV23">
        <f>SUMIF(tbl_ZESPOŁY_dane[zespół],tbl_zespoły_średnie[[#This Row],[zespół]],tbl_ZESPOŁY_dane[Q2])/tbl_zespoły_średnie[[#This Row],[Played]]</f>
        <v>8.75</v>
      </c>
      <c r="AW23">
        <f>SUMIF(tbl_ZESPOŁY_dane[zespół],tbl_zespoły_średnie[[#This Row],[zespół]],tbl_ZESPOŁY_dane[Q3])/tbl_zespoły_średnie[[#This Row],[Played]]</f>
        <v>12.25</v>
      </c>
      <c r="AX23">
        <f>SUMIF(tbl_ZESPOŁY_dane[zespół],tbl_zespoły_średnie[[#This Row],[zespół]],tbl_ZESPOŁY_dane[Q4])/tbl_zespoły_średnie[[#This Row],[Played]]</f>
        <v>13.5</v>
      </c>
      <c r="AY23">
        <f>SUMIF(tbl_ZESPOŁY_dane[zespół],tbl_zespoły_średnie[[#This Row],[zespół]],tbl_ZESPOŁY_dane[O1])/tbl_zespoły_średnie[[#This Row],[Played]]</f>
        <v>14.75</v>
      </c>
      <c r="AZ23">
        <f>SUMIF(tbl_ZESPOŁY_dane[zespół],tbl_zespoły_średnie[[#This Row],[zespół]],tbl_ZESPOŁY_dane[O2])/tbl_zespoły_średnie[[#This Row],[Played]]</f>
        <v>12.75</v>
      </c>
      <c r="BA23">
        <f>SUMIF(tbl_ZESPOŁY_dane[zespół],tbl_zespoły_średnie[[#This Row],[zespół]],tbl_ZESPOŁY_dane[O3])/tbl_zespoły_średnie[[#This Row],[Played]]</f>
        <v>14.75</v>
      </c>
      <c r="BB23">
        <f>SUMIF(tbl_ZESPOŁY_dane[zespół],tbl_zespoły_średnie[[#This Row],[zespół]],tbl_ZESPOŁY_dane[O4])/tbl_zespoły_średnie[[#This Row],[Played]]</f>
        <v>18.25</v>
      </c>
      <c r="BC23">
        <f>BC7/tbl_zespoły_średnie[[#This Row],[Played]]</f>
        <v>60.5</v>
      </c>
      <c r="BD23" s="4">
        <f t="shared" ref="BD23:BK23" si="18">BD7</f>
        <v>0.22905027932960895</v>
      </c>
      <c r="BE23" s="4">
        <f t="shared" si="18"/>
        <v>0.19553072625698323</v>
      </c>
      <c r="BF23" s="4">
        <f t="shared" si="18"/>
        <v>0.27374301675977653</v>
      </c>
      <c r="BG23" s="4">
        <f t="shared" si="18"/>
        <v>0.3016759776536313</v>
      </c>
      <c r="BH23" s="4">
        <f t="shared" si="18"/>
        <v>0.24380165289256198</v>
      </c>
      <c r="BI23" s="4">
        <f t="shared" si="18"/>
        <v>0.21074380165289255</v>
      </c>
      <c r="BJ23" s="4">
        <f t="shared" si="18"/>
        <v>0.24380165289256198</v>
      </c>
      <c r="BK23" s="4">
        <f t="shared" si="18"/>
        <v>0.30165289256198347</v>
      </c>
    </row>
    <row r="24" spans="1:63" x14ac:dyDescent="0.35">
      <c r="A24" s="47" t="s">
        <v>48</v>
      </c>
      <c r="B24" s="32">
        <f>SUMIF(tbl_ZESPOŁY_dane[zespół],tbl_zespoły_średnie[[#This Row],[zespół]],tbl_ZESPOŁY_dane[played?])</f>
        <v>4</v>
      </c>
      <c r="C24" s="32"/>
      <c r="D24" s="32"/>
      <c r="E24" s="32"/>
      <c r="F24">
        <f>(SUMIF(tbl_ZESPOŁY_dane[zespół],$A24,tbl_ZESPOŁY_dane[fgm]))/tbl_zespoły_średnie[[#This Row],[Played]]</f>
        <v>24</v>
      </c>
      <c r="G24">
        <f>(SUMIF(tbl_ZESPOŁY_dane[zespół],$A24,tbl_ZESPOŁY_dane[fga]))/tbl_zespoły_średnie[[#This Row],[Played]]</f>
        <v>74.25</v>
      </c>
      <c r="H24">
        <f>(SUMIF(tbl_ZESPOŁY_dane[zespół],$A24,tbl_ZESPOŁY_dane[3pm]))/tbl_zespoły_średnie[[#This Row],[Played]]</f>
        <v>6.25</v>
      </c>
      <c r="I24">
        <f>SUMIF(tbl_ZESPOŁY_dane[zespół],$A24,tbl_ZESPOŁY_dane[3pa])/tbl_zespoły_średnie[[#This Row],[Played]]</f>
        <v>25.25</v>
      </c>
      <c r="J24">
        <f>SUMIF(tbl_ZESPOŁY_dane[zespół],$A24,tbl_ZESPOŁY_dane[ftm])/tbl_zespoły_średnie[[#This Row],[Played]]</f>
        <v>9.25</v>
      </c>
      <c r="K24">
        <f>SUMIF(tbl_ZESPOŁY_dane[zespół],$A24,tbl_ZESPOŁY_dane[fta])/tbl_zespoły_średnie[[#This Row],[Played]]</f>
        <v>18.5</v>
      </c>
      <c r="L24">
        <f>SUMIF(tbl_ZESPOŁY_dane[zespół],$A24,tbl_ZESPOŁY_dane[oreb])/tbl_zespoły_średnie[[#This Row],[Played]]</f>
        <v>13</v>
      </c>
      <c r="M24">
        <f>SUMIF(tbl_ZESPOŁY_dane[zespół],$A24,tbl_ZESPOŁY_dane[dreb])/tbl_zespoły_średnie[[#This Row],[Played]]</f>
        <v>28.5</v>
      </c>
      <c r="N24">
        <f>SUMIF(tbl_ZESPOŁY_dane[zespół],$A24,tbl_ZESPOŁY_dane[foul])/tbl_zespoły_średnie[[#This Row],[Played]]</f>
        <v>5.5</v>
      </c>
      <c r="O24">
        <f>SUMIF(tbl_ZESPOŁY_dane[zespół],$A24,tbl_ZESPOŁY_dane[stl])/tbl_zespoły_średnie[[#This Row],[Played]]</f>
        <v>16.5</v>
      </c>
      <c r="P24">
        <f>SUMIF(tbl_ZESPOŁY_dane[zespół],$A24,tbl_ZESPOŁY_dane[to])/tbl_zespoły_średnie[[#This Row],[Played]]</f>
        <v>0</v>
      </c>
      <c r="Q24">
        <f>SUMIF(tbl_ZESPOŁY_dane[zespół],$A24,tbl_ZESPOŁY_dane[blk])/tbl_zespoły_średnie[[#This Row],[Played]]</f>
        <v>2.75</v>
      </c>
      <c r="R24">
        <f>SUMIF(tbl_ZESPOŁY_dane[zespół],$A24,tbl_ZESPOŁY_dane[asst])/tbl_zespoły_średnie[[#This Row],[Played]]</f>
        <v>14</v>
      </c>
      <c r="S24">
        <f>SUMIF(tbl_ZESPOŁY_dane[zespół],$A24,tbl_ZESPOŁY_dane[min])/tbl_zespoły_średnie[[#This Row],[Played]]</f>
        <v>195.25</v>
      </c>
      <c r="T24">
        <f>SUMIF(tbl_ZESPOŁY_dane[zespół],$A24,tbl_ZESPOŁY_dane[pts])/tbl_zespoły_średnie[[#This Row],[Played]]</f>
        <v>63.5</v>
      </c>
      <c r="U24">
        <f>(tbl_zespoły_średnie[[#This Row],[oreb]]+tbl_zespoły_średnie[[#This Row],[dreb]])</f>
        <v>41.5</v>
      </c>
      <c r="V24" s="4">
        <f>tbl_zespoły_średnie[[#This Row],[fgm]]/tbl_zespoły_średnie[[#This Row],[fga]]</f>
        <v>0.32323232323232326</v>
      </c>
      <c r="W24" s="4">
        <f>tbl_zespoły_średnie[[#This Row],[3pm]]/tbl_zespoły_średnie[[#This Row],[3pa]]</f>
        <v>0.24752475247524752</v>
      </c>
      <c r="X24" s="4">
        <f>tbl_zespoły_średnie[[#This Row],[ftm]]/tbl_zespoły_średnie[[#This Row],[fta]]</f>
        <v>0.5</v>
      </c>
      <c r="Y24" s="4">
        <f t="shared" si="6"/>
        <v>0.3853623012501517</v>
      </c>
      <c r="Z24" s="4">
        <f t="shared" si="7"/>
        <v>0.36531986531986532</v>
      </c>
      <c r="AA24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78.75</v>
      </c>
      <c r="AB24" s="4">
        <f t="shared" si="14"/>
        <v>0.24915824915824916</v>
      </c>
      <c r="AC24" s="4">
        <f t="shared" si="15"/>
        <v>0.34006734006734007</v>
      </c>
      <c r="AD24" s="6">
        <f>tbl_zespoły_średnie[[#This Row],[fga]]+0.44*tbl_zespoły_średnie[[#This Row],[fta]]-tbl_zespoły_średnie[[#This Row],[oreb]]</f>
        <v>69.39</v>
      </c>
      <c r="AE24" s="6">
        <f>(SUMIF(tbl_ZESPOŁY_dane[zespół],tbl_zespoły_średnie[[#This Row],[zespół]],tbl_ZESPOŁY_dane[Pace]))/tbl_zespoły_średnie[[#This Row],[Played]]</f>
        <v>62.71</v>
      </c>
      <c r="AF24" s="6">
        <f>tbl_zespoły_średnie[[#This Row],[pts]]/tbl_zespoły_średnie[[#This Row],[Poss]]*100</f>
        <v>91.511745208243269</v>
      </c>
      <c r="AG24" s="6">
        <f t="shared" si="8"/>
        <v>76.205167712718236</v>
      </c>
      <c r="AH24" s="6">
        <f>tbl_zespoły_średnie[[#This Row],[Orating]]-tbl_zespoły_średnie[[#This Row],[Drating]]</f>
        <v>15.306577495525033</v>
      </c>
      <c r="AI24" s="5">
        <f t="shared" si="9"/>
        <v>0.85521885521885521</v>
      </c>
      <c r="AJ24" s="4">
        <f>tbl_zespoły_średnie[[#This Row],[asst]]/tbl_zespoły_średnie[[#This Row],[fgm]]</f>
        <v>0.58333333333333337</v>
      </c>
      <c r="AK24" s="6">
        <f>tbl_zespoły_średnie[[#This Row],[asst]]/tbl_zespoły_średnie[[#This Row],[Poss]]*100</f>
        <v>20.175817841187492</v>
      </c>
      <c r="AL24" s="6">
        <f>(tbl_zespoły_średnie[[#This Row],[eFG%]]*0.7+tbl_zespoły_średnie[[#This Row],[AST%]]*0.3)*100</f>
        <v>43.072390572390574</v>
      </c>
      <c r="AM24" s="4">
        <f t="shared" si="10"/>
        <v>0.287292817679558</v>
      </c>
      <c r="AN24" s="4">
        <f t="shared" si="11"/>
        <v>0.71698113207547165</v>
      </c>
      <c r="AO24" s="4">
        <f t="shared" si="12"/>
        <v>0.48823529411764705</v>
      </c>
      <c r="AP24">
        <f>SUMIFS(tbl_ZESPOŁY_dane[RebDiff],tbl_ZESPOŁY_dane[zespół],tbl_zespoły_średnie[[#This Row],[zespół]])</f>
        <v>-8</v>
      </c>
      <c r="AQ24" s="4">
        <f>tbl_zespoły_średnie[[#This Row],[oreb]]/(tbl_zespoły_średnie[[#This Row],[fga]]-tbl_zespoły_średnie[[#This Row],[fgm]])</f>
        <v>0.25870646766169153</v>
      </c>
      <c r="AR24">
        <f>(tbl_zespoły_średnie[[#This Row],[oreb]]*1.1)+(tbl_zespoły_średnie[[#This Row],[dreb]]*0.3)</f>
        <v>22.85</v>
      </c>
      <c r="AS24">
        <f t="shared" si="16"/>
        <v>63.29999999999999</v>
      </c>
      <c r="AT24" s="4">
        <f>(tbl_zespoły_średnie[[#This Row],[fga]]-tbl_zespoły_średnie[[#This Row],[3pa]])/tbl_zespoły_średnie[[#This Row],[fga]]</f>
        <v>0.65993265993265993</v>
      </c>
      <c r="AU24">
        <f>SUMIF(tbl_ZESPOŁY_dane[zespół],tbl_zespoły_średnie[[#This Row],[zespół]],tbl_ZESPOŁY_dane[Q1])/tbl_zespoły_średnie[[#This Row],[Played]]</f>
        <v>14.75</v>
      </c>
      <c r="AV24">
        <f>SUMIF(tbl_ZESPOŁY_dane[zespół],tbl_zespoły_średnie[[#This Row],[zespół]],tbl_ZESPOŁY_dane[Q2])/tbl_zespoły_średnie[[#This Row],[Played]]</f>
        <v>17</v>
      </c>
      <c r="AW24">
        <f>SUMIF(tbl_ZESPOŁY_dane[zespół],tbl_zespoły_średnie[[#This Row],[zespół]],tbl_ZESPOŁY_dane[Q3])/tbl_zespoły_średnie[[#This Row],[Played]]</f>
        <v>12.25</v>
      </c>
      <c r="AX24">
        <f>SUMIF(tbl_ZESPOŁY_dane[zespół],tbl_zespoły_średnie[[#This Row],[zespół]],tbl_ZESPOŁY_dane[Q4])/tbl_zespoły_średnie[[#This Row],[Played]]</f>
        <v>19.5</v>
      </c>
      <c r="AY24">
        <f>SUMIF(tbl_ZESPOŁY_dane[zespół],tbl_zespoły_średnie[[#This Row],[zespół]],tbl_ZESPOŁY_dane[O1])/tbl_zespoły_średnie[[#This Row],[Played]]</f>
        <v>9.75</v>
      </c>
      <c r="AZ24">
        <f>SUMIF(tbl_ZESPOŁY_dane[zespół],tbl_zespoły_średnie[[#This Row],[zespół]],tbl_ZESPOŁY_dane[O2])/tbl_zespoły_średnie[[#This Row],[Played]]</f>
        <v>12.25</v>
      </c>
      <c r="BA24">
        <f>SUMIF(tbl_ZESPOŁY_dane[zespół],tbl_zespoły_średnie[[#This Row],[zespół]],tbl_ZESPOŁY_dane[O3])/tbl_zespoły_średnie[[#This Row],[Played]]</f>
        <v>7.75</v>
      </c>
      <c r="BB24">
        <f>SUMIF(tbl_ZESPOŁY_dane[zespół],tbl_zespoły_średnie[[#This Row],[zespół]],tbl_ZESPOŁY_dane[O4])/tbl_zespoły_średnie[[#This Row],[Played]]</f>
        <v>13.5</v>
      </c>
      <c r="BC24">
        <f>BC8/tbl_zespoły_średnie[[#This Row],[Played]]</f>
        <v>43.25</v>
      </c>
      <c r="BD24" s="4">
        <f t="shared" ref="BD24:BK24" si="19">BD8</f>
        <v>0.23228346456692914</v>
      </c>
      <c r="BE24" s="4">
        <f t="shared" si="19"/>
        <v>0.26771653543307089</v>
      </c>
      <c r="BF24" s="4">
        <f t="shared" si="19"/>
        <v>0.19291338582677164</v>
      </c>
      <c r="BG24" s="4">
        <f t="shared" si="19"/>
        <v>0.30708661417322836</v>
      </c>
      <c r="BH24" s="4">
        <f t="shared" si="19"/>
        <v>0.22543352601156069</v>
      </c>
      <c r="BI24" s="4">
        <f t="shared" si="19"/>
        <v>0.2832369942196532</v>
      </c>
      <c r="BJ24" s="4">
        <f t="shared" si="19"/>
        <v>0.1791907514450867</v>
      </c>
      <c r="BK24" s="4">
        <f t="shared" si="19"/>
        <v>0.31213872832369943</v>
      </c>
    </row>
    <row r="25" spans="1:63" x14ac:dyDescent="0.35">
      <c r="A25" s="46" t="s">
        <v>50</v>
      </c>
      <c r="B25" s="52">
        <f>SUMIF(tbl_ZESPOŁY_dane[zespół],tbl_zespoły_średnie[[#This Row],[zespół]],tbl_ZESPOŁY_dane[played?])</f>
        <v>4</v>
      </c>
      <c r="C25" s="52"/>
      <c r="D25" s="52"/>
      <c r="E25" s="52"/>
      <c r="F25">
        <f>(SUMIF(tbl_ZESPOŁY_dane[zespół],$A25,tbl_ZESPOŁY_dane[fgm]))/tbl_zespoły_średnie[[#This Row],[Played]]</f>
        <v>18</v>
      </c>
      <c r="G25">
        <f>(SUMIF(tbl_ZESPOŁY_dane[zespół],$A25,tbl_ZESPOŁY_dane[fga]))/tbl_zespoły_średnie[[#This Row],[Played]]</f>
        <v>65</v>
      </c>
      <c r="H25">
        <f>(SUMIF(tbl_ZESPOŁY_dane[zespół],$A25,tbl_ZESPOŁY_dane[3pm]))/tbl_zespoły_średnie[[#This Row],[Played]]</f>
        <v>7</v>
      </c>
      <c r="I25">
        <f>SUMIF(tbl_ZESPOŁY_dane[zespół],$A25,tbl_ZESPOŁY_dane[3pa])/tbl_zespoły_średnie[[#This Row],[Played]]</f>
        <v>30.25</v>
      </c>
      <c r="J25">
        <f>SUMIF(tbl_ZESPOŁY_dane[zespół],$A25,tbl_ZESPOŁY_dane[ftm])/tbl_zespoły_średnie[[#This Row],[Played]]</f>
        <v>6.25</v>
      </c>
      <c r="K25">
        <f>SUMIF(tbl_ZESPOŁY_dane[zespół],$A25,tbl_ZESPOŁY_dane[fta])/tbl_zespoły_średnie[[#This Row],[Played]]</f>
        <v>11.25</v>
      </c>
      <c r="L25">
        <f>SUMIF(tbl_ZESPOŁY_dane[zespół],$A25,tbl_ZESPOŁY_dane[oreb])/tbl_zespoły_średnie[[#This Row],[Played]]</f>
        <v>9</v>
      </c>
      <c r="M25">
        <f>SUMIF(tbl_ZESPOŁY_dane[zespół],$A25,tbl_ZESPOŁY_dane[dreb])/tbl_zespoły_średnie[[#This Row],[Played]]</f>
        <v>32</v>
      </c>
      <c r="N25">
        <f>SUMIF(tbl_ZESPOŁY_dane[zespół],$A25,tbl_ZESPOŁY_dane[foul])/tbl_zespoły_średnie[[#This Row],[Played]]</f>
        <v>7.5</v>
      </c>
      <c r="O25">
        <f>SUMIF(tbl_ZESPOŁY_dane[zespół],$A25,tbl_ZESPOŁY_dane[stl])/tbl_zespoły_średnie[[#This Row],[Played]]</f>
        <v>10</v>
      </c>
      <c r="P25">
        <f>SUMIF(tbl_ZESPOŁY_dane[zespół],$A25,tbl_ZESPOŁY_dane[to])/tbl_zespoły_średnie[[#This Row],[Played]]</f>
        <v>0</v>
      </c>
      <c r="Q25">
        <f>SUMIF(tbl_ZESPOŁY_dane[zespół],$A25,tbl_ZESPOŁY_dane[blk])/tbl_zespoły_średnie[[#This Row],[Played]]</f>
        <v>2.25</v>
      </c>
      <c r="R25">
        <f>SUMIF(tbl_ZESPOŁY_dane[zespół],$A25,tbl_ZESPOŁY_dane[asst])/tbl_zespoły_średnie[[#This Row],[Played]]</f>
        <v>11.75</v>
      </c>
      <c r="S25">
        <f>SUMIF(tbl_ZESPOŁY_dane[zespół],$A25,tbl_ZESPOŁY_dane[min])/tbl_zespoły_średnie[[#This Row],[Played]]</f>
        <v>197.5</v>
      </c>
      <c r="T25">
        <f>SUMIF(tbl_ZESPOŁY_dane[zespół],$A25,tbl_ZESPOŁY_dane[pts])/tbl_zespoły_średnie[[#This Row],[Played]]</f>
        <v>49.25</v>
      </c>
      <c r="U25">
        <f>(tbl_zespoły_średnie[[#This Row],[oreb]]+tbl_zespoły_średnie[[#This Row],[dreb]])</f>
        <v>41</v>
      </c>
      <c r="V25" s="4">
        <f>tbl_zespoły_średnie[[#This Row],[fgm]]/tbl_zespoły_średnie[[#This Row],[fga]]</f>
        <v>0.27692307692307694</v>
      </c>
      <c r="W25" s="4">
        <f>tbl_zespoły_średnie[[#This Row],[3pm]]/tbl_zespoły_średnie[[#This Row],[3pa]]</f>
        <v>0.23140495867768596</v>
      </c>
      <c r="X25" s="4">
        <f>tbl_zespoły_średnie[[#This Row],[ftm]]/tbl_zespoły_średnie[[#This Row],[fta]]</f>
        <v>0.55555555555555558</v>
      </c>
      <c r="Y25" s="4">
        <f t="shared" si="6"/>
        <v>0.35203716940671909</v>
      </c>
      <c r="Z25" s="4">
        <f t="shared" si="7"/>
        <v>0.33076923076923076</v>
      </c>
      <c r="AA25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62.25</v>
      </c>
      <c r="AB25" s="4">
        <f t="shared" si="14"/>
        <v>0.17307692307692307</v>
      </c>
      <c r="AC25" s="4">
        <f t="shared" si="15"/>
        <v>0.4653846153846154</v>
      </c>
      <c r="AD25" s="6">
        <f>tbl_zespoły_średnie[[#This Row],[fga]]+0.44*tbl_zespoły_średnie[[#This Row],[fta]]-tbl_zespoły_średnie[[#This Row],[oreb]]</f>
        <v>60.95</v>
      </c>
      <c r="AE25" s="6">
        <f>(SUMIF(tbl_ZESPOŁY_dane[zespół],tbl_zespoły_średnie[[#This Row],[zespół]],tbl_ZESPOŁY_dane[Pace]))/tbl_zespoły_średnie[[#This Row],[Played]]</f>
        <v>63.215000000000003</v>
      </c>
      <c r="AF25" s="6">
        <f>tbl_zespoły_średnie[[#This Row],[pts]]/tbl_zespoły_średnie[[#This Row],[Poss]]*100</f>
        <v>80.8039376538146</v>
      </c>
      <c r="AG25" s="6">
        <f t="shared" si="8"/>
        <v>85.523719034466822</v>
      </c>
      <c r="AH25" s="6">
        <f>tbl_zespoły_średnie[[#This Row],[Orating]]-tbl_zespoły_średnie[[#This Row],[Drating]]</f>
        <v>-4.719781380652222</v>
      </c>
      <c r="AI25" s="5">
        <f t="shared" si="9"/>
        <v>0.75769230769230766</v>
      </c>
      <c r="AJ25" s="4">
        <f>tbl_zespoły_średnie[[#This Row],[asst]]/tbl_zespoły_średnie[[#This Row],[fgm]]</f>
        <v>0.65277777777777779</v>
      </c>
      <c r="AK25" s="6">
        <f>tbl_zespoły_średnie[[#This Row],[asst]]/tbl_zespoły_średnie[[#This Row],[Poss]]*100</f>
        <v>19.278096800656275</v>
      </c>
      <c r="AL25" s="6">
        <f>(tbl_zespoły_średnie[[#This Row],[eFG%]]*0.7+tbl_zespoły_średnie[[#This Row],[AST%]]*0.3)*100</f>
        <v>42.737179487179489</v>
      </c>
      <c r="AM25" s="4">
        <f t="shared" si="10"/>
        <v>0.21556886227544911</v>
      </c>
      <c r="AN25" s="4">
        <f t="shared" si="11"/>
        <v>0.72727272727272729</v>
      </c>
      <c r="AO25" s="4">
        <f t="shared" si="12"/>
        <v>0.478134110787172</v>
      </c>
      <c r="AP25">
        <f>SUMIFS(tbl_ZESPOŁY_dane[RebDiff],tbl_ZESPOŁY_dane[zespół],tbl_zespoły_średnie[[#This Row],[zespół]])</f>
        <v>-15</v>
      </c>
      <c r="AQ25" s="4">
        <f>tbl_zespoły_średnie[[#This Row],[oreb]]/(tbl_zespoły_średnie[[#This Row],[fga]]-tbl_zespoły_średnie[[#This Row],[fgm]])</f>
        <v>0.19148936170212766</v>
      </c>
      <c r="AR25">
        <f>(tbl_zespoły_średnie[[#This Row],[oreb]]*1.1)+(tbl_zespoły_średnie[[#This Row],[dreb]]*0.3)</f>
        <v>19.5</v>
      </c>
      <c r="AS25">
        <f t="shared" si="16"/>
        <v>44.650000000000006</v>
      </c>
      <c r="AT25" s="4">
        <f>(tbl_zespoły_średnie[[#This Row],[fga]]-tbl_zespoły_średnie[[#This Row],[3pa]])/tbl_zespoły_średnie[[#This Row],[fga]]</f>
        <v>0.5346153846153846</v>
      </c>
      <c r="AU25">
        <f>SUMIF(tbl_ZESPOŁY_dane[zespół],tbl_zespoły_średnie[[#This Row],[zespół]],tbl_ZESPOŁY_dane[Q1])/tbl_zespoły_średnie[[#This Row],[Played]]</f>
        <v>11</v>
      </c>
      <c r="AV25">
        <f>SUMIF(tbl_ZESPOŁY_dane[zespół],tbl_zespoły_średnie[[#This Row],[zespół]],tbl_ZESPOŁY_dane[Q2])/tbl_zespoły_średnie[[#This Row],[Played]]</f>
        <v>10.5</v>
      </c>
      <c r="AW25">
        <f>SUMIF(tbl_ZESPOŁY_dane[zespół],tbl_zespoły_średnie[[#This Row],[zespół]],tbl_ZESPOŁY_dane[Q3])/tbl_zespoły_średnie[[#This Row],[Played]]</f>
        <v>11</v>
      </c>
      <c r="AX25">
        <f>SUMIF(tbl_ZESPOŁY_dane[zespół],tbl_zespoły_średnie[[#This Row],[zespół]],tbl_ZESPOŁY_dane[Q4])/tbl_zespoły_średnie[[#This Row],[Played]]</f>
        <v>16.75</v>
      </c>
      <c r="AY25">
        <f>SUMIF(tbl_ZESPOŁY_dane[zespół],tbl_zespoły_średnie[[#This Row],[zespół]],tbl_ZESPOŁY_dane[O1])/tbl_zespoły_średnie[[#This Row],[Played]]</f>
        <v>12.5</v>
      </c>
      <c r="AZ25">
        <f>SUMIF(tbl_ZESPOŁY_dane[zespół],tbl_zespoły_średnie[[#This Row],[zespół]],tbl_ZESPOŁY_dane[O2])/tbl_zespoły_średnie[[#This Row],[Played]]</f>
        <v>14.25</v>
      </c>
      <c r="BA25">
        <f>SUMIF(tbl_ZESPOŁY_dane[zespół],tbl_zespoły_średnie[[#This Row],[zespół]],tbl_ZESPOŁY_dane[O3])/tbl_zespoły_średnie[[#This Row],[Played]]</f>
        <v>13.75</v>
      </c>
      <c r="BB25">
        <f>SUMIF(tbl_ZESPOŁY_dane[zespół],tbl_zespoły_średnie[[#This Row],[zespół]],tbl_ZESPOŁY_dane[O4])/tbl_zespoły_średnie[[#This Row],[Played]]</f>
        <v>15</v>
      </c>
      <c r="BC25">
        <f>BC9/tbl_zespoły_średnie[[#This Row],[Played]]</f>
        <v>55.5</v>
      </c>
      <c r="BD25" s="4">
        <f t="shared" ref="BD25:BK25" si="20">BD9</f>
        <v>0.2233502538071066</v>
      </c>
      <c r="BE25" s="4">
        <f t="shared" si="20"/>
        <v>0.21319796954314721</v>
      </c>
      <c r="BF25" s="4">
        <f t="shared" si="20"/>
        <v>0.2233502538071066</v>
      </c>
      <c r="BG25" s="4">
        <f t="shared" si="20"/>
        <v>0.34010152284263961</v>
      </c>
      <c r="BH25" s="4">
        <f t="shared" si="20"/>
        <v>0.22522522522522523</v>
      </c>
      <c r="BI25" s="4">
        <f t="shared" si="20"/>
        <v>0.25675675675675674</v>
      </c>
      <c r="BJ25" s="4">
        <f t="shared" si="20"/>
        <v>0.24774774774774774</v>
      </c>
      <c r="BK25" s="4">
        <f t="shared" si="20"/>
        <v>0.27027027027027029</v>
      </c>
    </row>
    <row r="26" spans="1:63" s="38" customFormat="1" ht="15" thickBot="1" x14ac:dyDescent="0.4">
      <c r="A26" s="48" t="s">
        <v>52</v>
      </c>
      <c r="B26" s="37">
        <f>SUMIF(tbl_ZESPOŁY_dane[zespół],tbl_zespoły_średnie[[#This Row],[zespół]],tbl_ZESPOŁY_dane[played?])</f>
        <v>4</v>
      </c>
      <c r="C26" s="37"/>
      <c r="D26" s="37"/>
      <c r="E26" s="37"/>
      <c r="F26" s="38">
        <f>(SUMIF(tbl_ZESPOŁY_dane[zespół],$A26,tbl_ZESPOŁY_dane[fgm]))/tbl_zespoły_średnie[[#This Row],[Played]]</f>
        <v>22.75</v>
      </c>
      <c r="G26" s="38">
        <f>(SUMIF(tbl_ZESPOŁY_dane[zespół],$A26,tbl_ZESPOŁY_dane[fga]))/tbl_zespoły_średnie[[#This Row],[Played]]</f>
        <v>71.5</v>
      </c>
      <c r="H26" s="38">
        <f>(SUMIF(tbl_ZESPOŁY_dane[zespół],$A26,tbl_ZESPOŁY_dane[3pm]))/tbl_zespoły_średnie[[#This Row],[Played]]</f>
        <v>3.75</v>
      </c>
      <c r="I26" s="38">
        <f>SUMIF(tbl_ZESPOŁY_dane[zespół],$A26,tbl_ZESPOŁY_dane[3pa])/tbl_zespoły_średnie[[#This Row],[Played]]</f>
        <v>15.75</v>
      </c>
      <c r="J26" s="38">
        <f>SUMIF(tbl_ZESPOŁY_dane[zespół],$A26,tbl_ZESPOŁY_dane[ftm])/tbl_zespoły_średnie[[#This Row],[Played]]</f>
        <v>3</v>
      </c>
      <c r="K26" s="38">
        <f>SUMIF(tbl_ZESPOŁY_dane[zespół],$A26,tbl_ZESPOŁY_dane[fta])/tbl_zespoły_średnie[[#This Row],[Played]]</f>
        <v>6.75</v>
      </c>
      <c r="L26" s="38">
        <f>SUMIF(tbl_ZESPOŁY_dane[zespół],$A26,tbl_ZESPOŁY_dane[oreb])/tbl_zespoły_średnie[[#This Row],[Played]]</f>
        <v>15</v>
      </c>
      <c r="M26" s="38">
        <f>SUMIF(tbl_ZESPOŁY_dane[zespół],$A26,tbl_ZESPOŁY_dane[dreb])/tbl_zespoły_średnie[[#This Row],[Played]]</f>
        <v>28.5</v>
      </c>
      <c r="N26" s="38">
        <f>SUMIF(tbl_ZESPOŁY_dane[zespół],$A26,tbl_ZESPOŁY_dane[foul])/tbl_zespoły_średnie[[#This Row],[Played]]</f>
        <v>12.5</v>
      </c>
      <c r="O26" s="38">
        <f>SUMIF(tbl_ZESPOŁY_dane[zespół],$A26,tbl_ZESPOŁY_dane[stl])/tbl_zespoły_średnie[[#This Row],[Played]]</f>
        <v>13.5</v>
      </c>
      <c r="P26" s="38">
        <f>SUMIF(tbl_ZESPOŁY_dane[zespół],$A26,tbl_ZESPOŁY_dane[to])/tbl_zespoły_średnie[[#This Row],[Played]]</f>
        <v>0</v>
      </c>
      <c r="Q26" s="38">
        <f>SUMIF(tbl_ZESPOŁY_dane[zespół],$A26,tbl_ZESPOŁY_dane[blk])/tbl_zespoły_średnie[[#This Row],[Played]]</f>
        <v>2.75</v>
      </c>
      <c r="R26" s="38">
        <f>SUMIF(tbl_ZESPOŁY_dane[zespół],$A26,tbl_ZESPOŁY_dane[asst])/tbl_zespoły_średnie[[#This Row],[Played]]</f>
        <v>11</v>
      </c>
      <c r="S26" s="38">
        <f>SUMIF(tbl_ZESPOŁY_dane[zespół],$A26,tbl_ZESPOŁY_dane[min])/tbl_zespoły_średnie[[#This Row],[Played]]</f>
        <v>183.25</v>
      </c>
      <c r="T26" s="38">
        <f>SUMIF(tbl_ZESPOŁY_dane[zespół],$A26,tbl_ZESPOŁY_dane[pts])/tbl_zespoły_średnie[[#This Row],[Played]]</f>
        <v>52.25</v>
      </c>
      <c r="U26" s="38">
        <f>(tbl_zespoły_średnie[[#This Row],[oreb]]+tbl_zespoły_średnie[[#This Row],[dreb]])</f>
        <v>43.5</v>
      </c>
      <c r="V26" s="40">
        <f>tbl_zespoły_średnie[[#This Row],[fgm]]/tbl_zespoły_średnie[[#This Row],[fga]]</f>
        <v>0.31818181818181818</v>
      </c>
      <c r="W26" s="40">
        <f>tbl_zespoły_średnie[[#This Row],[3pm]]/tbl_zespoły_średnie[[#This Row],[3pa]]</f>
        <v>0.23809523809523808</v>
      </c>
      <c r="X26" s="40">
        <f>tbl_zespoły_średnie[[#This Row],[ftm]]/tbl_zespoły_średnie[[#This Row],[fta]]</f>
        <v>0.44444444444444442</v>
      </c>
      <c r="Y26" s="40">
        <f t="shared" si="6"/>
        <v>0.35081240768094535</v>
      </c>
      <c r="Z26" s="40">
        <f t="shared" si="7"/>
        <v>0.34440559440559443</v>
      </c>
      <c r="AA26" s="38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70.5</v>
      </c>
      <c r="AB26" s="40">
        <f t="shared" si="14"/>
        <v>9.4405594405594401E-2</v>
      </c>
      <c r="AC26" s="40">
        <f t="shared" si="15"/>
        <v>0.22027972027972029</v>
      </c>
      <c r="AD26" s="43">
        <f>tbl_zespoły_średnie[[#This Row],[fga]]+0.44*tbl_zespoły_średnie[[#This Row],[fta]]-tbl_zespoły_średnie[[#This Row],[oreb]]</f>
        <v>59.47</v>
      </c>
      <c r="AE26" s="43">
        <f>(SUMIF(tbl_ZESPOŁY_dane[zespół],tbl_zespoły_średnie[[#This Row],[zespół]],tbl_ZESPOŁY_dane[Pace]))/tbl_zespoły_średnie[[#This Row],[Played]]</f>
        <v>57.11</v>
      </c>
      <c r="AF26" s="43">
        <f>tbl_zespoły_średnie[[#This Row],[pts]]/tbl_zespoły_średnie[[#This Row],[Poss]]*100</f>
        <v>87.859424920127793</v>
      </c>
      <c r="AG26" s="43">
        <f t="shared" si="8"/>
        <v>81.988520953792815</v>
      </c>
      <c r="AH26" s="43">
        <f>tbl_zespoły_średnie[[#This Row],[Orating]]-tbl_zespoły_średnie[[#This Row],[Drating]]</f>
        <v>5.8709039663349785</v>
      </c>
      <c r="AI26" s="53">
        <f t="shared" si="9"/>
        <v>0.73076923076923073</v>
      </c>
      <c r="AJ26" s="40">
        <f>tbl_zespoły_średnie[[#This Row],[asst]]/tbl_zespoły_średnie[[#This Row],[fgm]]</f>
        <v>0.48351648351648352</v>
      </c>
      <c r="AK26" s="43">
        <f>tbl_zespoły_średnie[[#This Row],[asst]]/tbl_zespoły_średnie[[#This Row],[Poss]]*100</f>
        <v>18.496721035816378</v>
      </c>
      <c r="AL26" s="43">
        <f>(tbl_zespoły_średnie[[#This Row],[eFG%]]*0.7+tbl_zespoły_średnie[[#This Row],[AST%]]*0.3)*100</f>
        <v>38.61388611388611</v>
      </c>
      <c r="AM26" s="40">
        <f t="shared" si="10"/>
        <v>0.34285714285714286</v>
      </c>
      <c r="AN26" s="40">
        <f t="shared" si="11"/>
        <v>0.77551020408163263</v>
      </c>
      <c r="AO26" s="40">
        <f t="shared" si="12"/>
        <v>0.54037267080745344</v>
      </c>
      <c r="AP26" s="38">
        <f>SUMIFS(tbl_ZESPOŁY_dane[RebDiff],tbl_ZESPOŁY_dane[zespół],tbl_zespoły_średnie[[#This Row],[zespół]])</f>
        <v>26</v>
      </c>
      <c r="AQ26" s="40">
        <f>tbl_zespoły_średnie[[#This Row],[oreb]]/(tbl_zespoły_średnie[[#This Row],[fga]]-tbl_zespoły_średnie[[#This Row],[fgm]])</f>
        <v>0.30769230769230771</v>
      </c>
      <c r="AR26" s="38">
        <f>(tbl_zespoły_średnie[[#This Row],[oreb]]*1.1)+(tbl_zespoły_średnie[[#This Row],[dreb]]*0.3)</f>
        <v>25.049999999999997</v>
      </c>
      <c r="AS26" s="38">
        <f t="shared" si="16"/>
        <v>51.974999999999994</v>
      </c>
      <c r="AT26" s="40">
        <f>(tbl_zespoły_średnie[[#This Row],[fga]]-tbl_zespoły_średnie[[#This Row],[3pa]])/tbl_zespoły_średnie[[#This Row],[fga]]</f>
        <v>0.77972027972027969</v>
      </c>
      <c r="AU26" s="38">
        <f>SUMIF(tbl_ZESPOŁY_dane[zespół],tbl_zespoły_średnie[[#This Row],[zespół]],tbl_ZESPOŁY_dane[Q1])/tbl_zespoły_średnie[[#This Row],[Played]]</f>
        <v>13</v>
      </c>
      <c r="AV26" s="38">
        <f>SUMIF(tbl_ZESPOŁY_dane[zespół],tbl_zespoły_średnie[[#This Row],[zespół]],tbl_ZESPOŁY_dane[Q2])/tbl_zespoły_średnie[[#This Row],[Played]]</f>
        <v>12.75</v>
      </c>
      <c r="AW26" s="38">
        <f>SUMIF(tbl_ZESPOŁY_dane[zespół],tbl_zespoły_średnie[[#This Row],[zespół]],tbl_ZESPOŁY_dane[Q3])/tbl_zespoły_średnie[[#This Row],[Played]]</f>
        <v>10.5</v>
      </c>
      <c r="AX26" s="38">
        <f>SUMIF(tbl_ZESPOŁY_dane[zespół],tbl_zespoły_średnie[[#This Row],[zespół]],tbl_ZESPOŁY_dane[Q4])/tbl_zespoły_średnie[[#This Row],[Played]]</f>
        <v>14.5</v>
      </c>
      <c r="AY26" s="38">
        <f>SUMIF(tbl_ZESPOŁY_dane[zespół],tbl_zespoły_średnie[[#This Row],[zespół]],tbl_ZESPOŁY_dane[O1])/tbl_zespoły_średnie[[#This Row],[Played]]</f>
        <v>10.25</v>
      </c>
      <c r="AZ26" s="38">
        <f>SUMIF(tbl_ZESPOŁY_dane[zespół],tbl_zespoły_średnie[[#This Row],[zespół]],tbl_ZESPOŁY_dane[O2])/tbl_zespoły_średnie[[#This Row],[Played]]</f>
        <v>7.5</v>
      </c>
      <c r="BA26" s="38">
        <f>SUMIF(tbl_ZESPOŁY_dane[zespół],tbl_zespoły_średnie[[#This Row],[zespół]],tbl_ZESPOŁY_dane[O3])/tbl_zespoły_średnie[[#This Row],[Played]]</f>
        <v>12.75</v>
      </c>
      <c r="BB26" s="38">
        <f>SUMIF(tbl_ZESPOŁY_dane[zespół],tbl_zespoły_średnie[[#This Row],[zespół]],tbl_ZESPOŁY_dane[O4])/tbl_zespoły_średnie[[#This Row],[Played]]</f>
        <v>14.5</v>
      </c>
      <c r="BC26" s="38">
        <f>BC10/tbl_zespoły_średnie[[#This Row],[Played]]</f>
        <v>45</v>
      </c>
      <c r="BD26" s="4">
        <f t="shared" ref="BD26:BK26" si="21">BD10</f>
        <v>0.24880382775119617</v>
      </c>
      <c r="BE26" s="4">
        <f t="shared" si="21"/>
        <v>0.24401913875598086</v>
      </c>
      <c r="BF26" s="4">
        <f t="shared" si="21"/>
        <v>0.20095693779904306</v>
      </c>
      <c r="BG26" s="4">
        <f t="shared" si="21"/>
        <v>0.27751196172248804</v>
      </c>
      <c r="BH26" s="4">
        <f t="shared" si="21"/>
        <v>0.22777777777777777</v>
      </c>
      <c r="BI26" s="4">
        <f t="shared" si="21"/>
        <v>0.16666666666666666</v>
      </c>
      <c r="BJ26" s="4">
        <f t="shared" si="21"/>
        <v>0.28333333333333333</v>
      </c>
      <c r="BK26" s="4">
        <f t="shared" si="21"/>
        <v>0.32222222222222224</v>
      </c>
    </row>
    <row r="27" spans="1:63" x14ac:dyDescent="0.35">
      <c r="A27" s="32" t="s">
        <v>156</v>
      </c>
      <c r="B27" s="32"/>
      <c r="C27" s="32"/>
      <c r="D27" s="32"/>
      <c r="E27" s="32"/>
      <c r="F27" s="6">
        <f>AVERAGE(tbl_zespoły_średnie[fgm])</f>
        <v>20.833333333333332</v>
      </c>
      <c r="G27" s="6">
        <f>AVERAGE(tbl_zespoły_średnie[fga])</f>
        <v>67.916666666666671</v>
      </c>
      <c r="H27" s="6">
        <f>AVERAGE(tbl_zespoły_średnie[3pm])</f>
        <v>4.875</v>
      </c>
      <c r="I27" s="6">
        <f>AVERAGE(tbl_zespoły_średnie[3pa])</f>
        <v>22.583333333333332</v>
      </c>
      <c r="J27" s="6">
        <f>AVERAGE(tbl_zespoły_średnie[ftm])</f>
        <v>5.416666666666667</v>
      </c>
      <c r="K27" s="6">
        <f>AVERAGE(tbl_zespoły_średnie[fta])</f>
        <v>10.583333333333334</v>
      </c>
      <c r="L27" s="6">
        <f>AVERAGE(tbl_zespoły_średnie[oreb])</f>
        <v>12.583333333333334</v>
      </c>
      <c r="M27" s="6">
        <f>AVERAGE(tbl_zespoły_średnie[dreb])</f>
        <v>29.166666666666668</v>
      </c>
      <c r="N27" s="6">
        <f>AVERAGE(tbl_zespoły_średnie[foul])</f>
        <v>8.2083333333333339</v>
      </c>
      <c r="O27" s="6">
        <f>AVERAGE(tbl_zespoły_średnie[stl])</f>
        <v>11.75</v>
      </c>
      <c r="P27" s="6">
        <f>AVERAGE(tbl_zespoły_średnie[to])</f>
        <v>0</v>
      </c>
      <c r="Q27" s="6">
        <f>AVERAGE(tbl_zespoły_średnie[blk])</f>
        <v>3</v>
      </c>
      <c r="R27" s="6">
        <f>AVERAGE(tbl_zespoły_średnie[asst])</f>
        <v>12.708333333333334</v>
      </c>
      <c r="S27" s="6">
        <f>AVERAGE(tbl_zespoły_średnie[min])</f>
        <v>190.29166666666666</v>
      </c>
      <c r="T27" s="6">
        <f>AVERAGE(tbl_zespoły_średnie[pts])</f>
        <v>52.041666666666664</v>
      </c>
      <c r="U27" s="6">
        <f>AVERAGE(tbl_zespoły_średnie[reb total])</f>
        <v>41.75</v>
      </c>
      <c r="V27" s="24">
        <f>AVERAGE(tbl_zespoły_średnie[fg%])</f>
        <v>0.30555283828456503</v>
      </c>
      <c r="W27" s="24">
        <f>AVERAGE(tbl_zespoły_średnie[3p%])</f>
        <v>0.21435185784941757</v>
      </c>
      <c r="X27" s="24">
        <f>AVERAGE(tbl_zespoły_średnie[ft%])</f>
        <v>0.51094551282051281</v>
      </c>
      <c r="Y27" s="24">
        <f>AVERAGE(tbl_zespoły_średnie[TS%])</f>
        <v>0.35734540808029863</v>
      </c>
      <c r="Z27" s="24">
        <f>AVERAGE(tbl_zespoły_średnie[eFG%])</f>
        <v>0.3414350612872214</v>
      </c>
      <c r="AA27" s="6">
        <f>AVERAGE(tbl_zespoły_średnie[eval (bez strat)])</f>
        <v>69</v>
      </c>
      <c r="AB27" s="24">
        <f>AVERAGE(tbl_zespoły_średnie[FTr])</f>
        <v>0.15643238395675974</v>
      </c>
      <c r="AC27" s="24">
        <f>AVERAGE(tbl_zespoły_średnie[[3PAr ]])</f>
        <v>0.33362600960421435</v>
      </c>
      <c r="AD27" s="6">
        <f>AVERAGE(tbl_zespoły_średnie[Poss])</f>
        <v>59.989999999999988</v>
      </c>
      <c r="AE27" s="6">
        <f>AVERAGE(tbl_zespoły_średnie[Pace])</f>
        <v>59.99</v>
      </c>
      <c r="AF27" s="6">
        <f>AVERAGE(tbl_zespoły_średnie[Orating])</f>
        <v>86.481321073459654</v>
      </c>
      <c r="AG27" s="6">
        <f>AVERAGE(tbl_zespoły_średnie[Drating])</f>
        <v>85.924204465815535</v>
      </c>
      <c r="AH27" s="6">
        <f>AVERAGE(tbl_zespoły_średnie[Net RTG])</f>
        <v>0.55711660764410453</v>
      </c>
      <c r="AI27" s="6">
        <f>AVERAGE(tbl_zespoły_średnie[Points per Shot])</f>
        <v>0.76435367671581933</v>
      </c>
      <c r="AJ27" s="24">
        <f>AVERAGE(tbl_zespoły_średnie[AST%])</f>
        <v>0.61403724017238137</v>
      </c>
      <c r="AK27" s="6">
        <f>AVERAGE(tbl_zespoły_średnie[ASTR])</f>
        <v>21.206454371269945</v>
      </c>
      <c r="AL27" s="6">
        <f>AVERAGE(tbl_zespoły_średnie[SQI])</f>
        <v>42.321571495276942</v>
      </c>
      <c r="AM27" s="24">
        <f>AVERAGE(tbl_zespoły_średnie[ORB%])</f>
        <v>0.30048135707197304</v>
      </c>
      <c r="AN27" s="24">
        <f>AVERAGE(tbl_zespoły_średnie[DRB%])</f>
        <v>0.70154594785763591</v>
      </c>
      <c r="AO27" s="24">
        <f>AVERAGE(tbl_zespoły_średnie[TRB%])</f>
        <v>0.50010069124406209</v>
      </c>
      <c r="AP27" s="6">
        <f>AVERAGE(tbl_zespoły_średnie[RebDiff])</f>
        <v>0</v>
      </c>
      <c r="AQ27" s="24">
        <f>AVERAGE(tbl_zespoły_średnie[OR.R])</f>
        <v>0.26623152417808599</v>
      </c>
      <c r="AR27" s="6">
        <f>AVERAGE(tbl_zespoły_średnie[RPA])</f>
        <v>22.591666666666669</v>
      </c>
      <c r="AS27" s="6">
        <f>AVERAGE(tbl_zespoły_średnie[GmScore])</f>
        <v>51.070833333333326</v>
      </c>
      <c r="AT27" s="24">
        <f>AVERAGE(tbl_zespoły_średnie[2pAr])</f>
        <v>0.6663739903957856</v>
      </c>
    </row>
  </sheetData>
  <sheetProtection algorithmName="SHA-512" hashValue="wA/9GXGh0L/+/+szJN5O/SZFMeDsTNU9YVxnE/TwGOfS3AvR3arrqB5W1ZMSj+AaDW9vTG8NUFbTfNYLOOazYQ==" saltValue="JFbjISqlb5L58gln6slJWg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75D6-5095-4B08-A42E-1CB2CB785FC0}">
  <dimension ref="A1:T32"/>
  <sheetViews>
    <sheetView workbookViewId="0">
      <selection activeCell="X15" sqref="X15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324</v>
      </c>
      <c r="C1" s="71"/>
      <c r="D1" s="71"/>
      <c r="E1" s="71"/>
      <c r="I1" s="74" t="s">
        <v>325</v>
      </c>
      <c r="J1" s="71"/>
      <c r="K1" s="75">
        <v>1</v>
      </c>
      <c r="L1" s="71"/>
      <c r="Q1" s="71"/>
      <c r="R1" s="71"/>
      <c r="S1" s="71"/>
    </row>
    <row r="4" spans="1:20" x14ac:dyDescent="0.35">
      <c r="B4" s="76" t="s">
        <v>326</v>
      </c>
      <c r="D4" s="83" t="s">
        <v>318</v>
      </c>
      <c r="F4" s="76"/>
      <c r="I4" s="76" t="s">
        <v>326</v>
      </c>
      <c r="K4" s="83" t="s">
        <v>318</v>
      </c>
      <c r="M4" s="76"/>
      <c r="P4" s="76" t="s">
        <v>326</v>
      </c>
      <c r="R4" s="83" t="s">
        <v>318</v>
      </c>
      <c r="T4" s="76"/>
    </row>
    <row r="5" spans="1:20" ht="20" customHeight="1" thickBot="1" x14ac:dyDescent="0.4">
      <c r="B5" s="76"/>
      <c r="D5" s="84">
        <f>$K$1</f>
        <v>1</v>
      </c>
      <c r="F5" s="76"/>
      <c r="I5" s="76"/>
      <c r="K5" s="84">
        <f>$K$1</f>
        <v>1</v>
      </c>
      <c r="M5" s="76"/>
      <c r="P5" s="76"/>
      <c r="R5" s="84">
        <f>$K$1</f>
        <v>1</v>
      </c>
      <c r="T5" s="76"/>
    </row>
    <row r="6" spans="1:20" s="87" customFormat="1" ht="40" customHeight="1" thickBot="1" x14ac:dyDescent="0.55000000000000004">
      <c r="B6" s="79" t="s">
        <v>19</v>
      </c>
      <c r="C6" s="80"/>
      <c r="D6" s="69"/>
      <c r="E6" s="81"/>
      <c r="F6" s="82" t="s">
        <v>25</v>
      </c>
      <c r="I6" s="79" t="s">
        <v>46</v>
      </c>
      <c r="J6" s="80"/>
      <c r="K6" s="69"/>
      <c r="L6" s="81"/>
      <c r="M6" s="82" t="s">
        <v>48</v>
      </c>
      <c r="P6" s="79" t="s">
        <v>50</v>
      </c>
      <c r="Q6" s="80"/>
      <c r="R6" s="69"/>
      <c r="S6" s="81"/>
      <c r="T6" s="82" t="s">
        <v>52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48</v>
      </c>
      <c r="C8" s="67">
        <f>SUMIFS(tbl_ZESPOŁY_dane[pts],tbl_ZESPOŁY_dane[zespół],B$6,tbl_ZESPOŁY_dane[GW],$K$1)</f>
        <v>48</v>
      </c>
      <c r="D8" s="66" t="s">
        <v>302</v>
      </c>
      <c r="E8" s="67">
        <f>SUMIFS(tbl_ZESPOŁY_dane[pts],tbl_ZESPOŁY_dane[zespół],F$6,tbl_ZESPOŁY_dane[GW],$K$1)</f>
        <v>60</v>
      </c>
      <c r="F8" s="76">
        <f>E8</f>
        <v>60</v>
      </c>
      <c r="I8" s="76">
        <f>J8</f>
        <v>49</v>
      </c>
      <c r="J8" s="67">
        <f>SUMIFS(tbl_ZESPOŁY_dane[pts],tbl_ZESPOŁY_dane[zespół],I$6,tbl_ZESPOŁY_dane[GW],$K$1)</f>
        <v>49</v>
      </c>
      <c r="K8" s="66" t="s">
        <v>302</v>
      </c>
      <c r="L8" s="67">
        <f>SUMIFS(tbl_ZESPOŁY_dane[pts],tbl_ZESPOŁY_dane[zespół],M$6,tbl_ZESPOŁY_dane[GW],$K$1)</f>
        <v>88</v>
      </c>
      <c r="M8" s="76">
        <f>L8</f>
        <v>88</v>
      </c>
      <c r="P8" s="76">
        <f>Q8</f>
        <v>38</v>
      </c>
      <c r="Q8" s="67">
        <f>SUMIFS(tbl_ZESPOŁY_dane[pts],tbl_ZESPOŁY_dane[zespół],P$6,tbl_ZESPOŁY_dane[GW],$K$1)</f>
        <v>38</v>
      </c>
      <c r="R8" s="66" t="s">
        <v>302</v>
      </c>
      <c r="S8" s="67">
        <f>SUMIFS(tbl_ZESPOŁY_dane[pts],tbl_ZESPOŁY_dane[zespół],T$6,tbl_ZESPOŁY_dane[GW],$K$1)</f>
        <v>60</v>
      </c>
      <c r="T8" s="76">
        <f>S8</f>
        <v>60</v>
      </c>
    </row>
    <row r="9" spans="1:20" ht="20" customHeight="1" x14ac:dyDescent="0.35">
      <c r="B9" s="76"/>
      <c r="C9" s="72"/>
      <c r="D9" s="65" t="s">
        <v>303</v>
      </c>
      <c r="E9" s="72"/>
      <c r="F9" s="76">
        <f t="shared" ref="F9:F32" si="0">E9</f>
        <v>0</v>
      </c>
      <c r="I9" s="76"/>
      <c r="J9" s="72"/>
      <c r="K9" s="65" t="s">
        <v>303</v>
      </c>
      <c r="L9" s="72"/>
      <c r="M9" s="76">
        <f t="shared" ref="M9:M32" si="1">L9</f>
        <v>0</v>
      </c>
      <c r="P9" s="76"/>
      <c r="Q9" s="72"/>
      <c r="R9" s="65" t="s">
        <v>303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21</v>
      </c>
      <c r="C10" s="67">
        <f>SUMIFS(tbl_ZESPOŁY_dane[fgm],tbl_ZESPOŁY_dane[zespół],B$6,tbl_ZESPOŁY_dane[GW],$K$1)</f>
        <v>21</v>
      </c>
      <c r="D10" s="66" t="s">
        <v>304</v>
      </c>
      <c r="E10" s="67">
        <f>SUMIFS(tbl_ZESPOŁY_dane[fgm],tbl_ZESPOŁY_dane[zespół],F$6,tbl_ZESPOŁY_dane[GW],$K$1)</f>
        <v>24</v>
      </c>
      <c r="F10" s="76">
        <f t="shared" si="0"/>
        <v>24</v>
      </c>
      <c r="I10" s="76">
        <f t="shared" ref="I10:I32" si="4">J10</f>
        <v>19</v>
      </c>
      <c r="J10" s="67">
        <f>SUMIFS(tbl_ZESPOŁY_dane[fgm],tbl_ZESPOŁY_dane[zespół],I$6,tbl_ZESPOŁY_dane[GW],$K$1)</f>
        <v>19</v>
      </c>
      <c r="K10" s="66" t="s">
        <v>304</v>
      </c>
      <c r="L10" s="67">
        <f>SUMIFS(tbl_ZESPOŁY_dane[fgm],tbl_ZESPOŁY_dane[zespół],M$6,tbl_ZESPOŁY_dane[GW],$K$1)</f>
        <v>36</v>
      </c>
      <c r="M10" s="76">
        <f t="shared" si="1"/>
        <v>36</v>
      </c>
      <c r="P10" s="76">
        <f t="shared" ref="P10:P32" si="5">Q10</f>
        <v>12</v>
      </c>
      <c r="Q10" s="67">
        <f>SUMIFS(tbl_ZESPOŁY_dane[fgm],tbl_ZESPOŁY_dane[zespół],P$6,tbl_ZESPOŁY_dane[GW],$K$1)</f>
        <v>12</v>
      </c>
      <c r="R10" s="66" t="s">
        <v>304</v>
      </c>
      <c r="S10" s="67">
        <f>SUMIFS(tbl_ZESPOŁY_dane[fgm],tbl_ZESPOŁY_dane[zespół],T$6,tbl_ZESPOŁY_dane[GW],$K$1)</f>
        <v>25</v>
      </c>
      <c r="T10" s="76">
        <f t="shared" si="2"/>
        <v>25</v>
      </c>
    </row>
    <row r="11" spans="1:20" ht="20" customHeight="1" x14ac:dyDescent="0.35">
      <c r="B11" s="76">
        <f t="shared" si="3"/>
        <v>69</v>
      </c>
      <c r="C11" s="67">
        <f>SUMIFS(tbl_ZESPOŁY_dane[fga],tbl_ZESPOŁY_dane[zespół],B$6,tbl_ZESPOŁY_dane[GW],$K$1)</f>
        <v>69</v>
      </c>
      <c r="D11" s="66" t="s">
        <v>305</v>
      </c>
      <c r="E11" s="67">
        <f>SUMIFS(tbl_ZESPOŁY_dane[fga],tbl_ZESPOŁY_dane[zespół],F$6,tbl_ZESPOŁY_dane[GW],$K$1)</f>
        <v>76</v>
      </c>
      <c r="F11" s="76">
        <f t="shared" si="0"/>
        <v>76</v>
      </c>
      <c r="I11" s="76">
        <f t="shared" si="4"/>
        <v>63</v>
      </c>
      <c r="J11" s="67">
        <f>SUMIFS(tbl_ZESPOŁY_dane[fga],tbl_ZESPOŁY_dane[zespół],I$6,tbl_ZESPOŁY_dane[GW],$K$1)</f>
        <v>63</v>
      </c>
      <c r="K11" s="66" t="s">
        <v>305</v>
      </c>
      <c r="L11" s="67">
        <f>SUMIFS(tbl_ZESPOŁY_dane[fga],tbl_ZESPOŁY_dane[zespół],M$6,tbl_ZESPOŁY_dane[GW],$K$1)</f>
        <v>88</v>
      </c>
      <c r="M11" s="76">
        <f t="shared" si="1"/>
        <v>88</v>
      </c>
      <c r="P11" s="76">
        <f t="shared" si="5"/>
        <v>55</v>
      </c>
      <c r="Q11" s="67">
        <f>SUMIFS(tbl_ZESPOŁY_dane[fga],tbl_ZESPOŁY_dane[zespół],P$6,tbl_ZESPOŁY_dane[GW],$K$1)</f>
        <v>55</v>
      </c>
      <c r="R11" s="66" t="s">
        <v>305</v>
      </c>
      <c r="S11" s="67">
        <f>SUMIFS(tbl_ZESPOŁY_dane[fga],tbl_ZESPOŁY_dane[zespół],T$6,tbl_ZESPOŁY_dane[GW],$K$1)</f>
        <v>72</v>
      </c>
      <c r="T11" s="76">
        <f t="shared" si="2"/>
        <v>72</v>
      </c>
    </row>
    <row r="12" spans="1:20" ht="20" customHeight="1" x14ac:dyDescent="0.35">
      <c r="B12" s="76"/>
      <c r="C12" s="72"/>
      <c r="D12" s="65" t="s">
        <v>306</v>
      </c>
      <c r="E12" s="72"/>
      <c r="F12" s="76">
        <f t="shared" si="0"/>
        <v>0</v>
      </c>
      <c r="I12" s="76"/>
      <c r="J12" s="72"/>
      <c r="K12" s="65" t="s">
        <v>306</v>
      </c>
      <c r="L12" s="72"/>
      <c r="M12" s="76">
        <f t="shared" si="1"/>
        <v>0</v>
      </c>
      <c r="P12" s="76"/>
      <c r="Q12" s="72"/>
      <c r="R12" s="65" t="s">
        <v>306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3</v>
      </c>
      <c r="C13" s="67">
        <f>SUMIFS(tbl_ZESPOŁY_dane[3pm],tbl_ZESPOŁY_dane[zespół],B$6,tbl_ZESPOŁY_dane[GW],$K$1)</f>
        <v>3</v>
      </c>
      <c r="D13" s="66" t="s">
        <v>304</v>
      </c>
      <c r="E13" s="67">
        <f>SUMIFS(tbl_ZESPOŁY_dane[3pm],tbl_ZESPOŁY_dane[zespół],F$6,tbl_ZESPOŁY_dane[GW],$K$1)</f>
        <v>4</v>
      </c>
      <c r="F13" s="76">
        <f t="shared" si="0"/>
        <v>4</v>
      </c>
      <c r="I13" s="76">
        <f t="shared" si="4"/>
        <v>2</v>
      </c>
      <c r="J13" s="67">
        <f>SUMIFS(tbl_ZESPOŁY_dane[3pm],tbl_ZESPOŁY_dane[zespół],I$6,tbl_ZESPOŁY_dane[GW],$K$1)</f>
        <v>2</v>
      </c>
      <c r="K13" s="66" t="s">
        <v>304</v>
      </c>
      <c r="L13" s="67">
        <f>SUMIFS(tbl_ZESPOŁY_dane[3pm],tbl_ZESPOŁY_dane[zespół],M$6,tbl_ZESPOŁY_dane[GW],$K$1)</f>
        <v>11</v>
      </c>
      <c r="M13" s="76">
        <f t="shared" si="1"/>
        <v>11</v>
      </c>
      <c r="P13" s="76">
        <f t="shared" si="5"/>
        <v>4</v>
      </c>
      <c r="Q13" s="67">
        <f>SUMIFS(tbl_ZESPOŁY_dane[3pm],tbl_ZESPOŁY_dane[zespół],P$6,tbl_ZESPOŁY_dane[GW],$K$1)</f>
        <v>4</v>
      </c>
      <c r="R13" s="66" t="s">
        <v>304</v>
      </c>
      <c r="S13" s="67">
        <f>SUMIFS(tbl_ZESPOŁY_dane[3pm],tbl_ZESPOŁY_dane[zespół],T$6,tbl_ZESPOŁY_dane[GW],$K$1)</f>
        <v>4</v>
      </c>
      <c r="T13" s="76">
        <f t="shared" si="2"/>
        <v>4</v>
      </c>
    </row>
    <row r="14" spans="1:20" ht="20" customHeight="1" x14ac:dyDescent="0.35">
      <c r="B14" s="76">
        <f t="shared" si="3"/>
        <v>21</v>
      </c>
      <c r="C14" s="67">
        <f>SUMIFS(tbl_ZESPOŁY_dane[3pa],tbl_ZESPOŁY_dane[zespół],B$6,tbl_ZESPOŁY_dane[GW],$K$1)</f>
        <v>21</v>
      </c>
      <c r="D14" s="66" t="s">
        <v>305</v>
      </c>
      <c r="E14" s="67">
        <f>SUMIFS(tbl_ZESPOŁY_dane[3pa],tbl_ZESPOŁY_dane[zespół],F$6,tbl_ZESPOŁY_dane[GW],$K$1)</f>
        <v>32</v>
      </c>
      <c r="F14" s="76">
        <f t="shared" si="0"/>
        <v>32</v>
      </c>
      <c r="I14" s="76">
        <f t="shared" si="4"/>
        <v>18</v>
      </c>
      <c r="J14" s="67">
        <f>SUMIFS(tbl_ZESPOŁY_dane[3pa],tbl_ZESPOŁY_dane[zespół],I$6,tbl_ZESPOŁY_dane[GW],$K$1)</f>
        <v>18</v>
      </c>
      <c r="K14" s="66" t="s">
        <v>305</v>
      </c>
      <c r="L14" s="67">
        <f>SUMIFS(tbl_ZESPOŁY_dane[3pa],tbl_ZESPOŁY_dane[zespół],M$6,tbl_ZESPOŁY_dane[GW],$K$1)</f>
        <v>33</v>
      </c>
      <c r="M14" s="76">
        <f t="shared" si="1"/>
        <v>33</v>
      </c>
      <c r="P14" s="76">
        <f t="shared" si="5"/>
        <v>21</v>
      </c>
      <c r="Q14" s="67">
        <f>SUMIFS(tbl_ZESPOŁY_dane[3pa],tbl_ZESPOŁY_dane[zespół],P$6,tbl_ZESPOŁY_dane[GW],$K$1)</f>
        <v>21</v>
      </c>
      <c r="R14" s="66" t="s">
        <v>305</v>
      </c>
      <c r="S14" s="67">
        <f>SUMIFS(tbl_ZESPOŁY_dane[3pa],tbl_ZESPOŁY_dane[zespół],T$6,tbl_ZESPOŁY_dane[GW],$K$1)</f>
        <v>16</v>
      </c>
      <c r="T14" s="76">
        <f t="shared" si="2"/>
        <v>16</v>
      </c>
    </row>
    <row r="15" spans="1:20" ht="20" customHeight="1" x14ac:dyDescent="0.35">
      <c r="B15" s="76"/>
      <c r="C15" s="72"/>
      <c r="D15" s="65" t="s">
        <v>307</v>
      </c>
      <c r="E15" s="72"/>
      <c r="F15" s="76">
        <f t="shared" si="0"/>
        <v>0</v>
      </c>
      <c r="I15" s="76"/>
      <c r="J15" s="72"/>
      <c r="K15" s="65" t="s">
        <v>307</v>
      </c>
      <c r="L15" s="72"/>
      <c r="M15" s="76">
        <f t="shared" si="1"/>
        <v>0</v>
      </c>
      <c r="P15" s="76"/>
      <c r="Q15" s="72"/>
      <c r="R15" s="65" t="s">
        <v>307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3</v>
      </c>
      <c r="C16" s="67">
        <f>SUMIFS(tbl_ZESPOŁY_dane[ftm],tbl_ZESPOŁY_dane[zespół],B$6,tbl_ZESPOŁY_dane[GW],$K$1)</f>
        <v>3</v>
      </c>
      <c r="D16" s="66" t="s">
        <v>304</v>
      </c>
      <c r="E16" s="67">
        <f>SUMIFS(tbl_ZESPOŁY_dane[ftm],tbl_ZESPOŁY_dane[zespół],F$6,tbl_ZESPOŁY_dane[GW],$K$1)</f>
        <v>8</v>
      </c>
      <c r="F16" s="76">
        <f t="shared" si="0"/>
        <v>8</v>
      </c>
      <c r="I16" s="76">
        <f t="shared" si="4"/>
        <v>9</v>
      </c>
      <c r="J16" s="67">
        <f>SUMIFS(tbl_ZESPOŁY_dane[ftm],tbl_ZESPOŁY_dane[zespół],I$6,tbl_ZESPOŁY_dane[GW],$K$1)</f>
        <v>9</v>
      </c>
      <c r="K16" s="66" t="s">
        <v>304</v>
      </c>
      <c r="L16" s="67">
        <f>SUMIFS(tbl_ZESPOŁY_dane[ftm],tbl_ZESPOŁY_dane[zespół],M$6,tbl_ZESPOŁY_dane[GW],$K$1)</f>
        <v>5</v>
      </c>
      <c r="M16" s="76">
        <f t="shared" si="1"/>
        <v>5</v>
      </c>
      <c r="P16" s="76">
        <f t="shared" si="5"/>
        <v>10</v>
      </c>
      <c r="Q16" s="67">
        <f>SUMIFS(tbl_ZESPOŁY_dane[ftm],tbl_ZESPOŁY_dane[zespół],P$6,tbl_ZESPOŁY_dane[GW],$K$1)</f>
        <v>10</v>
      </c>
      <c r="R16" s="66" t="s">
        <v>304</v>
      </c>
      <c r="S16" s="67">
        <f>SUMIFS(tbl_ZESPOŁY_dane[ftm],tbl_ZESPOŁY_dane[zespół],T$6,tbl_ZESPOŁY_dane[GW],$K$1)</f>
        <v>6</v>
      </c>
      <c r="T16" s="76">
        <f t="shared" si="2"/>
        <v>6</v>
      </c>
    </row>
    <row r="17" spans="2:20" ht="20" customHeight="1" x14ac:dyDescent="0.35">
      <c r="B17" s="76">
        <f t="shared" si="3"/>
        <v>6</v>
      </c>
      <c r="C17" s="67">
        <f>SUMIFS(tbl_ZESPOŁY_dane[fta],tbl_ZESPOŁY_dane[zespół],B$6,tbl_ZESPOŁY_dane[GW],$K$1)</f>
        <v>6</v>
      </c>
      <c r="D17" s="66" t="s">
        <v>305</v>
      </c>
      <c r="E17" s="67">
        <f>SUMIFS(tbl_ZESPOŁY_dane[fta],tbl_ZESPOŁY_dane[zespół],F$6,tbl_ZESPOŁY_dane[GW],$K$1)</f>
        <v>15</v>
      </c>
      <c r="F17" s="76">
        <f t="shared" si="0"/>
        <v>15</v>
      </c>
      <c r="I17" s="76">
        <f t="shared" si="4"/>
        <v>16</v>
      </c>
      <c r="J17" s="67">
        <f>SUMIFS(tbl_ZESPOŁY_dane[fta],tbl_ZESPOŁY_dane[zespół],I$6,tbl_ZESPOŁY_dane[GW],$K$1)</f>
        <v>16</v>
      </c>
      <c r="K17" s="66" t="s">
        <v>305</v>
      </c>
      <c r="L17" s="67">
        <f>SUMIFS(tbl_ZESPOŁY_dane[fta],tbl_ZESPOŁY_dane[zespół],M$6,tbl_ZESPOŁY_dane[GW],$K$1)</f>
        <v>15</v>
      </c>
      <c r="M17" s="76">
        <f t="shared" si="1"/>
        <v>15</v>
      </c>
      <c r="P17" s="76">
        <f t="shared" si="5"/>
        <v>13</v>
      </c>
      <c r="Q17" s="67">
        <f>SUMIFS(tbl_ZESPOŁY_dane[fta],tbl_ZESPOŁY_dane[zespół],P$6,tbl_ZESPOŁY_dane[GW],$K$1)</f>
        <v>13</v>
      </c>
      <c r="R17" s="66" t="s">
        <v>305</v>
      </c>
      <c r="S17" s="67">
        <f>SUMIFS(tbl_ZESPOŁY_dane[fta],tbl_ZESPOŁY_dane[zespół],T$6,tbl_ZESPOŁY_dane[GW],$K$1)</f>
        <v>10</v>
      </c>
      <c r="T17" s="76">
        <f t="shared" si="2"/>
        <v>10</v>
      </c>
    </row>
    <row r="18" spans="2:20" ht="20" customHeight="1" x14ac:dyDescent="0.35">
      <c r="B18" s="76"/>
      <c r="C18" s="72"/>
      <c r="D18" s="65" t="s">
        <v>319</v>
      </c>
      <c r="E18" s="72"/>
      <c r="F18" s="76"/>
      <c r="I18" s="76"/>
      <c r="J18" s="72"/>
      <c r="K18" s="65" t="s">
        <v>319</v>
      </c>
      <c r="L18" s="72"/>
      <c r="M18" s="76"/>
      <c r="P18" s="76"/>
      <c r="Q18" s="72"/>
      <c r="R18" s="65" t="s">
        <v>319</v>
      </c>
      <c r="S18" s="72"/>
      <c r="T18" s="76"/>
    </row>
    <row r="19" spans="2:20" ht="20" customHeight="1" x14ac:dyDescent="0.35">
      <c r="B19" s="77">
        <f t="shared" si="3"/>
        <v>0.375</v>
      </c>
      <c r="C19" s="68">
        <f>SUMIFS(tbl_ZESPOŁY_dane[2P%],tbl_ZESPOŁY_dane[zespół],B$6,tbl_ZESPOŁY_dane[GW],$K$1)</f>
        <v>0.375</v>
      </c>
      <c r="D19" s="66" t="s">
        <v>320</v>
      </c>
      <c r="E19" s="68">
        <f>SUMIFS(tbl_ZESPOŁY_dane[2P%],tbl_ZESPOŁY_dane[zespół],F$6,tbl_ZESPOŁY_dane[GW],$K$1)</f>
        <v>0.45454545454545453</v>
      </c>
      <c r="F19" s="78">
        <f>E19</f>
        <v>0.45454545454545453</v>
      </c>
      <c r="I19" s="77">
        <f t="shared" si="4"/>
        <v>0.37777777777777777</v>
      </c>
      <c r="J19" s="68">
        <f>SUMIFS(tbl_ZESPOŁY_dane[2P%],tbl_ZESPOŁY_dane[zespół],I$6,tbl_ZESPOŁY_dane[GW],$K$1)</f>
        <v>0.37777777777777777</v>
      </c>
      <c r="K19" s="66" t="s">
        <v>320</v>
      </c>
      <c r="L19" s="68">
        <f>SUMIFS(tbl_ZESPOŁY_dane[2P%],tbl_ZESPOŁY_dane[zespół],M$6,tbl_ZESPOŁY_dane[GW],$K$1)</f>
        <v>0.45454545454545453</v>
      </c>
      <c r="M19" s="78">
        <f>L19</f>
        <v>0.45454545454545453</v>
      </c>
      <c r="P19" s="77">
        <f t="shared" si="5"/>
        <v>0.23529411764705882</v>
      </c>
      <c r="Q19" s="68">
        <f>SUMIFS(tbl_ZESPOŁY_dane[2P%],tbl_ZESPOŁY_dane[zespół],P$6,tbl_ZESPOŁY_dane[GW],$K$1)</f>
        <v>0.23529411764705882</v>
      </c>
      <c r="R19" s="66" t="s">
        <v>320</v>
      </c>
      <c r="S19" s="68">
        <f>SUMIFS(tbl_ZESPOŁY_dane[2P%],tbl_ZESPOŁY_dane[zespół],T$6,tbl_ZESPOŁY_dane[GW],$K$1)</f>
        <v>0.375</v>
      </c>
      <c r="T19" s="78">
        <f>S19</f>
        <v>0.375</v>
      </c>
    </row>
    <row r="20" spans="2:20" ht="20" customHeight="1" x14ac:dyDescent="0.35">
      <c r="B20" s="77">
        <f t="shared" si="3"/>
        <v>0.14285714285714285</v>
      </c>
      <c r="C20" s="68">
        <f>SUMIFS(tbl_ZESPOŁY_dane[3p%],tbl_ZESPOŁY_dane[zespół],B$6,tbl_ZESPOŁY_dane[GW],$K$1)</f>
        <v>0.14285714285714285</v>
      </c>
      <c r="D20" s="66" t="s">
        <v>321</v>
      </c>
      <c r="E20" s="68">
        <f>SUMIFS(tbl_ZESPOŁY_dane[3p%],tbl_ZESPOŁY_dane[zespół],F$6,tbl_ZESPOŁY_dane[GW],$K$1)</f>
        <v>0.125</v>
      </c>
      <c r="F20" s="78">
        <f t="shared" ref="F20:F22" si="6">E20</f>
        <v>0.125</v>
      </c>
      <c r="I20" s="77">
        <f t="shared" si="4"/>
        <v>0.1111111111111111</v>
      </c>
      <c r="J20" s="68">
        <f>SUMIFS(tbl_ZESPOŁY_dane[3p%],tbl_ZESPOŁY_dane[zespół],I$6,tbl_ZESPOŁY_dane[GW],$K$1)</f>
        <v>0.1111111111111111</v>
      </c>
      <c r="K20" s="66" t="s">
        <v>321</v>
      </c>
      <c r="L20" s="68">
        <f>SUMIFS(tbl_ZESPOŁY_dane[3p%],tbl_ZESPOŁY_dane[zespół],M$6,tbl_ZESPOŁY_dane[GW],$K$1)</f>
        <v>0.33333333333333331</v>
      </c>
      <c r="M20" s="78">
        <f t="shared" ref="M20:M22" si="7">L20</f>
        <v>0.33333333333333331</v>
      </c>
      <c r="P20" s="77">
        <f t="shared" si="5"/>
        <v>0.19047619047619047</v>
      </c>
      <c r="Q20" s="68">
        <f>SUMIFS(tbl_ZESPOŁY_dane[3p%],tbl_ZESPOŁY_dane[zespół],P$6,tbl_ZESPOŁY_dane[GW],$K$1)</f>
        <v>0.19047619047619047</v>
      </c>
      <c r="R20" s="66" t="s">
        <v>321</v>
      </c>
      <c r="S20" s="68">
        <f>SUMIFS(tbl_ZESPOŁY_dane[3p%],tbl_ZESPOŁY_dane[zespół],T$6,tbl_ZESPOŁY_dane[GW],$K$1)</f>
        <v>0.25</v>
      </c>
      <c r="T20" s="78">
        <f t="shared" ref="T20:T22" si="8">S20</f>
        <v>0.25</v>
      </c>
    </row>
    <row r="21" spans="2:20" ht="20" customHeight="1" x14ac:dyDescent="0.35">
      <c r="B21" s="77">
        <f t="shared" si="3"/>
        <v>0.5</v>
      </c>
      <c r="C21" s="68">
        <f>SUMIFS(tbl_ZESPOŁY_dane[ft%],tbl_ZESPOŁY_dane[zespół],B$6,tbl_ZESPOŁY_dane[GW],$K$1)</f>
        <v>0.5</v>
      </c>
      <c r="D21" s="66" t="s">
        <v>322</v>
      </c>
      <c r="E21" s="68">
        <f>SUMIFS(tbl_ZESPOŁY_dane[ft%],tbl_ZESPOŁY_dane[zespół],F$6,tbl_ZESPOŁY_dane[GW],$K$1)</f>
        <v>0.53333333333333333</v>
      </c>
      <c r="F21" s="78">
        <f t="shared" si="6"/>
        <v>0.53333333333333333</v>
      </c>
      <c r="I21" s="77">
        <f t="shared" si="4"/>
        <v>0.5625</v>
      </c>
      <c r="J21" s="68">
        <f>SUMIFS(tbl_ZESPOŁY_dane[ft%],tbl_ZESPOŁY_dane[zespół],I$6,tbl_ZESPOŁY_dane[GW],$K$1)</f>
        <v>0.5625</v>
      </c>
      <c r="K21" s="66" t="s">
        <v>322</v>
      </c>
      <c r="L21" s="68">
        <f>SUMIFS(tbl_ZESPOŁY_dane[ft%],tbl_ZESPOŁY_dane[zespół],M$6,tbl_ZESPOŁY_dane[GW],$K$1)</f>
        <v>0.33333333333333331</v>
      </c>
      <c r="M21" s="78">
        <f t="shared" si="7"/>
        <v>0.33333333333333331</v>
      </c>
      <c r="P21" s="77">
        <f t="shared" si="5"/>
        <v>0.76923076923076927</v>
      </c>
      <c r="Q21" s="68">
        <f>SUMIFS(tbl_ZESPOŁY_dane[ft%],tbl_ZESPOŁY_dane[zespół],P$6,tbl_ZESPOŁY_dane[GW],$K$1)</f>
        <v>0.76923076923076927</v>
      </c>
      <c r="R21" s="66" t="s">
        <v>322</v>
      </c>
      <c r="S21" s="68">
        <f>SUMIFS(tbl_ZESPOŁY_dane[ft%],tbl_ZESPOŁY_dane[zespół],T$6,tbl_ZESPOŁY_dane[GW],$K$1)</f>
        <v>0.6</v>
      </c>
      <c r="T21" s="78">
        <f t="shared" si="8"/>
        <v>0.6</v>
      </c>
    </row>
    <row r="22" spans="2:20" ht="20" customHeight="1" x14ac:dyDescent="0.35">
      <c r="B22" s="77">
        <f t="shared" si="3"/>
        <v>0.3350083752093802</v>
      </c>
      <c r="C22" s="68">
        <f>SUMIFS(tbl_ZESPOŁY_dane[TS%],tbl_ZESPOŁY_dane[zespół],B$6,tbl_ZESPOŁY_dane[GW],$K$1)</f>
        <v>0.3350083752093802</v>
      </c>
      <c r="D22" s="66" t="s">
        <v>314</v>
      </c>
      <c r="E22" s="68">
        <f>SUMIFS(tbl_ZESPOŁY_dane[TS%],tbl_ZESPOŁY_dane[zespół],F$6,tbl_ZESPOŁY_dane[GW],$K$1)</f>
        <v>0.36319612590799033</v>
      </c>
      <c r="F22" s="78">
        <f t="shared" si="6"/>
        <v>0.36319612590799033</v>
      </c>
      <c r="I22" s="77">
        <f t="shared" si="4"/>
        <v>0.34980011422044544</v>
      </c>
      <c r="J22" s="68">
        <f>SUMIFS(tbl_ZESPOŁY_dane[TS%],tbl_ZESPOŁY_dane[zespół],I$6,tbl_ZESPOŁY_dane[GW],$K$1)</f>
        <v>0.34980011422044544</v>
      </c>
      <c r="K22" s="66" t="s">
        <v>314</v>
      </c>
      <c r="L22" s="68">
        <f>SUMIFS(tbl_ZESPOŁY_dane[TS%],tbl_ZESPOŁY_dane[zespół],M$6,tbl_ZESPOŁY_dane[GW],$K$1)</f>
        <v>0.46511627906976749</v>
      </c>
      <c r="M22" s="78">
        <f t="shared" si="7"/>
        <v>0.46511627906976749</v>
      </c>
      <c r="P22" s="77">
        <f t="shared" si="5"/>
        <v>0.31291172595520422</v>
      </c>
      <c r="Q22" s="68">
        <f>SUMIFS(tbl_ZESPOŁY_dane[TS%],tbl_ZESPOŁY_dane[zespół],P$6,tbl_ZESPOŁY_dane[GW],$K$1)</f>
        <v>0.31291172595520422</v>
      </c>
      <c r="R22" s="66" t="s">
        <v>314</v>
      </c>
      <c r="S22" s="68">
        <f>SUMIFS(tbl_ZESPOŁY_dane[TS%],tbl_ZESPOŁY_dane[zespół],T$6,tbl_ZESPOŁY_dane[GW],$K$1)</f>
        <v>0.3926701570680628</v>
      </c>
      <c r="T22" s="78">
        <f t="shared" si="8"/>
        <v>0.3926701570680628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15</v>
      </c>
      <c r="C24" s="86">
        <f>SUMIFS(tbl_ZESPOŁY_dane[oreb],tbl_ZESPOŁY_dane[zespół],B$6,tbl_ZESPOŁY_dane[GW],$K$1)</f>
        <v>15</v>
      </c>
      <c r="D24" s="66" t="s">
        <v>308</v>
      </c>
      <c r="E24" s="86">
        <f>SUMIFS(tbl_ZESPOŁY_dane[oreb],tbl_ZESPOŁY_dane[zespół],F$6,tbl_ZESPOŁY_dane[GW],$K$1)</f>
        <v>19</v>
      </c>
      <c r="F24" s="76">
        <f t="shared" si="0"/>
        <v>19</v>
      </c>
      <c r="I24" s="76">
        <f t="shared" si="4"/>
        <v>7</v>
      </c>
      <c r="J24" s="86">
        <f>SUMIFS(tbl_ZESPOŁY_dane[oreb],tbl_ZESPOŁY_dane[zespół],I$6,tbl_ZESPOŁY_dane[GW],$K$1)</f>
        <v>7</v>
      </c>
      <c r="K24" s="66" t="s">
        <v>308</v>
      </c>
      <c r="L24" s="86">
        <f>SUMIFS(tbl_ZESPOŁY_dane[oreb],tbl_ZESPOŁY_dane[zespół],M$6,tbl_ZESPOŁY_dane[GW],$K$1)</f>
        <v>20</v>
      </c>
      <c r="M24" s="76">
        <f t="shared" si="1"/>
        <v>20</v>
      </c>
      <c r="P24" s="76">
        <f t="shared" si="5"/>
        <v>8</v>
      </c>
      <c r="Q24" s="86">
        <f>SUMIFS(tbl_ZESPOŁY_dane[oreb],tbl_ZESPOŁY_dane[zespół],P$6,tbl_ZESPOŁY_dane[GW],$K$1)</f>
        <v>8</v>
      </c>
      <c r="R24" s="66" t="s">
        <v>308</v>
      </c>
      <c r="S24" s="86">
        <f>SUMIFS(tbl_ZESPOŁY_dane[oreb],tbl_ZESPOŁY_dane[zespół],T$6,tbl_ZESPOŁY_dane[GW],$K$1)</f>
        <v>13</v>
      </c>
      <c r="T24" s="76">
        <f t="shared" si="2"/>
        <v>13</v>
      </c>
    </row>
    <row r="25" spans="2:20" ht="20" customHeight="1" x14ac:dyDescent="0.35">
      <c r="B25" s="76">
        <f t="shared" si="3"/>
        <v>32</v>
      </c>
      <c r="C25" s="86">
        <f>SUMIFS(tbl_ZESPOŁY_dane[dreb],tbl_ZESPOŁY_dane[zespół],B$6,tbl_ZESPOŁY_dane[GW],$K$1)</f>
        <v>32</v>
      </c>
      <c r="D25" s="66" t="s">
        <v>309</v>
      </c>
      <c r="E25" s="86">
        <f>SUMIFS(tbl_ZESPOŁY_dane[dreb],tbl_ZESPOŁY_dane[zespół],F$6,tbl_ZESPOŁY_dane[GW],$K$1)</f>
        <v>25</v>
      </c>
      <c r="F25" s="76">
        <f t="shared" si="0"/>
        <v>25</v>
      </c>
      <c r="I25" s="76">
        <f t="shared" si="4"/>
        <v>35</v>
      </c>
      <c r="J25" s="86">
        <f>SUMIFS(tbl_ZESPOŁY_dane[dreb],tbl_ZESPOŁY_dane[zespół],I$6,tbl_ZESPOŁY_dane[GW],$K$1)</f>
        <v>35</v>
      </c>
      <c r="K25" s="66" t="s">
        <v>309</v>
      </c>
      <c r="L25" s="86">
        <f>SUMIFS(tbl_ZESPOŁY_dane[dreb],tbl_ZESPOŁY_dane[zespół],M$6,tbl_ZESPOŁY_dane[GW],$K$1)</f>
        <v>33</v>
      </c>
      <c r="M25" s="76">
        <f t="shared" si="1"/>
        <v>33</v>
      </c>
      <c r="P25" s="76">
        <f t="shared" si="5"/>
        <v>27</v>
      </c>
      <c r="Q25" s="86">
        <f>SUMIFS(tbl_ZESPOŁY_dane[dreb],tbl_ZESPOŁY_dane[zespół],P$6,tbl_ZESPOŁY_dane[GW],$K$1)</f>
        <v>27</v>
      </c>
      <c r="R25" s="66" t="s">
        <v>309</v>
      </c>
      <c r="S25" s="86">
        <f>SUMIFS(tbl_ZESPOŁY_dane[dreb],tbl_ZESPOŁY_dane[zespół],T$6,tbl_ZESPOŁY_dane[GW],$K$1)</f>
        <v>30</v>
      </c>
      <c r="T25" s="76">
        <f t="shared" si="2"/>
        <v>30</v>
      </c>
    </row>
    <row r="26" spans="2:20" ht="20" customHeight="1" x14ac:dyDescent="0.35">
      <c r="B26" s="76">
        <f t="shared" si="3"/>
        <v>47</v>
      </c>
      <c r="C26" s="86">
        <f>SUMIFS(tbl_ZESPOŁY_dane[reb total],tbl_ZESPOŁY_dane[zespół],B$6,tbl_ZESPOŁY_dane[GW],$K$1)</f>
        <v>47</v>
      </c>
      <c r="D26" s="66" t="s">
        <v>310</v>
      </c>
      <c r="E26" s="86">
        <f>SUMIFS(tbl_ZESPOŁY_dane[reb total],tbl_ZESPOŁY_dane[zespół],F$6,tbl_ZESPOŁY_dane[GW],$K$1)</f>
        <v>44</v>
      </c>
      <c r="F26" s="76">
        <f t="shared" si="0"/>
        <v>44</v>
      </c>
      <c r="I26" s="76">
        <f t="shared" si="4"/>
        <v>42</v>
      </c>
      <c r="J26" s="86">
        <f>SUMIFS(tbl_ZESPOŁY_dane[reb total],tbl_ZESPOŁY_dane[zespół],I$6,tbl_ZESPOŁY_dane[GW],$K$1)</f>
        <v>42</v>
      </c>
      <c r="K26" s="66" t="s">
        <v>310</v>
      </c>
      <c r="L26" s="86">
        <f>SUMIFS(tbl_ZESPOŁY_dane[reb total],tbl_ZESPOŁY_dane[zespół],M$6,tbl_ZESPOŁY_dane[GW],$K$1)</f>
        <v>53</v>
      </c>
      <c r="M26" s="76">
        <f t="shared" si="1"/>
        <v>53</v>
      </c>
      <c r="P26" s="76">
        <f t="shared" si="5"/>
        <v>35</v>
      </c>
      <c r="Q26" s="86">
        <f>SUMIFS(tbl_ZESPOŁY_dane[reb total],tbl_ZESPOŁY_dane[zespół],P$6,tbl_ZESPOŁY_dane[GW],$K$1)</f>
        <v>35</v>
      </c>
      <c r="R26" s="66" t="s">
        <v>310</v>
      </c>
      <c r="S26" s="86">
        <f>SUMIFS(tbl_ZESPOŁY_dane[reb total],tbl_ZESPOŁY_dane[zespół],T$6,tbl_ZESPOŁY_dane[GW],$K$1)</f>
        <v>43</v>
      </c>
      <c r="T26" s="76">
        <f t="shared" si="2"/>
        <v>43</v>
      </c>
    </row>
    <row r="27" spans="2:20" ht="20" customHeight="1" x14ac:dyDescent="0.35">
      <c r="B27" s="76">
        <f t="shared" si="3"/>
        <v>14</v>
      </c>
      <c r="C27" s="86">
        <f>SUMIFS(tbl_ZESPOŁY_dane[asst],tbl_ZESPOŁY_dane[zespół],B$6,tbl_ZESPOŁY_dane[GW],$K$1)</f>
        <v>14</v>
      </c>
      <c r="D27" s="66" t="s">
        <v>311</v>
      </c>
      <c r="E27" s="86">
        <f>SUMIFS(tbl_ZESPOŁY_dane[asst],tbl_ZESPOŁY_dane[zespół],F$6,tbl_ZESPOŁY_dane[GW],$K$1)</f>
        <v>21</v>
      </c>
      <c r="F27" s="76">
        <f t="shared" si="0"/>
        <v>21</v>
      </c>
      <c r="I27" s="76">
        <f t="shared" si="4"/>
        <v>13</v>
      </c>
      <c r="J27" s="86">
        <f>SUMIFS(tbl_ZESPOŁY_dane[asst],tbl_ZESPOŁY_dane[zespół],I$6,tbl_ZESPOŁY_dane[GW],$K$1)</f>
        <v>13</v>
      </c>
      <c r="K27" s="66" t="s">
        <v>311</v>
      </c>
      <c r="L27" s="86">
        <f>SUMIFS(tbl_ZESPOŁY_dane[asst],tbl_ZESPOŁY_dane[zespół],M$6,tbl_ZESPOŁY_dane[GW],$K$1)</f>
        <v>23</v>
      </c>
      <c r="M27" s="76">
        <f t="shared" si="1"/>
        <v>23</v>
      </c>
      <c r="P27" s="76">
        <f t="shared" si="5"/>
        <v>6</v>
      </c>
      <c r="Q27" s="86">
        <f>SUMIFS(tbl_ZESPOŁY_dane[asst],tbl_ZESPOŁY_dane[zespół],P$6,tbl_ZESPOŁY_dane[GW],$K$1)</f>
        <v>6</v>
      </c>
      <c r="R27" s="66" t="s">
        <v>311</v>
      </c>
      <c r="S27" s="86">
        <f>SUMIFS(tbl_ZESPOŁY_dane[asst],tbl_ZESPOŁY_dane[zespół],T$6,tbl_ZESPOŁY_dane[GW],$K$1)</f>
        <v>12</v>
      </c>
      <c r="T27" s="76">
        <f t="shared" si="2"/>
        <v>12</v>
      </c>
    </row>
    <row r="28" spans="2:20" ht="20" customHeight="1" x14ac:dyDescent="0.35">
      <c r="B28" s="76">
        <f t="shared" si="3"/>
        <v>6</v>
      </c>
      <c r="C28" s="86">
        <f>SUMIFS(tbl_ZESPOŁY_dane[stl],tbl_ZESPOŁY_dane[zespół],B$6,tbl_ZESPOŁY_dane[GW],$K$1)</f>
        <v>6</v>
      </c>
      <c r="D28" s="66" t="s">
        <v>312</v>
      </c>
      <c r="E28" s="86">
        <f>SUMIFS(tbl_ZESPOŁY_dane[stl],tbl_ZESPOŁY_dane[zespół],F$6,tbl_ZESPOŁY_dane[GW],$K$1)</f>
        <v>17</v>
      </c>
      <c r="F28" s="76">
        <f t="shared" si="0"/>
        <v>17</v>
      </c>
      <c r="I28" s="76">
        <f t="shared" si="4"/>
        <v>4</v>
      </c>
      <c r="J28" s="86">
        <f>SUMIFS(tbl_ZESPOŁY_dane[stl],tbl_ZESPOŁY_dane[zespół],I$6,tbl_ZESPOŁY_dane[GW],$K$1)</f>
        <v>4</v>
      </c>
      <c r="K28" s="66" t="s">
        <v>312</v>
      </c>
      <c r="L28" s="86">
        <f>SUMIFS(tbl_ZESPOŁY_dane[stl],tbl_ZESPOŁY_dane[zespół],M$6,tbl_ZESPOŁY_dane[GW],$K$1)</f>
        <v>15</v>
      </c>
      <c r="M28" s="76">
        <f t="shared" si="1"/>
        <v>15</v>
      </c>
      <c r="P28" s="76">
        <f t="shared" si="5"/>
        <v>8</v>
      </c>
      <c r="Q28" s="86">
        <f>SUMIFS(tbl_ZESPOŁY_dane[stl],tbl_ZESPOŁY_dane[zespół],P$6,tbl_ZESPOŁY_dane[GW],$K$1)</f>
        <v>8</v>
      </c>
      <c r="R28" s="66" t="s">
        <v>312</v>
      </c>
      <c r="S28" s="86">
        <f>SUMIFS(tbl_ZESPOŁY_dane[stl],tbl_ZESPOŁY_dane[zespół],T$6,tbl_ZESPOŁY_dane[GW],$K$1)</f>
        <v>19</v>
      </c>
      <c r="T28" s="76">
        <f t="shared" si="2"/>
        <v>19</v>
      </c>
    </row>
    <row r="29" spans="2:20" ht="20" customHeight="1" x14ac:dyDescent="0.35">
      <c r="B29" s="76">
        <f t="shared" si="3"/>
        <v>0</v>
      </c>
      <c r="C29" s="86">
        <f>SUMIFS(tbl_ZESPOŁY_dane[blk],tbl_ZESPOŁY_dane[zespół],B$6,tbl_ZESPOŁY_dane[GW],$K$1)</f>
        <v>0</v>
      </c>
      <c r="D29" s="66" t="s">
        <v>313</v>
      </c>
      <c r="E29" s="86">
        <f>SUMIFS(tbl_ZESPOŁY_dane[blk],tbl_ZESPOŁY_dane[zespół],F$6,tbl_ZESPOŁY_dane[GW],$K$1)</f>
        <v>0</v>
      </c>
      <c r="F29" s="76">
        <f t="shared" si="0"/>
        <v>0</v>
      </c>
      <c r="I29" s="76">
        <f t="shared" si="4"/>
        <v>5</v>
      </c>
      <c r="J29" s="86">
        <f>SUMIFS(tbl_ZESPOŁY_dane[blk],tbl_ZESPOŁY_dane[zespół],I$6,tbl_ZESPOŁY_dane[GW],$K$1)</f>
        <v>5</v>
      </c>
      <c r="K29" s="66" t="s">
        <v>313</v>
      </c>
      <c r="L29" s="86">
        <f>SUMIFS(tbl_ZESPOŁY_dane[blk],tbl_ZESPOŁY_dane[zespół],M$6,tbl_ZESPOŁY_dane[GW],$K$1)</f>
        <v>1</v>
      </c>
      <c r="M29" s="76">
        <f t="shared" si="1"/>
        <v>1</v>
      </c>
      <c r="P29" s="76">
        <f t="shared" si="5"/>
        <v>2</v>
      </c>
      <c r="Q29" s="86">
        <f>SUMIFS(tbl_ZESPOŁY_dane[blk],tbl_ZESPOŁY_dane[zespół],P$6,tbl_ZESPOŁY_dane[GW],$K$1)</f>
        <v>2</v>
      </c>
      <c r="R29" s="66" t="s">
        <v>313</v>
      </c>
      <c r="S29" s="86">
        <f>SUMIFS(tbl_ZESPOŁY_dane[blk],tbl_ZESPOŁY_dane[zespół],T$6,tbl_ZESPOŁY_dane[GW],$K$1)</f>
        <v>3</v>
      </c>
      <c r="T29" s="76">
        <f t="shared" si="2"/>
        <v>3</v>
      </c>
    </row>
    <row r="30" spans="2:20" ht="20" customHeight="1" x14ac:dyDescent="0.35">
      <c r="B30" s="76">
        <f t="shared" si="3"/>
        <v>56.64</v>
      </c>
      <c r="C30" s="86">
        <f>SUMIFS(tbl_ZESPOŁY_dane[Poss],tbl_ZESPOŁY_dane[zespół],B$6,tbl_ZESPOŁY_dane[GW],$K$1)</f>
        <v>56.64</v>
      </c>
      <c r="D30" s="66" t="s">
        <v>317</v>
      </c>
      <c r="E30" s="86">
        <f>SUMIFS(tbl_ZESPOŁY_dane[Poss],tbl_ZESPOŁY_dane[zespół],F$6,tbl_ZESPOŁY_dane[GW],$K$1)</f>
        <v>63.599999999999994</v>
      </c>
      <c r="F30" s="76">
        <f t="shared" si="0"/>
        <v>63.599999999999994</v>
      </c>
      <c r="I30" s="76">
        <f t="shared" si="4"/>
        <v>63.040000000000006</v>
      </c>
      <c r="J30" s="86">
        <f>SUMIFS(tbl_ZESPOŁY_dane[Poss],tbl_ZESPOŁY_dane[zespół],I$6,tbl_ZESPOŁY_dane[GW],$K$1)</f>
        <v>63.040000000000006</v>
      </c>
      <c r="K30" s="66" t="s">
        <v>317</v>
      </c>
      <c r="L30" s="86">
        <f>SUMIFS(tbl_ZESPOŁY_dane[Poss],tbl_ZESPOŁY_dane[zespół],M$6,tbl_ZESPOŁY_dane[GW],$K$1)</f>
        <v>74.599999999999994</v>
      </c>
      <c r="M30" s="76">
        <f t="shared" si="1"/>
        <v>74.599999999999994</v>
      </c>
      <c r="P30" s="76">
        <f t="shared" si="5"/>
        <v>52.72</v>
      </c>
      <c r="Q30" s="86">
        <f>SUMIFS(tbl_ZESPOŁY_dane[Poss],tbl_ZESPOŁY_dane[zespół],P$6,tbl_ZESPOŁY_dane[GW],$K$1)</f>
        <v>52.72</v>
      </c>
      <c r="R30" s="66" t="s">
        <v>317</v>
      </c>
      <c r="S30" s="86">
        <f>SUMIFS(tbl_ZESPOŁY_dane[Poss],tbl_ZESPOŁY_dane[zespół],T$6,tbl_ZESPOŁY_dane[GW],$K$1)</f>
        <v>63.400000000000006</v>
      </c>
      <c r="T30" s="76">
        <f t="shared" si="2"/>
        <v>63.400000000000006</v>
      </c>
    </row>
    <row r="31" spans="2:20" ht="20" customHeight="1" x14ac:dyDescent="0.35">
      <c r="B31" s="76">
        <f t="shared" si="3"/>
        <v>84.745762711864401</v>
      </c>
      <c r="C31" s="85">
        <f>SUMIFS(tbl_ZESPOŁY_dane[Orating],tbl_ZESPOŁY_dane[zespół],B$6,tbl_ZESPOŁY_dane[GW],$K$1)</f>
        <v>84.745762711864401</v>
      </c>
      <c r="D31" s="66" t="s">
        <v>315</v>
      </c>
      <c r="E31" s="85">
        <f>SUMIFS(tbl_ZESPOŁY_dane[Orating],tbl_ZESPOŁY_dane[zespół],F$6,tbl_ZESPOŁY_dane[GW],$K$1)</f>
        <v>94.33962264150945</v>
      </c>
      <c r="F31" s="76">
        <f t="shared" si="0"/>
        <v>94.33962264150945</v>
      </c>
      <c r="I31" s="76">
        <f t="shared" si="4"/>
        <v>77.728426395939081</v>
      </c>
      <c r="J31" s="85">
        <f>SUMIFS(tbl_ZESPOŁY_dane[Orating],tbl_ZESPOŁY_dane[zespół],I$6,tbl_ZESPOŁY_dane[GW],$K$1)</f>
        <v>77.728426395939081</v>
      </c>
      <c r="K31" s="66" t="s">
        <v>315</v>
      </c>
      <c r="L31" s="85">
        <f>SUMIFS(tbl_ZESPOŁY_dane[Orating],tbl_ZESPOŁY_dane[zespół],M$6,tbl_ZESPOŁY_dane[GW],$K$1)</f>
        <v>117.96246648793567</v>
      </c>
      <c r="M31" s="76">
        <f t="shared" si="1"/>
        <v>117.96246648793567</v>
      </c>
      <c r="P31" s="76">
        <f t="shared" si="5"/>
        <v>72.078907435508341</v>
      </c>
      <c r="Q31" s="85">
        <f>SUMIFS(tbl_ZESPOŁY_dane[Orating],tbl_ZESPOŁY_dane[zespół],P$6,tbl_ZESPOŁY_dane[GW],$K$1)</f>
        <v>72.078907435508341</v>
      </c>
      <c r="R31" s="66" t="s">
        <v>315</v>
      </c>
      <c r="S31" s="85">
        <f>SUMIFS(tbl_ZESPOŁY_dane[Orating],tbl_ZESPOŁY_dane[zespół],T$6,tbl_ZESPOŁY_dane[GW],$K$1)</f>
        <v>94.637223974763401</v>
      </c>
      <c r="T31" s="76">
        <f t="shared" si="2"/>
        <v>94.637223974763401</v>
      </c>
    </row>
    <row r="32" spans="2:20" ht="20" customHeight="1" x14ac:dyDescent="0.35">
      <c r="B32" s="76">
        <f t="shared" si="3"/>
        <v>94.33962264150945</v>
      </c>
      <c r="C32" s="85">
        <f>SUMIFS(tbl_ZESPOŁY_dane[Drating],tbl_ZESPOŁY_dane[zespół],B$6,tbl_ZESPOŁY_dane[GW],$K$1)</f>
        <v>94.33962264150945</v>
      </c>
      <c r="D32" s="66" t="s">
        <v>316</v>
      </c>
      <c r="E32" s="85">
        <f>SUMIFS(tbl_ZESPOŁY_dane[Drating],tbl_ZESPOŁY_dane[zespół],F$6,tbl_ZESPOŁY_dane[GW],$K$1)</f>
        <v>84.745762711864401</v>
      </c>
      <c r="F32" s="76">
        <f t="shared" si="0"/>
        <v>84.745762711864401</v>
      </c>
      <c r="I32" s="76">
        <f t="shared" si="4"/>
        <v>117.96246648793567</v>
      </c>
      <c r="J32" s="85">
        <f>SUMIFS(tbl_ZESPOŁY_dane[Drating],tbl_ZESPOŁY_dane[zespół],I$6,tbl_ZESPOŁY_dane[GW],$K$1)</f>
        <v>117.96246648793567</v>
      </c>
      <c r="K32" s="66" t="s">
        <v>316</v>
      </c>
      <c r="L32" s="85">
        <f>SUMIFS(tbl_ZESPOŁY_dane[Drating],tbl_ZESPOŁY_dane[zespół],M$6,tbl_ZESPOŁY_dane[GW],$K$1)</f>
        <v>77.728426395939081</v>
      </c>
      <c r="M32" s="76">
        <f t="shared" si="1"/>
        <v>77.728426395939081</v>
      </c>
      <c r="P32" s="76">
        <f t="shared" si="5"/>
        <v>94.637223974763401</v>
      </c>
      <c r="Q32" s="85">
        <f>SUMIFS(tbl_ZESPOŁY_dane[Drating],tbl_ZESPOŁY_dane[zespół],P$6,tbl_ZESPOŁY_dane[GW],$K$1)</f>
        <v>94.637223974763401</v>
      </c>
      <c r="R32" s="66" t="s">
        <v>316</v>
      </c>
      <c r="S32" s="85">
        <f>SUMIFS(tbl_ZESPOŁY_dane[Drating],tbl_ZESPOŁY_dane[zespół],T$6,tbl_ZESPOŁY_dane[GW],$K$1)</f>
        <v>72.078907435508341</v>
      </c>
      <c r="T32" s="76">
        <f t="shared" si="2"/>
        <v>72.078907435508341</v>
      </c>
    </row>
  </sheetData>
  <sheetProtection algorithmName="SHA-512" hashValue="ESDQqiQMwnAOhkfU2wH/aAUbB2jwFMWDsKsakRqH4U9bZVnIT2tNbtOw72bqqHSJcrJOBFnvT2pkB/wcMQBXOw==" saltValue="a+0nXPYZWPnuJqXapNss/w==" spinCount="100000" sheet="1" objects="1" scenarios="1"/>
  <conditionalFormatting sqref="B8:B17">
    <cfRule type="dataBar" priority="40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{A66BEB0E-D808-46B4-A798-E61059307056}</x14:id>
        </ext>
      </extLst>
    </cfRule>
  </conditionalFormatting>
  <conditionalFormatting sqref="B19:B22">
    <cfRule type="dataBar" priority="38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{EC49140A-04B0-42D1-AA99-69C2EB61AE22}</x14:id>
        </ext>
      </extLst>
    </cfRule>
  </conditionalFormatting>
  <conditionalFormatting sqref="B24:B29">
    <cfRule type="dataBar" priority="36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{E395DC32-1C94-4434-953E-B61B461C32E4}</x14:id>
        </ext>
      </extLst>
    </cfRule>
  </conditionalFormatting>
  <conditionalFormatting sqref="B30:B32">
    <cfRule type="dataBar" priority="34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{27D261EF-2859-449A-8875-CDA447CF3C1A}</x14:id>
        </ext>
      </extLst>
    </cfRule>
  </conditionalFormatting>
  <conditionalFormatting sqref="F8:F17">
    <cfRule type="dataBar" priority="39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{4D5FFE88-7AEC-4340-9584-3AEE1A96BD89}</x14:id>
        </ext>
      </extLst>
    </cfRule>
  </conditionalFormatting>
  <conditionalFormatting sqref="F19:F22">
    <cfRule type="dataBar" priority="37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{C3FCB255-9898-4FDD-9359-32F80487050A}</x14:id>
        </ext>
      </extLst>
    </cfRule>
  </conditionalFormatting>
  <conditionalFormatting sqref="F24:F29">
    <cfRule type="dataBar" priority="35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{D791E559-8AC5-4436-91AF-32735008C0F2}</x14:id>
        </ext>
      </extLst>
    </cfRule>
  </conditionalFormatting>
  <conditionalFormatting sqref="F30:F32">
    <cfRule type="dataBar" priority="33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{FFDE1BFB-53B1-4D33-AD10-049059679AD3}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{0D8B797B-FEE5-4B70-851F-D914ABB10273}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{C966D7E9-A272-440F-8F45-E58A47FE0BDE}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{3C2796D5-2BF0-45EB-9812-FF9F55E2F4A5}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{282171D3-1C0C-4551-A19B-0885C000F44D}</x14:id>
        </ext>
      </extLst>
    </cfRule>
  </conditionalFormatting>
  <conditionalFormatting sqref="M8:M17">
    <cfRule type="dataBar" priority="15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{4EAACE17-5876-4C21-A64D-52ACC72BE6A1}</x14:id>
        </ext>
      </extLst>
    </cfRule>
  </conditionalFormatting>
  <conditionalFormatting sqref="M19:M22">
    <cfRule type="dataBar" priority="13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{E8EB3183-33B5-4BF0-B049-482835B99A39}</x14:id>
        </ext>
      </extLst>
    </cfRule>
  </conditionalFormatting>
  <conditionalFormatting sqref="M24:M29">
    <cfRule type="dataBar" priority="11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{D741B41A-92FD-4DF3-93A8-BB2605A1E347}</x14:id>
        </ext>
      </extLst>
    </cfRule>
  </conditionalFormatting>
  <conditionalFormatting sqref="M30:M32">
    <cfRule type="dataBar" priority="9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{089888B7-15C0-4229-A5DA-16B635744D4D}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{0352982E-4A3F-4597-ADA0-753A4B13EC19}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{EB345780-3209-4DB8-A4C1-CFFA95C3CDB1}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{0D97B514-70C3-42BB-A8BF-46DCDA1BAF2F}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{9F234139-DEB8-40C4-8640-94CA50A8DAB9}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{E7D63545-7B06-42B6-8B85-7160C55D487D}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{762FE76C-93E5-4D49-A085-E57A31BD926C}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{2911E246-336B-4D05-A7ED-71980D54C34E}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{0092D2C6-448F-4859-90C7-FF8267E37B5A}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6BEB0E-D808-46B4-A798-E61059307056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EC49140A-04B0-42D1-AA99-69C2EB61AE22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E395DC32-1C94-4434-953E-B61B461C32E4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27D261EF-2859-449A-8875-CDA447CF3C1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4D5FFE88-7AEC-4340-9584-3AEE1A96BD89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C3FCB255-9898-4FDD-9359-32F80487050A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D791E559-8AC5-4436-91AF-32735008C0F2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FFDE1BFB-53B1-4D33-AD10-049059679AD3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0D8B797B-FEE5-4B70-851F-D914ABB10273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C966D7E9-A272-440F-8F45-E58A47FE0BDE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3C2796D5-2BF0-45EB-9812-FF9F55E2F4A5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282171D3-1C0C-4551-A19B-0885C000F44D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4EAACE17-5876-4C21-A64D-52ACC72BE6A1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E8EB3183-33B5-4BF0-B049-482835B99A39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D741B41A-92FD-4DF3-93A8-BB2605A1E347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089888B7-15C0-4229-A5DA-16B635744D4D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0352982E-4A3F-4597-ADA0-753A4B13EC19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EB345780-3209-4DB8-A4C1-CFFA95C3CDB1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0D97B514-70C3-42BB-A8BF-46DCDA1BAF2F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9F234139-DEB8-40C4-8640-94CA50A8DAB9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E7D63545-7B06-42B6-8B85-7160C55D487D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762FE76C-93E5-4D49-A085-E57A31BD926C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2911E246-336B-4D05-A7ED-71980D54C34E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0092D2C6-448F-4859-90C7-FF8267E37B5A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9F43-2A20-4A61-88B3-7F91DDED7A25}">
  <dimension ref="A1:T32"/>
  <sheetViews>
    <sheetView workbookViewId="0">
      <selection activeCell="M43" sqref="M43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324</v>
      </c>
      <c r="C1" s="71"/>
      <c r="D1" s="71"/>
      <c r="E1" s="71"/>
      <c r="I1" s="74" t="s">
        <v>325</v>
      </c>
      <c r="J1" s="71"/>
      <c r="K1" s="75">
        <v>2</v>
      </c>
      <c r="L1" s="71"/>
      <c r="Q1" s="71"/>
      <c r="R1" s="71"/>
      <c r="S1" s="71"/>
    </row>
    <row r="4" spans="1:20" x14ac:dyDescent="0.35">
      <c r="B4" s="76" t="s">
        <v>326</v>
      </c>
      <c r="D4" s="83" t="s">
        <v>318</v>
      </c>
      <c r="F4" s="76"/>
      <c r="I4" s="76" t="s">
        <v>326</v>
      </c>
      <c r="K4" s="83" t="s">
        <v>318</v>
      </c>
      <c r="M4" s="76"/>
      <c r="P4" s="76" t="s">
        <v>326</v>
      </c>
      <c r="R4" s="83" t="s">
        <v>318</v>
      </c>
      <c r="T4" s="76"/>
    </row>
    <row r="5" spans="1:20" ht="20" customHeight="1" thickBot="1" x14ac:dyDescent="0.4">
      <c r="B5" s="76"/>
      <c r="D5" s="84">
        <f>$K$1</f>
        <v>2</v>
      </c>
      <c r="F5" s="76"/>
      <c r="I5" s="76"/>
      <c r="K5" s="84">
        <f>$K$1</f>
        <v>2</v>
      </c>
      <c r="M5" s="76"/>
      <c r="P5" s="76"/>
      <c r="R5" s="84">
        <f>$K$1</f>
        <v>2</v>
      </c>
      <c r="T5" s="76"/>
    </row>
    <row r="6" spans="1:20" s="87" customFormat="1" ht="40" customHeight="1" thickBot="1" x14ac:dyDescent="0.55000000000000004">
      <c r="B6" s="79" t="s">
        <v>19</v>
      </c>
      <c r="C6" s="80"/>
      <c r="D6" s="69"/>
      <c r="E6" s="81"/>
      <c r="F6" s="82" t="s">
        <v>50</v>
      </c>
      <c r="I6" s="79" t="s">
        <v>46</v>
      </c>
      <c r="J6" s="80"/>
      <c r="K6" s="69"/>
      <c r="L6" s="81"/>
      <c r="M6" s="82" t="s">
        <v>25</v>
      </c>
      <c r="P6" s="79" t="s">
        <v>48</v>
      </c>
      <c r="Q6" s="80"/>
      <c r="R6" s="69"/>
      <c r="S6" s="81"/>
      <c r="T6" s="82" t="s">
        <v>52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45</v>
      </c>
      <c r="C8" s="67">
        <f>SUMIFS(tbl_ZESPOŁY_dane[pts],tbl_ZESPOŁY_dane[zespół],B$6,tbl_ZESPOŁY_dane[GW],$K$1)</f>
        <v>45</v>
      </c>
      <c r="D8" s="66" t="s">
        <v>302</v>
      </c>
      <c r="E8" s="67">
        <f>SUMIFS(tbl_ZESPOŁY_dane[pts],tbl_ZESPOŁY_dane[zespół],F$6,tbl_ZESPOŁY_dane[GW],$K$1)</f>
        <v>42</v>
      </c>
      <c r="F8" s="76">
        <f>E8</f>
        <v>42</v>
      </c>
      <c r="I8" s="76">
        <f>J8</f>
        <v>52</v>
      </c>
      <c r="J8" s="67">
        <f>SUMIFS(tbl_ZESPOŁY_dane[pts],tbl_ZESPOŁY_dane[zespół],I$6,tbl_ZESPOŁY_dane[GW],$K$1)</f>
        <v>52</v>
      </c>
      <c r="K8" s="66" t="s">
        <v>302</v>
      </c>
      <c r="L8" s="67">
        <f>SUMIFS(tbl_ZESPOŁY_dane[pts],tbl_ZESPOŁY_dane[zespół],M$6,tbl_ZESPOŁY_dane[GW],$K$1)</f>
        <v>62</v>
      </c>
      <c r="M8" s="76">
        <f>L8</f>
        <v>62</v>
      </c>
      <c r="P8" s="76">
        <f>Q8</f>
        <v>50</v>
      </c>
      <c r="Q8" s="67">
        <f>SUMIFS(tbl_ZESPOŁY_dane[pts],tbl_ZESPOŁY_dane[zespół],P$6,tbl_ZESPOŁY_dane[GW],$K$1)</f>
        <v>50</v>
      </c>
      <c r="R8" s="66" t="s">
        <v>302</v>
      </c>
      <c r="S8" s="67">
        <f>SUMIFS(tbl_ZESPOŁY_dane[pts],tbl_ZESPOŁY_dane[zespół],T$6,tbl_ZESPOŁY_dane[GW],$K$1)</f>
        <v>27</v>
      </c>
      <c r="T8" s="76">
        <f>S8</f>
        <v>27</v>
      </c>
    </row>
    <row r="9" spans="1:20" ht="20" customHeight="1" x14ac:dyDescent="0.35">
      <c r="B9" s="76"/>
      <c r="C9" s="72"/>
      <c r="D9" s="65" t="s">
        <v>303</v>
      </c>
      <c r="E9" s="72"/>
      <c r="F9" s="76">
        <f t="shared" ref="F9:F32" si="0">E9</f>
        <v>0</v>
      </c>
      <c r="I9" s="76"/>
      <c r="J9" s="72"/>
      <c r="K9" s="65" t="s">
        <v>303</v>
      </c>
      <c r="L9" s="72"/>
      <c r="M9" s="76">
        <f t="shared" ref="M9:M32" si="1">L9</f>
        <v>0</v>
      </c>
      <c r="P9" s="76"/>
      <c r="Q9" s="72"/>
      <c r="R9" s="65" t="s">
        <v>303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20</v>
      </c>
      <c r="C10" s="67">
        <f>SUMIFS(tbl_ZESPOŁY_dane[fgm],tbl_ZESPOŁY_dane[zespół],B$6,tbl_ZESPOŁY_dane[GW],$K$1)</f>
        <v>20</v>
      </c>
      <c r="D10" s="66" t="s">
        <v>304</v>
      </c>
      <c r="E10" s="67">
        <f>SUMIFS(tbl_ZESPOŁY_dane[fgm],tbl_ZESPOŁY_dane[zespół],F$6,tbl_ZESPOŁY_dane[GW],$K$1)</f>
        <v>15</v>
      </c>
      <c r="F10" s="76">
        <f t="shared" si="0"/>
        <v>15</v>
      </c>
      <c r="I10" s="76">
        <f t="shared" ref="I10:I32" si="4">J10</f>
        <v>21</v>
      </c>
      <c r="J10" s="67">
        <f>SUMIFS(tbl_ZESPOŁY_dane[fgm],tbl_ZESPOŁY_dane[zespół],I$6,tbl_ZESPOŁY_dane[GW],$K$1)</f>
        <v>21</v>
      </c>
      <c r="K10" s="66" t="s">
        <v>304</v>
      </c>
      <c r="L10" s="67">
        <f>SUMIFS(tbl_ZESPOŁY_dane[fgm],tbl_ZESPOŁY_dane[zespół],M$6,tbl_ZESPOŁY_dane[GW],$K$1)</f>
        <v>30</v>
      </c>
      <c r="M10" s="76">
        <f t="shared" si="1"/>
        <v>30</v>
      </c>
      <c r="P10" s="76">
        <f t="shared" ref="P10:P32" si="5">Q10</f>
        <v>17</v>
      </c>
      <c r="Q10" s="67">
        <f>SUMIFS(tbl_ZESPOŁY_dane[fgm],tbl_ZESPOŁY_dane[zespół],P$6,tbl_ZESPOŁY_dane[GW],$K$1)</f>
        <v>17</v>
      </c>
      <c r="R10" s="66" t="s">
        <v>304</v>
      </c>
      <c r="S10" s="67">
        <f>SUMIFS(tbl_ZESPOŁY_dane[fgm],tbl_ZESPOŁY_dane[zespół],T$6,tbl_ZESPOŁY_dane[GW],$K$1)</f>
        <v>12</v>
      </c>
      <c r="T10" s="76">
        <f t="shared" si="2"/>
        <v>12</v>
      </c>
    </row>
    <row r="11" spans="1:20" ht="20" customHeight="1" x14ac:dyDescent="0.35">
      <c r="B11" s="76">
        <f t="shared" si="3"/>
        <v>65</v>
      </c>
      <c r="C11" s="67">
        <f>SUMIFS(tbl_ZESPOŁY_dane[fga],tbl_ZESPOŁY_dane[zespół],B$6,tbl_ZESPOŁY_dane[GW],$K$1)</f>
        <v>65</v>
      </c>
      <c r="D11" s="66" t="s">
        <v>305</v>
      </c>
      <c r="E11" s="67">
        <f>SUMIFS(tbl_ZESPOŁY_dane[fga],tbl_ZESPOŁY_dane[zespół],F$6,tbl_ZESPOŁY_dane[GW],$K$1)</f>
        <v>66</v>
      </c>
      <c r="F11" s="76">
        <f t="shared" si="0"/>
        <v>66</v>
      </c>
      <c r="I11" s="76">
        <f t="shared" si="4"/>
        <v>62</v>
      </c>
      <c r="J11" s="67">
        <f>SUMIFS(tbl_ZESPOŁY_dane[fga],tbl_ZESPOŁY_dane[zespół],I$6,tbl_ZESPOŁY_dane[GW],$K$1)</f>
        <v>62</v>
      </c>
      <c r="K11" s="66" t="s">
        <v>305</v>
      </c>
      <c r="L11" s="67">
        <f>SUMIFS(tbl_ZESPOŁY_dane[fga],tbl_ZESPOŁY_dane[zespół],M$6,tbl_ZESPOŁY_dane[GW],$K$1)</f>
        <v>71</v>
      </c>
      <c r="M11" s="76">
        <f t="shared" si="1"/>
        <v>71</v>
      </c>
      <c r="P11" s="76">
        <f t="shared" si="5"/>
        <v>55</v>
      </c>
      <c r="Q11" s="67">
        <f>SUMIFS(tbl_ZESPOŁY_dane[fga],tbl_ZESPOŁY_dane[zespół],P$6,tbl_ZESPOŁY_dane[GW],$K$1)</f>
        <v>55</v>
      </c>
      <c r="R11" s="66" t="s">
        <v>305</v>
      </c>
      <c r="S11" s="67">
        <f>SUMIFS(tbl_ZESPOŁY_dane[fga],tbl_ZESPOŁY_dane[zespół],T$6,tbl_ZESPOŁY_dane[GW],$K$1)</f>
        <v>55</v>
      </c>
      <c r="T11" s="76">
        <f t="shared" si="2"/>
        <v>55</v>
      </c>
    </row>
    <row r="12" spans="1:20" ht="20" customHeight="1" x14ac:dyDescent="0.35">
      <c r="B12" s="76"/>
      <c r="C12" s="72"/>
      <c r="D12" s="65" t="s">
        <v>306</v>
      </c>
      <c r="E12" s="72"/>
      <c r="F12" s="76">
        <f t="shared" si="0"/>
        <v>0</v>
      </c>
      <c r="I12" s="76"/>
      <c r="J12" s="72"/>
      <c r="K12" s="65" t="s">
        <v>306</v>
      </c>
      <c r="L12" s="72"/>
      <c r="M12" s="76">
        <f t="shared" si="1"/>
        <v>0</v>
      </c>
      <c r="P12" s="76"/>
      <c r="Q12" s="72"/>
      <c r="R12" s="65" t="s">
        <v>306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4</v>
      </c>
      <c r="C13" s="67">
        <f>SUMIFS(tbl_ZESPOŁY_dane[3pm],tbl_ZESPOŁY_dane[zespół],B$6,tbl_ZESPOŁY_dane[GW],$K$1)</f>
        <v>4</v>
      </c>
      <c r="D13" s="66" t="s">
        <v>304</v>
      </c>
      <c r="E13" s="67">
        <f>SUMIFS(tbl_ZESPOŁY_dane[3pm],tbl_ZESPOŁY_dane[zespół],F$6,tbl_ZESPOŁY_dane[GW],$K$1)</f>
        <v>6</v>
      </c>
      <c r="F13" s="76">
        <f t="shared" si="0"/>
        <v>6</v>
      </c>
      <c r="I13" s="76">
        <f t="shared" si="4"/>
        <v>8</v>
      </c>
      <c r="J13" s="67">
        <f>SUMIFS(tbl_ZESPOŁY_dane[3pm],tbl_ZESPOŁY_dane[zespół],I$6,tbl_ZESPOŁY_dane[GW],$K$1)</f>
        <v>8</v>
      </c>
      <c r="K13" s="66" t="s">
        <v>304</v>
      </c>
      <c r="L13" s="67">
        <f>SUMIFS(tbl_ZESPOŁY_dane[3pm],tbl_ZESPOŁY_dane[zespół],M$6,tbl_ZESPOŁY_dane[GW],$K$1)</f>
        <v>1</v>
      </c>
      <c r="M13" s="76">
        <f t="shared" si="1"/>
        <v>1</v>
      </c>
      <c r="P13" s="76">
        <f t="shared" si="5"/>
        <v>5</v>
      </c>
      <c r="Q13" s="67">
        <f>SUMIFS(tbl_ZESPOŁY_dane[3pm],tbl_ZESPOŁY_dane[zespół],P$6,tbl_ZESPOŁY_dane[GW],$K$1)</f>
        <v>5</v>
      </c>
      <c r="R13" s="66" t="s">
        <v>304</v>
      </c>
      <c r="S13" s="67">
        <f>SUMIFS(tbl_ZESPOŁY_dane[3pm],tbl_ZESPOŁY_dane[zespół],T$6,tbl_ZESPOŁY_dane[GW],$K$1)</f>
        <v>2</v>
      </c>
      <c r="T13" s="76">
        <f t="shared" si="2"/>
        <v>2</v>
      </c>
    </row>
    <row r="14" spans="1:20" ht="20" customHeight="1" x14ac:dyDescent="0.35">
      <c r="B14" s="76">
        <f t="shared" si="3"/>
        <v>21</v>
      </c>
      <c r="C14" s="67">
        <f>SUMIFS(tbl_ZESPOŁY_dane[3pa],tbl_ZESPOŁY_dane[zespół],B$6,tbl_ZESPOŁY_dane[GW],$K$1)</f>
        <v>21</v>
      </c>
      <c r="D14" s="66" t="s">
        <v>305</v>
      </c>
      <c r="E14" s="67">
        <f>SUMIFS(tbl_ZESPOŁY_dane[3pa],tbl_ZESPOŁY_dane[zespół],F$6,tbl_ZESPOŁY_dane[GW],$K$1)</f>
        <v>30</v>
      </c>
      <c r="F14" s="76">
        <f t="shared" si="0"/>
        <v>30</v>
      </c>
      <c r="I14" s="76">
        <f t="shared" si="4"/>
        <v>22</v>
      </c>
      <c r="J14" s="67">
        <f>SUMIFS(tbl_ZESPOŁY_dane[3pa],tbl_ZESPOŁY_dane[zespół],I$6,tbl_ZESPOŁY_dane[GW],$K$1)</f>
        <v>22</v>
      </c>
      <c r="K14" s="66" t="s">
        <v>305</v>
      </c>
      <c r="L14" s="67">
        <f>SUMIFS(tbl_ZESPOŁY_dane[3pa],tbl_ZESPOŁY_dane[zespół],M$6,tbl_ZESPOŁY_dane[GW],$K$1)</f>
        <v>11</v>
      </c>
      <c r="M14" s="76">
        <f t="shared" si="1"/>
        <v>11</v>
      </c>
      <c r="P14" s="76">
        <f t="shared" si="5"/>
        <v>16</v>
      </c>
      <c r="Q14" s="67">
        <f>SUMIFS(tbl_ZESPOŁY_dane[3pa],tbl_ZESPOŁY_dane[zespół],P$6,tbl_ZESPOŁY_dane[GW],$K$1)</f>
        <v>16</v>
      </c>
      <c r="R14" s="66" t="s">
        <v>305</v>
      </c>
      <c r="S14" s="67">
        <f>SUMIFS(tbl_ZESPOŁY_dane[3pa],tbl_ZESPOŁY_dane[zespół],T$6,tbl_ZESPOŁY_dane[GW],$K$1)</f>
        <v>19</v>
      </c>
      <c r="T14" s="76">
        <f t="shared" si="2"/>
        <v>19</v>
      </c>
    </row>
    <row r="15" spans="1:20" ht="20" customHeight="1" x14ac:dyDescent="0.35">
      <c r="B15" s="76"/>
      <c r="C15" s="72"/>
      <c r="D15" s="65" t="s">
        <v>307</v>
      </c>
      <c r="E15" s="72"/>
      <c r="F15" s="76">
        <f t="shared" si="0"/>
        <v>0</v>
      </c>
      <c r="I15" s="76"/>
      <c r="J15" s="72"/>
      <c r="K15" s="65" t="s">
        <v>307</v>
      </c>
      <c r="L15" s="72"/>
      <c r="M15" s="76">
        <f t="shared" si="1"/>
        <v>0</v>
      </c>
      <c r="P15" s="76"/>
      <c r="Q15" s="72"/>
      <c r="R15" s="65" t="s">
        <v>307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1</v>
      </c>
      <c r="C16" s="67">
        <f>SUMIFS(tbl_ZESPOŁY_dane[ftm],tbl_ZESPOŁY_dane[zespół],B$6,tbl_ZESPOŁY_dane[GW],$K$1)</f>
        <v>1</v>
      </c>
      <c r="D16" s="66" t="s">
        <v>304</v>
      </c>
      <c r="E16" s="67">
        <f>SUMIFS(tbl_ZESPOŁY_dane[ftm],tbl_ZESPOŁY_dane[zespół],F$6,tbl_ZESPOŁY_dane[GW],$K$1)</f>
        <v>5</v>
      </c>
      <c r="F16" s="76">
        <f t="shared" si="0"/>
        <v>5</v>
      </c>
      <c r="I16" s="76">
        <f t="shared" si="4"/>
        <v>2</v>
      </c>
      <c r="J16" s="67">
        <f>SUMIFS(tbl_ZESPOŁY_dane[ftm],tbl_ZESPOŁY_dane[zespół],I$6,tbl_ZESPOŁY_dane[GW],$K$1)</f>
        <v>2</v>
      </c>
      <c r="K16" s="66" t="s">
        <v>304</v>
      </c>
      <c r="L16" s="67">
        <f>SUMIFS(tbl_ZESPOŁY_dane[ftm],tbl_ZESPOŁY_dane[zespół],M$6,tbl_ZESPOŁY_dane[GW],$K$1)</f>
        <v>1</v>
      </c>
      <c r="M16" s="76">
        <f t="shared" si="1"/>
        <v>1</v>
      </c>
      <c r="P16" s="76">
        <f t="shared" si="5"/>
        <v>11</v>
      </c>
      <c r="Q16" s="67">
        <f>SUMIFS(tbl_ZESPOŁY_dane[ftm],tbl_ZESPOŁY_dane[zespół],P$6,tbl_ZESPOŁY_dane[GW],$K$1)</f>
        <v>11</v>
      </c>
      <c r="R16" s="66" t="s">
        <v>304</v>
      </c>
      <c r="S16" s="67">
        <f>SUMIFS(tbl_ZESPOŁY_dane[ftm],tbl_ZESPOŁY_dane[zespół],T$6,tbl_ZESPOŁY_dane[GW],$K$1)</f>
        <v>1</v>
      </c>
      <c r="T16" s="76">
        <f t="shared" si="2"/>
        <v>1</v>
      </c>
    </row>
    <row r="17" spans="2:20" ht="20" customHeight="1" x14ac:dyDescent="0.35">
      <c r="B17" s="76">
        <f t="shared" si="3"/>
        <v>4</v>
      </c>
      <c r="C17" s="67">
        <f>SUMIFS(tbl_ZESPOŁY_dane[fta],tbl_ZESPOŁY_dane[zespół],B$6,tbl_ZESPOŁY_dane[GW],$K$1)</f>
        <v>4</v>
      </c>
      <c r="D17" s="66" t="s">
        <v>305</v>
      </c>
      <c r="E17" s="67">
        <f>SUMIFS(tbl_ZESPOŁY_dane[fta],tbl_ZESPOŁY_dane[zespół],F$6,tbl_ZESPOŁY_dane[GW],$K$1)</f>
        <v>14</v>
      </c>
      <c r="F17" s="76">
        <f t="shared" si="0"/>
        <v>14</v>
      </c>
      <c r="I17" s="76">
        <f t="shared" si="4"/>
        <v>8</v>
      </c>
      <c r="J17" s="67">
        <f>SUMIFS(tbl_ZESPOŁY_dane[fta],tbl_ZESPOŁY_dane[zespół],I$6,tbl_ZESPOŁY_dane[GW],$K$1)</f>
        <v>8</v>
      </c>
      <c r="K17" s="66" t="s">
        <v>305</v>
      </c>
      <c r="L17" s="67">
        <f>SUMIFS(tbl_ZESPOŁY_dane[fta],tbl_ZESPOŁY_dane[zespół],M$6,tbl_ZESPOŁY_dane[GW],$K$1)</f>
        <v>3</v>
      </c>
      <c r="M17" s="76">
        <f t="shared" si="1"/>
        <v>3</v>
      </c>
      <c r="P17" s="76">
        <f t="shared" si="5"/>
        <v>19</v>
      </c>
      <c r="Q17" s="67">
        <f>SUMIFS(tbl_ZESPOŁY_dane[fta],tbl_ZESPOŁY_dane[zespół],P$6,tbl_ZESPOŁY_dane[GW],$K$1)</f>
        <v>19</v>
      </c>
      <c r="R17" s="66" t="s">
        <v>305</v>
      </c>
      <c r="S17" s="67">
        <f>SUMIFS(tbl_ZESPOŁY_dane[fta],tbl_ZESPOŁY_dane[zespół],T$6,tbl_ZESPOŁY_dane[GW],$K$1)</f>
        <v>4</v>
      </c>
      <c r="T17" s="76">
        <f t="shared" si="2"/>
        <v>4</v>
      </c>
    </row>
    <row r="18" spans="2:20" ht="20" customHeight="1" x14ac:dyDescent="0.35">
      <c r="B18" s="76"/>
      <c r="C18" s="72"/>
      <c r="D18" s="65" t="s">
        <v>319</v>
      </c>
      <c r="E18" s="72"/>
      <c r="F18" s="76"/>
      <c r="I18" s="76"/>
      <c r="J18" s="72"/>
      <c r="K18" s="65" t="s">
        <v>319</v>
      </c>
      <c r="L18" s="72"/>
      <c r="M18" s="76"/>
      <c r="P18" s="76"/>
      <c r="Q18" s="72"/>
      <c r="R18" s="65" t="s">
        <v>319</v>
      </c>
      <c r="S18" s="72"/>
      <c r="T18" s="76"/>
    </row>
    <row r="19" spans="2:20" ht="20" customHeight="1" x14ac:dyDescent="0.35">
      <c r="B19" s="77">
        <f t="shared" si="3"/>
        <v>0.36363636363636365</v>
      </c>
      <c r="C19" s="68">
        <f>SUMIFS(tbl_ZESPOŁY_dane[2P%],tbl_ZESPOŁY_dane[zespół],B$6,tbl_ZESPOŁY_dane[GW],$K$1)</f>
        <v>0.36363636363636365</v>
      </c>
      <c r="D19" s="66" t="s">
        <v>320</v>
      </c>
      <c r="E19" s="68">
        <f>SUMIFS(tbl_ZESPOŁY_dane[2P%],tbl_ZESPOŁY_dane[zespół],F$6,tbl_ZESPOŁY_dane[GW],$K$1)</f>
        <v>0.25</v>
      </c>
      <c r="F19" s="78">
        <f>E19</f>
        <v>0.25</v>
      </c>
      <c r="I19" s="77">
        <f t="shared" si="4"/>
        <v>0.32500000000000001</v>
      </c>
      <c r="J19" s="68">
        <f>SUMIFS(tbl_ZESPOŁY_dane[2P%],tbl_ZESPOŁY_dane[zespół],I$6,tbl_ZESPOŁY_dane[GW],$K$1)</f>
        <v>0.32500000000000001</v>
      </c>
      <c r="K19" s="66" t="s">
        <v>320</v>
      </c>
      <c r="L19" s="68">
        <f>SUMIFS(tbl_ZESPOŁY_dane[2P%],tbl_ZESPOŁY_dane[zespół],M$6,tbl_ZESPOŁY_dane[GW],$K$1)</f>
        <v>0.48333333333333334</v>
      </c>
      <c r="M19" s="78">
        <f>L19</f>
        <v>0.48333333333333334</v>
      </c>
      <c r="P19" s="77">
        <f t="shared" si="5"/>
        <v>0.30769230769230771</v>
      </c>
      <c r="Q19" s="68">
        <f>SUMIFS(tbl_ZESPOŁY_dane[2P%],tbl_ZESPOŁY_dane[zespół],P$6,tbl_ZESPOŁY_dane[GW],$K$1)</f>
        <v>0.30769230769230771</v>
      </c>
      <c r="R19" s="66" t="s">
        <v>320</v>
      </c>
      <c r="S19" s="68">
        <f>SUMIFS(tbl_ZESPOŁY_dane[2P%],tbl_ZESPOŁY_dane[zespół],T$6,tbl_ZESPOŁY_dane[GW],$K$1)</f>
        <v>0.27777777777777779</v>
      </c>
      <c r="T19" s="78">
        <f>S19</f>
        <v>0.27777777777777779</v>
      </c>
    </row>
    <row r="20" spans="2:20" ht="20" customHeight="1" x14ac:dyDescent="0.35">
      <c r="B20" s="77">
        <f t="shared" si="3"/>
        <v>0.19047619047619047</v>
      </c>
      <c r="C20" s="68">
        <f>SUMIFS(tbl_ZESPOŁY_dane[3p%],tbl_ZESPOŁY_dane[zespół],B$6,tbl_ZESPOŁY_dane[GW],$K$1)</f>
        <v>0.19047619047619047</v>
      </c>
      <c r="D20" s="66" t="s">
        <v>321</v>
      </c>
      <c r="E20" s="68">
        <f>SUMIFS(tbl_ZESPOŁY_dane[3p%],tbl_ZESPOŁY_dane[zespół],F$6,tbl_ZESPOŁY_dane[GW],$K$1)</f>
        <v>0.2</v>
      </c>
      <c r="F20" s="78">
        <f t="shared" ref="F20:F22" si="6">E20</f>
        <v>0.2</v>
      </c>
      <c r="I20" s="77">
        <f t="shared" si="4"/>
        <v>0.36363636363636365</v>
      </c>
      <c r="J20" s="68">
        <f>SUMIFS(tbl_ZESPOŁY_dane[3p%],tbl_ZESPOŁY_dane[zespół],I$6,tbl_ZESPOŁY_dane[GW],$K$1)</f>
        <v>0.36363636363636365</v>
      </c>
      <c r="K20" s="66" t="s">
        <v>321</v>
      </c>
      <c r="L20" s="68">
        <f>SUMIFS(tbl_ZESPOŁY_dane[3p%],tbl_ZESPOŁY_dane[zespół],M$6,tbl_ZESPOŁY_dane[GW],$K$1)</f>
        <v>9.0909090909090912E-2</v>
      </c>
      <c r="M20" s="78">
        <f t="shared" ref="M20:M22" si="7">L20</f>
        <v>9.0909090909090912E-2</v>
      </c>
      <c r="P20" s="77">
        <f t="shared" si="5"/>
        <v>0.3125</v>
      </c>
      <c r="Q20" s="68">
        <f>SUMIFS(tbl_ZESPOŁY_dane[3p%],tbl_ZESPOŁY_dane[zespół],P$6,tbl_ZESPOŁY_dane[GW],$K$1)</f>
        <v>0.3125</v>
      </c>
      <c r="R20" s="66" t="s">
        <v>321</v>
      </c>
      <c r="S20" s="68">
        <f>SUMIFS(tbl_ZESPOŁY_dane[3p%],tbl_ZESPOŁY_dane[zespół],T$6,tbl_ZESPOŁY_dane[GW],$K$1)</f>
        <v>0.10526315789473684</v>
      </c>
      <c r="T20" s="78">
        <f t="shared" ref="T20:T22" si="8">S20</f>
        <v>0.10526315789473684</v>
      </c>
    </row>
    <row r="21" spans="2:20" ht="20" customHeight="1" x14ac:dyDescent="0.35">
      <c r="B21" s="77">
        <f t="shared" si="3"/>
        <v>0.25</v>
      </c>
      <c r="C21" s="68">
        <f>SUMIFS(tbl_ZESPOŁY_dane[ft%],tbl_ZESPOŁY_dane[zespół],B$6,tbl_ZESPOŁY_dane[GW],$K$1)</f>
        <v>0.25</v>
      </c>
      <c r="D21" s="66" t="s">
        <v>322</v>
      </c>
      <c r="E21" s="68">
        <f>SUMIFS(tbl_ZESPOŁY_dane[ft%],tbl_ZESPOŁY_dane[zespół],F$6,tbl_ZESPOŁY_dane[GW],$K$1)</f>
        <v>0.35714285714285715</v>
      </c>
      <c r="F21" s="78">
        <f t="shared" si="6"/>
        <v>0.35714285714285715</v>
      </c>
      <c r="I21" s="77">
        <f t="shared" si="4"/>
        <v>0.25</v>
      </c>
      <c r="J21" s="68">
        <f>SUMIFS(tbl_ZESPOŁY_dane[ft%],tbl_ZESPOŁY_dane[zespół],I$6,tbl_ZESPOŁY_dane[GW],$K$1)</f>
        <v>0.25</v>
      </c>
      <c r="K21" s="66" t="s">
        <v>322</v>
      </c>
      <c r="L21" s="68">
        <f>SUMIFS(tbl_ZESPOŁY_dane[ft%],tbl_ZESPOŁY_dane[zespół],M$6,tbl_ZESPOŁY_dane[GW],$K$1)</f>
        <v>0.33333333333333331</v>
      </c>
      <c r="M21" s="78">
        <f t="shared" si="7"/>
        <v>0.33333333333333331</v>
      </c>
      <c r="P21" s="77">
        <f t="shared" si="5"/>
        <v>0.57894736842105265</v>
      </c>
      <c r="Q21" s="68">
        <f>SUMIFS(tbl_ZESPOŁY_dane[ft%],tbl_ZESPOŁY_dane[zespół],P$6,tbl_ZESPOŁY_dane[GW],$K$1)</f>
        <v>0.57894736842105265</v>
      </c>
      <c r="R21" s="66" t="s">
        <v>322</v>
      </c>
      <c r="S21" s="68">
        <f>SUMIFS(tbl_ZESPOŁY_dane[ft%],tbl_ZESPOŁY_dane[zespół],T$6,tbl_ZESPOŁY_dane[GW],$K$1)</f>
        <v>0.25</v>
      </c>
      <c r="T21" s="78">
        <f t="shared" si="8"/>
        <v>0.25</v>
      </c>
    </row>
    <row r="22" spans="2:20" ht="20" customHeight="1" x14ac:dyDescent="0.35">
      <c r="B22" s="77">
        <f t="shared" si="3"/>
        <v>0.33702816057519469</v>
      </c>
      <c r="C22" s="68">
        <f>SUMIFS(tbl_ZESPOŁY_dane[TS%],tbl_ZESPOŁY_dane[zespół],B$6,tbl_ZESPOŁY_dane[GW],$K$1)</f>
        <v>0.33702816057519469</v>
      </c>
      <c r="D22" s="66" t="s">
        <v>314</v>
      </c>
      <c r="E22" s="68">
        <f>SUMIFS(tbl_ZESPOŁY_dane[TS%],tbl_ZESPOŁY_dane[zespół],F$6,tbl_ZESPOŁY_dane[GW],$K$1)</f>
        <v>0.29101995565410199</v>
      </c>
      <c r="F22" s="78">
        <f t="shared" si="6"/>
        <v>0.29101995565410199</v>
      </c>
      <c r="I22" s="77">
        <f t="shared" si="4"/>
        <v>0.39682539682539686</v>
      </c>
      <c r="J22" s="68">
        <f>SUMIFS(tbl_ZESPOŁY_dane[TS%],tbl_ZESPOŁY_dane[zespół],I$6,tbl_ZESPOŁY_dane[GW],$K$1)</f>
        <v>0.39682539682539686</v>
      </c>
      <c r="K22" s="66" t="s">
        <v>314</v>
      </c>
      <c r="L22" s="68">
        <f>SUMIFS(tbl_ZESPOŁY_dane[TS%],tbl_ZESPOŁY_dane[zespół],M$6,tbl_ZESPOŁY_dane[GW],$K$1)</f>
        <v>0.42865044247787615</v>
      </c>
      <c r="M22" s="78">
        <f t="shared" si="7"/>
        <v>0.42865044247787615</v>
      </c>
      <c r="P22" s="77">
        <f t="shared" si="5"/>
        <v>0.39457070707070707</v>
      </c>
      <c r="Q22" s="68">
        <f>SUMIFS(tbl_ZESPOŁY_dane[TS%],tbl_ZESPOŁY_dane[zespół],P$6,tbl_ZESPOŁY_dane[GW],$K$1)</f>
        <v>0.39457070707070707</v>
      </c>
      <c r="R22" s="66" t="s">
        <v>314</v>
      </c>
      <c r="S22" s="68">
        <f>SUMIFS(tbl_ZESPOŁY_dane[TS%],tbl_ZESPOŁY_dane[zespół],T$6,tbl_ZESPOŁY_dane[GW],$K$1)</f>
        <v>0.23784355179704017</v>
      </c>
      <c r="T22" s="78">
        <f t="shared" si="8"/>
        <v>0.23784355179704017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9</v>
      </c>
      <c r="C24" s="86">
        <f>SUMIFS(tbl_ZESPOŁY_dane[oreb],tbl_ZESPOŁY_dane[zespół],B$6,tbl_ZESPOŁY_dane[GW],$K$1)</f>
        <v>9</v>
      </c>
      <c r="D24" s="66" t="s">
        <v>308</v>
      </c>
      <c r="E24" s="86">
        <f>SUMIFS(tbl_ZESPOŁY_dane[oreb],tbl_ZESPOŁY_dane[zespół],F$6,tbl_ZESPOŁY_dane[GW],$K$1)</f>
        <v>12</v>
      </c>
      <c r="F24" s="76">
        <f t="shared" si="0"/>
        <v>12</v>
      </c>
      <c r="I24" s="76">
        <f t="shared" si="4"/>
        <v>11</v>
      </c>
      <c r="J24" s="86">
        <f>SUMIFS(tbl_ZESPOŁY_dane[oreb],tbl_ZESPOŁY_dane[zespół],I$6,tbl_ZESPOŁY_dane[GW],$K$1)</f>
        <v>11</v>
      </c>
      <c r="K24" s="66" t="s">
        <v>308</v>
      </c>
      <c r="L24" s="86">
        <f>SUMIFS(tbl_ZESPOŁY_dane[oreb],tbl_ZESPOŁY_dane[zespół],M$6,tbl_ZESPOŁY_dane[GW],$K$1)</f>
        <v>14</v>
      </c>
      <c r="M24" s="76">
        <f t="shared" si="1"/>
        <v>14</v>
      </c>
      <c r="P24" s="76">
        <f t="shared" si="5"/>
        <v>5</v>
      </c>
      <c r="Q24" s="86">
        <f>SUMIFS(tbl_ZESPOŁY_dane[oreb],tbl_ZESPOŁY_dane[zespół],P$6,tbl_ZESPOŁY_dane[GW],$K$1)</f>
        <v>5</v>
      </c>
      <c r="R24" s="66" t="s">
        <v>308</v>
      </c>
      <c r="S24" s="86">
        <f>SUMIFS(tbl_ZESPOŁY_dane[oreb],tbl_ZESPOŁY_dane[zespół],T$6,tbl_ZESPOŁY_dane[GW],$K$1)</f>
        <v>11</v>
      </c>
      <c r="T24" s="76">
        <f t="shared" si="2"/>
        <v>11</v>
      </c>
    </row>
    <row r="25" spans="2:20" ht="20" customHeight="1" x14ac:dyDescent="0.35">
      <c r="B25" s="76">
        <f t="shared" si="3"/>
        <v>37</v>
      </c>
      <c r="C25" s="86">
        <f>SUMIFS(tbl_ZESPOŁY_dane[dreb],tbl_ZESPOŁY_dane[zespół],B$6,tbl_ZESPOŁY_dane[GW],$K$1)</f>
        <v>37</v>
      </c>
      <c r="D25" s="66" t="s">
        <v>309</v>
      </c>
      <c r="E25" s="86">
        <f>SUMIFS(tbl_ZESPOŁY_dane[dreb],tbl_ZESPOŁY_dane[zespół],F$6,tbl_ZESPOŁY_dane[GW],$K$1)</f>
        <v>29</v>
      </c>
      <c r="F25" s="76">
        <f t="shared" si="0"/>
        <v>29</v>
      </c>
      <c r="I25" s="76">
        <f t="shared" si="4"/>
        <v>21</v>
      </c>
      <c r="J25" s="86">
        <f>SUMIFS(tbl_ZESPOŁY_dane[dreb],tbl_ZESPOŁY_dane[zespół],I$6,tbl_ZESPOŁY_dane[GW],$K$1)</f>
        <v>21</v>
      </c>
      <c r="K25" s="66" t="s">
        <v>309</v>
      </c>
      <c r="L25" s="86">
        <f>SUMIFS(tbl_ZESPOŁY_dane[dreb],tbl_ZESPOŁY_dane[zespół],M$6,tbl_ZESPOŁY_dane[GW],$K$1)</f>
        <v>18</v>
      </c>
      <c r="M25" s="76">
        <f t="shared" si="1"/>
        <v>18</v>
      </c>
      <c r="P25" s="76">
        <f t="shared" si="5"/>
        <v>28</v>
      </c>
      <c r="Q25" s="86">
        <f>SUMIFS(tbl_ZESPOŁY_dane[dreb],tbl_ZESPOŁY_dane[zespół],P$6,tbl_ZESPOŁY_dane[GW],$K$1)</f>
        <v>28</v>
      </c>
      <c r="R25" s="66" t="s">
        <v>309</v>
      </c>
      <c r="S25" s="86">
        <f>SUMIFS(tbl_ZESPOŁY_dane[dreb],tbl_ZESPOŁY_dane[zespół],T$6,tbl_ZESPOŁY_dane[GW],$K$1)</f>
        <v>25</v>
      </c>
      <c r="T25" s="76">
        <f t="shared" si="2"/>
        <v>25</v>
      </c>
    </row>
    <row r="26" spans="2:20" ht="20" customHeight="1" x14ac:dyDescent="0.35">
      <c r="B26" s="76">
        <f t="shared" si="3"/>
        <v>46</v>
      </c>
      <c r="C26" s="86">
        <f>SUMIFS(tbl_ZESPOŁY_dane[reb total],tbl_ZESPOŁY_dane[zespół],B$6,tbl_ZESPOŁY_dane[GW],$K$1)</f>
        <v>46</v>
      </c>
      <c r="D26" s="66" t="s">
        <v>310</v>
      </c>
      <c r="E26" s="86">
        <f>SUMIFS(tbl_ZESPOŁY_dane[reb total],tbl_ZESPOŁY_dane[zespół],F$6,tbl_ZESPOŁY_dane[GW],$K$1)</f>
        <v>41</v>
      </c>
      <c r="F26" s="76">
        <f t="shared" si="0"/>
        <v>41</v>
      </c>
      <c r="I26" s="76">
        <f t="shared" si="4"/>
        <v>32</v>
      </c>
      <c r="J26" s="86">
        <f>SUMIFS(tbl_ZESPOŁY_dane[reb total],tbl_ZESPOŁY_dane[zespół],I$6,tbl_ZESPOŁY_dane[GW],$K$1)</f>
        <v>32</v>
      </c>
      <c r="K26" s="66" t="s">
        <v>310</v>
      </c>
      <c r="L26" s="86">
        <f>SUMIFS(tbl_ZESPOŁY_dane[reb total],tbl_ZESPOŁY_dane[zespół],M$6,tbl_ZESPOŁY_dane[GW],$K$1)</f>
        <v>32</v>
      </c>
      <c r="M26" s="76">
        <f t="shared" si="1"/>
        <v>32</v>
      </c>
      <c r="P26" s="76">
        <f t="shared" si="5"/>
        <v>33</v>
      </c>
      <c r="Q26" s="86">
        <f>SUMIFS(tbl_ZESPOŁY_dane[reb total],tbl_ZESPOŁY_dane[zespół],P$6,tbl_ZESPOŁY_dane[GW],$K$1)</f>
        <v>33</v>
      </c>
      <c r="R26" s="66" t="s">
        <v>310</v>
      </c>
      <c r="S26" s="86">
        <f>SUMIFS(tbl_ZESPOŁY_dane[reb total],tbl_ZESPOŁY_dane[zespół],T$6,tbl_ZESPOŁY_dane[GW],$K$1)</f>
        <v>36</v>
      </c>
      <c r="T26" s="76">
        <f t="shared" si="2"/>
        <v>36</v>
      </c>
    </row>
    <row r="27" spans="2:20" ht="20" customHeight="1" x14ac:dyDescent="0.35">
      <c r="B27" s="76">
        <f t="shared" si="3"/>
        <v>14</v>
      </c>
      <c r="C27" s="86">
        <f>SUMIFS(tbl_ZESPOŁY_dane[asst],tbl_ZESPOŁY_dane[zespół],B$6,tbl_ZESPOŁY_dane[GW],$K$1)</f>
        <v>14</v>
      </c>
      <c r="D27" s="66" t="s">
        <v>311</v>
      </c>
      <c r="E27" s="86">
        <f>SUMIFS(tbl_ZESPOŁY_dane[asst],tbl_ZESPOŁY_dane[zespół],F$6,tbl_ZESPOŁY_dane[GW],$K$1)</f>
        <v>14</v>
      </c>
      <c r="F27" s="76">
        <f t="shared" si="0"/>
        <v>14</v>
      </c>
      <c r="I27" s="76">
        <f t="shared" si="4"/>
        <v>15</v>
      </c>
      <c r="J27" s="86">
        <f>SUMIFS(tbl_ZESPOŁY_dane[asst],tbl_ZESPOŁY_dane[zespół],I$6,tbl_ZESPOŁY_dane[GW],$K$1)</f>
        <v>15</v>
      </c>
      <c r="K27" s="66" t="s">
        <v>311</v>
      </c>
      <c r="L27" s="86">
        <f>SUMIFS(tbl_ZESPOŁY_dane[asst],tbl_ZESPOŁY_dane[zespół],M$6,tbl_ZESPOŁY_dane[GW],$K$1)</f>
        <v>18</v>
      </c>
      <c r="M27" s="76">
        <f t="shared" si="1"/>
        <v>18</v>
      </c>
      <c r="P27" s="76">
        <f t="shared" si="5"/>
        <v>11</v>
      </c>
      <c r="Q27" s="86">
        <f>SUMIFS(tbl_ZESPOŁY_dane[asst],tbl_ZESPOŁY_dane[zespół],P$6,tbl_ZESPOŁY_dane[GW],$K$1)</f>
        <v>11</v>
      </c>
      <c r="R27" s="66" t="s">
        <v>311</v>
      </c>
      <c r="S27" s="86">
        <f>SUMIFS(tbl_ZESPOŁY_dane[asst],tbl_ZESPOŁY_dane[zespół],T$6,tbl_ZESPOŁY_dane[GW],$K$1)</f>
        <v>6</v>
      </c>
      <c r="T27" s="76">
        <f t="shared" si="2"/>
        <v>6</v>
      </c>
    </row>
    <row r="28" spans="2:20" ht="20" customHeight="1" x14ac:dyDescent="0.35">
      <c r="B28" s="76">
        <f t="shared" si="3"/>
        <v>11</v>
      </c>
      <c r="C28" s="86">
        <f>SUMIFS(tbl_ZESPOŁY_dane[stl],tbl_ZESPOŁY_dane[zespół],B$6,tbl_ZESPOŁY_dane[GW],$K$1)</f>
        <v>11</v>
      </c>
      <c r="D28" s="66" t="s">
        <v>312</v>
      </c>
      <c r="E28" s="86">
        <f>SUMIFS(tbl_ZESPOŁY_dane[stl],tbl_ZESPOŁY_dane[zespół],F$6,tbl_ZESPOŁY_dane[GW],$K$1)</f>
        <v>12</v>
      </c>
      <c r="F28" s="76">
        <f t="shared" si="0"/>
        <v>12</v>
      </c>
      <c r="I28" s="76">
        <f t="shared" si="4"/>
        <v>13</v>
      </c>
      <c r="J28" s="86">
        <f>SUMIFS(tbl_ZESPOŁY_dane[stl],tbl_ZESPOŁY_dane[zespół],I$6,tbl_ZESPOŁY_dane[GW],$K$1)</f>
        <v>13</v>
      </c>
      <c r="K28" s="66" t="s">
        <v>312</v>
      </c>
      <c r="L28" s="86">
        <f>SUMIFS(tbl_ZESPOŁY_dane[stl],tbl_ZESPOŁY_dane[zespół],M$6,tbl_ZESPOŁY_dane[GW],$K$1)</f>
        <v>17</v>
      </c>
      <c r="M28" s="76">
        <f t="shared" si="1"/>
        <v>17</v>
      </c>
      <c r="P28" s="76">
        <f t="shared" si="5"/>
        <v>15</v>
      </c>
      <c r="Q28" s="86">
        <f>SUMIFS(tbl_ZESPOŁY_dane[stl],tbl_ZESPOŁY_dane[zespół],P$6,tbl_ZESPOŁY_dane[GW],$K$1)</f>
        <v>15</v>
      </c>
      <c r="R28" s="66" t="s">
        <v>312</v>
      </c>
      <c r="S28" s="86">
        <f>SUMIFS(tbl_ZESPOŁY_dane[stl],tbl_ZESPOŁY_dane[zespół],T$6,tbl_ZESPOŁY_dane[GW],$K$1)</f>
        <v>13</v>
      </c>
      <c r="T28" s="76">
        <f t="shared" si="2"/>
        <v>13</v>
      </c>
    </row>
    <row r="29" spans="2:20" ht="20" customHeight="1" x14ac:dyDescent="0.35">
      <c r="B29" s="76">
        <f t="shared" si="3"/>
        <v>4</v>
      </c>
      <c r="C29" s="86">
        <f>SUMIFS(tbl_ZESPOŁY_dane[blk],tbl_ZESPOŁY_dane[zespół],B$6,tbl_ZESPOŁY_dane[GW],$K$1)</f>
        <v>4</v>
      </c>
      <c r="D29" s="66" t="s">
        <v>313</v>
      </c>
      <c r="E29" s="86">
        <f>SUMIFS(tbl_ZESPOŁY_dane[blk],tbl_ZESPOŁY_dane[zespół],F$6,tbl_ZESPOŁY_dane[GW],$K$1)</f>
        <v>0</v>
      </c>
      <c r="F29" s="76">
        <f t="shared" si="0"/>
        <v>0</v>
      </c>
      <c r="I29" s="76">
        <f t="shared" si="4"/>
        <v>1</v>
      </c>
      <c r="J29" s="86">
        <f>SUMIFS(tbl_ZESPOŁY_dane[blk],tbl_ZESPOŁY_dane[zespół],I$6,tbl_ZESPOŁY_dane[GW],$K$1)</f>
        <v>1</v>
      </c>
      <c r="K29" s="66" t="s">
        <v>313</v>
      </c>
      <c r="L29" s="86">
        <f>SUMIFS(tbl_ZESPOŁY_dane[blk],tbl_ZESPOŁY_dane[zespół],M$6,tbl_ZESPOŁY_dane[GW],$K$1)</f>
        <v>5</v>
      </c>
      <c r="M29" s="76">
        <f t="shared" si="1"/>
        <v>5</v>
      </c>
      <c r="P29" s="76">
        <f t="shared" si="5"/>
        <v>3</v>
      </c>
      <c r="Q29" s="86">
        <f>SUMIFS(tbl_ZESPOŁY_dane[blk],tbl_ZESPOŁY_dane[zespół],P$6,tbl_ZESPOŁY_dane[GW],$K$1)</f>
        <v>3</v>
      </c>
      <c r="R29" s="66" t="s">
        <v>313</v>
      </c>
      <c r="S29" s="86">
        <f>SUMIFS(tbl_ZESPOŁY_dane[blk],tbl_ZESPOŁY_dane[zespół],T$6,tbl_ZESPOŁY_dane[GW],$K$1)</f>
        <v>5</v>
      </c>
      <c r="T29" s="76">
        <f t="shared" si="2"/>
        <v>5</v>
      </c>
    </row>
    <row r="30" spans="2:20" ht="20" customHeight="1" x14ac:dyDescent="0.35">
      <c r="B30" s="76">
        <f t="shared" si="3"/>
        <v>57.760000000000005</v>
      </c>
      <c r="C30" s="86">
        <f>SUMIFS(tbl_ZESPOŁY_dane[Poss],tbl_ZESPOŁY_dane[zespół],B$6,tbl_ZESPOŁY_dane[GW],$K$1)</f>
        <v>57.760000000000005</v>
      </c>
      <c r="D30" s="66" t="s">
        <v>317</v>
      </c>
      <c r="E30" s="86">
        <f>SUMIFS(tbl_ZESPOŁY_dane[Poss],tbl_ZESPOŁY_dane[zespół],F$6,tbl_ZESPOŁY_dane[GW],$K$1)</f>
        <v>60.16</v>
      </c>
      <c r="F30" s="76">
        <f t="shared" si="0"/>
        <v>60.16</v>
      </c>
      <c r="I30" s="76">
        <f t="shared" si="4"/>
        <v>54.519999999999996</v>
      </c>
      <c r="J30" s="86">
        <f>SUMIFS(tbl_ZESPOŁY_dane[Poss],tbl_ZESPOŁY_dane[zespół],I$6,tbl_ZESPOŁY_dane[GW],$K$1)</f>
        <v>54.519999999999996</v>
      </c>
      <c r="K30" s="66" t="s">
        <v>317</v>
      </c>
      <c r="L30" s="86">
        <f>SUMIFS(tbl_ZESPOŁY_dane[Poss],tbl_ZESPOŁY_dane[zespół],M$6,tbl_ZESPOŁY_dane[GW],$K$1)</f>
        <v>58.319999999999993</v>
      </c>
      <c r="M30" s="76">
        <f t="shared" si="1"/>
        <v>58.319999999999993</v>
      </c>
      <c r="P30" s="76">
        <f t="shared" si="5"/>
        <v>58.36</v>
      </c>
      <c r="Q30" s="86">
        <f>SUMIFS(tbl_ZESPOŁY_dane[Poss],tbl_ZESPOŁY_dane[zespół],P$6,tbl_ZESPOŁY_dane[GW],$K$1)</f>
        <v>58.36</v>
      </c>
      <c r="R30" s="66" t="s">
        <v>317</v>
      </c>
      <c r="S30" s="86">
        <f>SUMIFS(tbl_ZESPOŁY_dane[Poss],tbl_ZESPOŁY_dane[zespół],T$6,tbl_ZESPOŁY_dane[GW],$K$1)</f>
        <v>45.76</v>
      </c>
      <c r="T30" s="76">
        <f t="shared" si="2"/>
        <v>45.76</v>
      </c>
    </row>
    <row r="31" spans="2:20" ht="20" customHeight="1" x14ac:dyDescent="0.35">
      <c r="B31" s="76">
        <f t="shared" si="3"/>
        <v>77.908587257617725</v>
      </c>
      <c r="C31" s="85">
        <f>SUMIFS(tbl_ZESPOŁY_dane[Orating],tbl_ZESPOŁY_dane[zespół],B$6,tbl_ZESPOŁY_dane[GW],$K$1)</f>
        <v>77.908587257617725</v>
      </c>
      <c r="D31" s="66" t="s">
        <v>315</v>
      </c>
      <c r="E31" s="85">
        <f>SUMIFS(tbl_ZESPOŁY_dane[Orating],tbl_ZESPOŁY_dane[zespół],F$6,tbl_ZESPOŁY_dane[GW],$K$1)</f>
        <v>69.813829787234056</v>
      </c>
      <c r="F31" s="76">
        <f t="shared" si="0"/>
        <v>69.813829787234056</v>
      </c>
      <c r="I31" s="76">
        <f t="shared" si="4"/>
        <v>95.377842993396925</v>
      </c>
      <c r="J31" s="85">
        <f>SUMIFS(tbl_ZESPOŁY_dane[Orating],tbl_ZESPOŁY_dane[zespół],I$6,tbl_ZESPOŁY_dane[GW],$K$1)</f>
        <v>95.377842993396925</v>
      </c>
      <c r="K31" s="66" t="s">
        <v>315</v>
      </c>
      <c r="L31" s="85">
        <f>SUMIFS(tbl_ZESPOŁY_dane[Orating],tbl_ZESPOŁY_dane[zespół],M$6,tbl_ZESPOŁY_dane[GW],$K$1)</f>
        <v>106.31001371742114</v>
      </c>
      <c r="M31" s="76">
        <f t="shared" si="1"/>
        <v>106.31001371742114</v>
      </c>
      <c r="P31" s="76">
        <f t="shared" si="5"/>
        <v>85.675119945167921</v>
      </c>
      <c r="Q31" s="85">
        <f>SUMIFS(tbl_ZESPOŁY_dane[Orating],tbl_ZESPOŁY_dane[zespół],P$6,tbl_ZESPOŁY_dane[GW],$K$1)</f>
        <v>85.675119945167921</v>
      </c>
      <c r="R31" s="66" t="s">
        <v>315</v>
      </c>
      <c r="S31" s="85">
        <f>SUMIFS(tbl_ZESPOŁY_dane[Orating],tbl_ZESPOŁY_dane[zespół],T$6,tbl_ZESPOŁY_dane[GW],$K$1)</f>
        <v>59.003496503496514</v>
      </c>
      <c r="T31" s="76">
        <f t="shared" si="2"/>
        <v>59.003496503496514</v>
      </c>
    </row>
    <row r="32" spans="2:20" ht="20" customHeight="1" x14ac:dyDescent="0.35">
      <c r="B32" s="76">
        <f t="shared" si="3"/>
        <v>69.813829787234056</v>
      </c>
      <c r="C32" s="85">
        <f>SUMIFS(tbl_ZESPOŁY_dane[Drating],tbl_ZESPOŁY_dane[zespół],B$6,tbl_ZESPOŁY_dane[GW],$K$1)</f>
        <v>69.813829787234056</v>
      </c>
      <c r="D32" s="66" t="s">
        <v>316</v>
      </c>
      <c r="E32" s="85">
        <f>SUMIFS(tbl_ZESPOŁY_dane[Drating],tbl_ZESPOŁY_dane[zespół],F$6,tbl_ZESPOŁY_dane[GW],$K$1)</f>
        <v>77.908587257617725</v>
      </c>
      <c r="F32" s="76">
        <f t="shared" si="0"/>
        <v>77.908587257617725</v>
      </c>
      <c r="I32" s="76">
        <f t="shared" si="4"/>
        <v>106.31001371742114</v>
      </c>
      <c r="J32" s="85">
        <f>SUMIFS(tbl_ZESPOŁY_dane[Drating],tbl_ZESPOŁY_dane[zespół],I$6,tbl_ZESPOŁY_dane[GW],$K$1)</f>
        <v>106.31001371742114</v>
      </c>
      <c r="K32" s="66" t="s">
        <v>316</v>
      </c>
      <c r="L32" s="85">
        <f>SUMIFS(tbl_ZESPOŁY_dane[Drating],tbl_ZESPOŁY_dane[zespół],M$6,tbl_ZESPOŁY_dane[GW],$K$1)</f>
        <v>95.377842993396925</v>
      </c>
      <c r="M32" s="76">
        <f t="shared" si="1"/>
        <v>95.377842993396925</v>
      </c>
      <c r="P32" s="76">
        <f t="shared" si="5"/>
        <v>59.003496503496514</v>
      </c>
      <c r="Q32" s="85">
        <f>SUMIFS(tbl_ZESPOŁY_dane[Drating],tbl_ZESPOŁY_dane[zespół],P$6,tbl_ZESPOŁY_dane[GW],$K$1)</f>
        <v>59.003496503496514</v>
      </c>
      <c r="R32" s="66" t="s">
        <v>316</v>
      </c>
      <c r="S32" s="85">
        <f>SUMIFS(tbl_ZESPOŁY_dane[Drating],tbl_ZESPOŁY_dane[zespół],T$6,tbl_ZESPOŁY_dane[GW],$K$1)</f>
        <v>85.675119945167921</v>
      </c>
      <c r="T32" s="76">
        <f t="shared" si="2"/>
        <v>85.675119945167921</v>
      </c>
    </row>
  </sheetData>
  <sheetProtection algorithmName="SHA-512" hashValue="xyzABODF5xGNUzvaJ+gszIEDf/0QQ7RHh3ERUCQBGKI3hA9DtfzIo58X9f3bPc9sGqCZGi+gwjIxyB1arszF2A==" saltValue="6hmbZ9ZEyRmXdEbZSXjsTQ==" spinCount="100000" sheet="1" objects="1" scenarios="1"/>
  <conditionalFormatting sqref="B8:B17">
    <cfRule type="dataBar" priority="24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{1477E6B9-AB7F-4967-8EF5-402B3FC693FB}</x14:id>
        </ext>
      </extLst>
    </cfRule>
  </conditionalFormatting>
  <conditionalFormatting sqref="B19:B22">
    <cfRule type="dataBar" priority="22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{E28E72D9-5AA0-4B77-8F42-9ACF4A100212}</x14:id>
        </ext>
      </extLst>
    </cfRule>
  </conditionalFormatting>
  <conditionalFormatting sqref="B24:B29">
    <cfRule type="dataBar" priority="20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{83F9A523-4F3F-41B7-8C12-E6B8986D51DB}</x14:id>
        </ext>
      </extLst>
    </cfRule>
  </conditionalFormatting>
  <conditionalFormatting sqref="B30:B32">
    <cfRule type="dataBar" priority="18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{41F7C359-4B58-49AB-A130-DEB1B1311E9A}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{5DD9203A-4D91-4A12-BE85-660E7846A05A}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{C6F87C3C-B2CF-4089-95DD-561967BE0435}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{6CFDC6DF-0315-4BE6-A60E-B166B764F2E1}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{2973B9B2-E97F-4CD6-B9F3-6782F06AC9C2}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{A0397685-579D-43C6-819F-8B0C729A43BD}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{2000C8A3-13B2-4109-BAB9-A6CAA999ED86}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{A1511839-A570-4801-8191-71AF97306E34}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{BE96DF23-6E16-4F63-8C8D-3630EAF53EDF}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{FE6EB453-497F-4618-94CD-8E168EF3305F}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{1C837396-01CB-4516-AE09-C85BED9E0EBD}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{059D1993-A634-47D8-A641-EB564F9E78BD}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{5F21916C-6CD1-4D46-A50A-3D9EACD64F3A}</x14:id>
        </ext>
      </extLst>
    </cfRule>
  </conditionalFormatting>
  <conditionalFormatting sqref="P8:P17">
    <cfRule type="dataBar" priority="8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{55BEB17C-4D73-40CE-9CA9-178A8A796CDD}</x14:id>
        </ext>
      </extLst>
    </cfRule>
  </conditionalFormatting>
  <conditionalFormatting sqref="P19:P22">
    <cfRule type="dataBar" priority="6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{7108D0B2-3CAB-45A6-942F-E43FCD6D030C}</x14:id>
        </ext>
      </extLst>
    </cfRule>
  </conditionalFormatting>
  <conditionalFormatting sqref="P24:P29">
    <cfRule type="dataBar" priority="4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{6F32A2C6-AE18-4E6F-B2CA-B359B7A1CD3A}</x14:id>
        </ext>
      </extLst>
    </cfRule>
  </conditionalFormatting>
  <conditionalFormatting sqref="P30:P32">
    <cfRule type="dataBar" priority="2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{B2EEF650-698F-466B-AEBD-B5AB7C408D6B}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{2DAAC884-9A60-407A-87CF-01CEADF0EB03}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{4C1A3B1F-3865-45CC-AA27-2E22D196C4F4}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{947C40EA-9178-4ED0-BFD8-848079FF938F}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{4CC4BF36-3CE0-4125-9ECE-DEF8DEFD9C2F}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77E6B9-AB7F-4967-8EF5-402B3FC693FB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E28E72D9-5AA0-4B77-8F42-9ACF4A100212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83F9A523-4F3F-41B7-8C12-E6B8986D51DB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41F7C359-4B58-49AB-A130-DEB1B1311E9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5DD9203A-4D91-4A12-BE85-660E7846A05A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C6F87C3C-B2CF-4089-95DD-561967BE0435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6CFDC6DF-0315-4BE6-A60E-B166B764F2E1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2973B9B2-E97F-4CD6-B9F3-6782F06AC9C2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A0397685-579D-43C6-819F-8B0C729A43BD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2000C8A3-13B2-4109-BAB9-A6CAA999ED86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A1511839-A570-4801-8191-71AF97306E34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BE96DF23-6E16-4F63-8C8D-3630EAF53EDF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FE6EB453-497F-4618-94CD-8E168EF3305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1C837396-01CB-4516-AE09-C85BED9E0EBD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059D1993-A634-47D8-A641-EB564F9E78BD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5F21916C-6CD1-4D46-A50A-3D9EACD64F3A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55BEB17C-4D73-40CE-9CA9-178A8A796CDD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7108D0B2-3CAB-45A6-942F-E43FCD6D030C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6F32A2C6-AE18-4E6F-B2CA-B359B7A1CD3A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B2EEF650-698F-466B-AEBD-B5AB7C408D6B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2DAAC884-9A60-407A-87CF-01CEADF0EB03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4C1A3B1F-3865-45CC-AA27-2E22D196C4F4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947C40EA-9178-4ED0-BFD8-848079FF938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4CC4BF36-3CE0-4125-9ECE-DEF8DEFD9C2F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533B-F3F3-4112-89FB-5CF845A0A3A7}">
  <dimension ref="A1:T32"/>
  <sheetViews>
    <sheetView workbookViewId="0">
      <selection activeCell="V18" sqref="V18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324</v>
      </c>
      <c r="C1" s="71"/>
      <c r="D1" s="71"/>
      <c r="E1" s="71"/>
      <c r="I1" s="74" t="s">
        <v>325</v>
      </c>
      <c r="J1" s="71"/>
      <c r="K1" s="75">
        <v>3</v>
      </c>
      <c r="L1" s="71"/>
      <c r="Q1" s="71"/>
      <c r="R1" s="71"/>
      <c r="S1" s="71"/>
    </row>
    <row r="4" spans="1:20" x14ac:dyDescent="0.35">
      <c r="B4" s="76" t="s">
        <v>326</v>
      </c>
      <c r="D4" s="83" t="s">
        <v>318</v>
      </c>
      <c r="F4" s="76"/>
      <c r="I4" s="76" t="s">
        <v>326</v>
      </c>
      <c r="K4" s="83" t="s">
        <v>318</v>
      </c>
      <c r="M4" s="76"/>
      <c r="P4" s="76" t="s">
        <v>326</v>
      </c>
      <c r="R4" s="83" t="s">
        <v>318</v>
      </c>
      <c r="T4" s="76"/>
    </row>
    <row r="5" spans="1:20" ht="20" customHeight="1" thickBot="1" x14ac:dyDescent="0.4">
      <c r="B5" s="76"/>
      <c r="D5" s="84">
        <f>$K$1</f>
        <v>3</v>
      </c>
      <c r="F5" s="76"/>
      <c r="I5" s="76"/>
      <c r="K5" s="84">
        <f>$K$1</f>
        <v>3</v>
      </c>
      <c r="M5" s="76"/>
      <c r="P5" s="76"/>
      <c r="R5" s="84">
        <f>$K$1</f>
        <v>3</v>
      </c>
      <c r="T5" s="76"/>
    </row>
    <row r="6" spans="1:20" s="87" customFormat="1" ht="40" customHeight="1" thickBot="1" x14ac:dyDescent="0.55000000000000004">
      <c r="B6" s="79" t="s">
        <v>46</v>
      </c>
      <c r="C6" s="80"/>
      <c r="D6" s="69"/>
      <c r="E6" s="81"/>
      <c r="F6" s="82" t="s">
        <v>52</v>
      </c>
      <c r="I6" s="79" t="s">
        <v>48</v>
      </c>
      <c r="J6" s="80"/>
      <c r="K6" s="69"/>
      <c r="L6" s="81"/>
      <c r="M6" s="82" t="s">
        <v>19</v>
      </c>
      <c r="P6" s="79" t="s">
        <v>50</v>
      </c>
      <c r="Q6" s="80"/>
      <c r="R6" s="69"/>
      <c r="S6" s="81"/>
      <c r="T6" s="82" t="s">
        <v>25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42</v>
      </c>
      <c r="C8" s="67">
        <f>SUMIFS(tbl_ZESPOŁY_dane[pts],tbl_ZESPOŁY_dane[zespół],B$6,tbl_ZESPOŁY_dane[GW],$K$1)</f>
        <v>42</v>
      </c>
      <c r="D8" s="66" t="s">
        <v>302</v>
      </c>
      <c r="E8" s="67">
        <f>SUMIFS(tbl_ZESPOŁY_dane[pts],tbl_ZESPOŁY_dane[zespół],F$6,tbl_ZESPOŁY_dane[GW],$K$1)</f>
        <v>51</v>
      </c>
      <c r="F8" s="76">
        <f>E8</f>
        <v>51</v>
      </c>
      <c r="I8" s="76">
        <f>J8</f>
        <v>58</v>
      </c>
      <c r="J8" s="67">
        <f>SUMIFS(tbl_ZESPOŁY_dane[pts],tbl_ZESPOŁY_dane[zespół],I$6,tbl_ZESPOŁY_dane[GW],$K$1)</f>
        <v>58</v>
      </c>
      <c r="K8" s="66" t="s">
        <v>302</v>
      </c>
      <c r="L8" s="67">
        <f>SUMIFS(tbl_ZESPOŁY_dane[pts],tbl_ZESPOŁY_dane[zespół],M$6,tbl_ZESPOŁY_dane[GW],$K$1)</f>
        <v>44</v>
      </c>
      <c r="M8" s="76">
        <f>L8</f>
        <v>44</v>
      </c>
      <c r="P8" s="76">
        <f>Q8</f>
        <v>64</v>
      </c>
      <c r="Q8" s="67">
        <f>SUMIFS(tbl_ZESPOŁY_dane[pts],tbl_ZESPOŁY_dane[zespół],P$6,tbl_ZESPOŁY_dane[GW],$K$1)</f>
        <v>64</v>
      </c>
      <c r="R8" s="66" t="s">
        <v>302</v>
      </c>
      <c r="S8" s="67">
        <f>SUMIFS(tbl_ZESPOŁY_dane[pts],tbl_ZESPOŁY_dane[zespół],T$6,tbl_ZESPOŁY_dane[GW],$K$1)</f>
        <v>60</v>
      </c>
      <c r="T8" s="76">
        <f>S8</f>
        <v>60</v>
      </c>
    </row>
    <row r="9" spans="1:20" ht="20" customHeight="1" x14ac:dyDescent="0.35">
      <c r="B9" s="76"/>
      <c r="C9" s="72"/>
      <c r="D9" s="65" t="s">
        <v>303</v>
      </c>
      <c r="E9" s="72"/>
      <c r="F9" s="76">
        <f t="shared" ref="F9:F32" si="0">E9</f>
        <v>0</v>
      </c>
      <c r="I9" s="76"/>
      <c r="J9" s="72"/>
      <c r="K9" s="65" t="s">
        <v>303</v>
      </c>
      <c r="L9" s="72"/>
      <c r="M9" s="76">
        <f t="shared" ref="M9:M32" si="1">L9</f>
        <v>0</v>
      </c>
      <c r="P9" s="76"/>
      <c r="Q9" s="72"/>
      <c r="R9" s="65" t="s">
        <v>303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15</v>
      </c>
      <c r="C10" s="67">
        <f>SUMIFS(tbl_ZESPOŁY_dane[fgm],tbl_ZESPOŁY_dane[zespół],B$6,tbl_ZESPOŁY_dane[GW],$K$1)</f>
        <v>15</v>
      </c>
      <c r="D10" s="66" t="s">
        <v>304</v>
      </c>
      <c r="E10" s="67">
        <f>SUMIFS(tbl_ZESPOŁY_dane[fgm],tbl_ZESPOŁY_dane[zespół],F$6,tbl_ZESPOŁY_dane[GW],$K$1)</f>
        <v>22</v>
      </c>
      <c r="F10" s="76">
        <f t="shared" si="0"/>
        <v>22</v>
      </c>
      <c r="I10" s="76">
        <f t="shared" ref="I10:I32" si="4">J10</f>
        <v>21</v>
      </c>
      <c r="J10" s="67">
        <f>SUMIFS(tbl_ZESPOŁY_dane[fgm],tbl_ZESPOŁY_dane[zespół],I$6,tbl_ZESPOŁY_dane[GW],$K$1)</f>
        <v>21</v>
      </c>
      <c r="K10" s="66" t="s">
        <v>304</v>
      </c>
      <c r="L10" s="67">
        <f>SUMIFS(tbl_ZESPOŁY_dane[fgm],tbl_ZESPOŁY_dane[zespół],M$6,tbl_ZESPOŁY_dane[GW],$K$1)</f>
        <v>20</v>
      </c>
      <c r="M10" s="76">
        <f t="shared" si="1"/>
        <v>20</v>
      </c>
      <c r="P10" s="76">
        <f t="shared" ref="P10:P32" si="5">Q10</f>
        <v>25</v>
      </c>
      <c r="Q10" s="67">
        <f>SUMIFS(tbl_ZESPOŁY_dane[fgm],tbl_ZESPOŁY_dane[zespół],P$6,tbl_ZESPOŁY_dane[GW],$K$1)</f>
        <v>25</v>
      </c>
      <c r="R10" s="66" t="s">
        <v>304</v>
      </c>
      <c r="S10" s="67">
        <f>SUMIFS(tbl_ZESPOŁY_dane[fgm],tbl_ZESPOŁY_dane[zespół],T$6,tbl_ZESPOŁY_dane[GW],$K$1)</f>
        <v>25</v>
      </c>
      <c r="T10" s="76">
        <f t="shared" si="2"/>
        <v>25</v>
      </c>
    </row>
    <row r="11" spans="1:20" ht="20" customHeight="1" x14ac:dyDescent="0.35">
      <c r="B11" s="76">
        <f t="shared" si="3"/>
        <v>53</v>
      </c>
      <c r="C11" s="67">
        <f>SUMIFS(tbl_ZESPOŁY_dane[fga],tbl_ZESPOŁY_dane[zespół],B$6,tbl_ZESPOŁY_dane[GW],$K$1)</f>
        <v>53</v>
      </c>
      <c r="D11" s="66" t="s">
        <v>305</v>
      </c>
      <c r="E11" s="67">
        <f>SUMIFS(tbl_ZESPOŁY_dane[fga],tbl_ZESPOŁY_dane[zespół],F$6,tbl_ZESPOŁY_dane[GW],$K$1)</f>
        <v>79</v>
      </c>
      <c r="F11" s="76">
        <f t="shared" si="0"/>
        <v>79</v>
      </c>
      <c r="I11" s="76">
        <f t="shared" si="4"/>
        <v>69</v>
      </c>
      <c r="J11" s="67">
        <f>SUMIFS(tbl_ZESPOŁY_dane[fga],tbl_ZESPOŁY_dane[zespół],I$6,tbl_ZESPOŁY_dane[GW],$K$1)</f>
        <v>69</v>
      </c>
      <c r="K11" s="66" t="s">
        <v>305</v>
      </c>
      <c r="L11" s="67">
        <f>SUMIFS(tbl_ZESPOŁY_dane[fga],tbl_ZESPOŁY_dane[zespół],M$6,tbl_ZESPOŁY_dane[GW],$K$1)</f>
        <v>70</v>
      </c>
      <c r="M11" s="76">
        <f t="shared" si="1"/>
        <v>70</v>
      </c>
      <c r="P11" s="76">
        <f t="shared" si="5"/>
        <v>68</v>
      </c>
      <c r="Q11" s="67">
        <f>SUMIFS(tbl_ZESPOŁY_dane[fga],tbl_ZESPOŁY_dane[zespół],P$6,tbl_ZESPOŁY_dane[GW],$K$1)</f>
        <v>68</v>
      </c>
      <c r="R11" s="66" t="s">
        <v>305</v>
      </c>
      <c r="S11" s="67">
        <f>SUMIFS(tbl_ZESPOŁY_dane[fga],tbl_ZESPOŁY_dane[zespół],T$6,tbl_ZESPOŁY_dane[GW],$K$1)</f>
        <v>69</v>
      </c>
      <c r="T11" s="76">
        <f t="shared" si="2"/>
        <v>69</v>
      </c>
    </row>
    <row r="12" spans="1:20" ht="20" customHeight="1" x14ac:dyDescent="0.35">
      <c r="B12" s="76"/>
      <c r="C12" s="72"/>
      <c r="D12" s="65" t="s">
        <v>306</v>
      </c>
      <c r="E12" s="72"/>
      <c r="F12" s="76">
        <f t="shared" si="0"/>
        <v>0</v>
      </c>
      <c r="I12" s="76"/>
      <c r="J12" s="72"/>
      <c r="K12" s="65" t="s">
        <v>306</v>
      </c>
      <c r="L12" s="72"/>
      <c r="M12" s="76">
        <f t="shared" si="1"/>
        <v>0</v>
      </c>
      <c r="P12" s="76"/>
      <c r="Q12" s="72"/>
      <c r="R12" s="65" t="s">
        <v>306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4</v>
      </c>
      <c r="C13" s="67">
        <f>SUMIFS(tbl_ZESPOŁY_dane[3pm],tbl_ZESPOŁY_dane[zespół],B$6,tbl_ZESPOŁY_dane[GW],$K$1)</f>
        <v>4</v>
      </c>
      <c r="D13" s="66" t="s">
        <v>304</v>
      </c>
      <c r="E13" s="67">
        <f>SUMIFS(tbl_ZESPOŁY_dane[3pm],tbl_ZESPOŁY_dane[zespół],F$6,tbl_ZESPOŁY_dane[GW],$K$1)</f>
        <v>5</v>
      </c>
      <c r="F13" s="76">
        <f t="shared" si="0"/>
        <v>5</v>
      </c>
      <c r="I13" s="76">
        <f t="shared" si="4"/>
        <v>4</v>
      </c>
      <c r="J13" s="67">
        <f>SUMIFS(tbl_ZESPOŁY_dane[3pm],tbl_ZESPOŁY_dane[zespół],I$6,tbl_ZESPOŁY_dane[GW],$K$1)</f>
        <v>4</v>
      </c>
      <c r="K13" s="66" t="s">
        <v>304</v>
      </c>
      <c r="L13" s="67">
        <f>SUMIFS(tbl_ZESPOŁY_dane[3pm],tbl_ZESPOŁY_dane[zespół],M$6,tbl_ZESPOŁY_dane[GW],$K$1)</f>
        <v>3</v>
      </c>
      <c r="M13" s="76">
        <f t="shared" si="1"/>
        <v>3</v>
      </c>
      <c r="P13" s="76">
        <f t="shared" si="5"/>
        <v>6</v>
      </c>
      <c r="Q13" s="67">
        <f>SUMIFS(tbl_ZESPOŁY_dane[3pm],tbl_ZESPOŁY_dane[zespół],P$6,tbl_ZESPOŁY_dane[GW],$K$1)</f>
        <v>6</v>
      </c>
      <c r="R13" s="66" t="s">
        <v>304</v>
      </c>
      <c r="S13" s="67">
        <f>SUMIFS(tbl_ZESPOŁY_dane[3pm],tbl_ZESPOŁY_dane[zespół],T$6,tbl_ZESPOŁY_dane[GW],$K$1)</f>
        <v>5</v>
      </c>
      <c r="T13" s="76">
        <f t="shared" si="2"/>
        <v>5</v>
      </c>
    </row>
    <row r="14" spans="1:20" ht="20" customHeight="1" x14ac:dyDescent="0.35">
      <c r="B14" s="76">
        <f t="shared" si="3"/>
        <v>15</v>
      </c>
      <c r="C14" s="67">
        <f>SUMIFS(tbl_ZESPOŁY_dane[3pa],tbl_ZESPOŁY_dane[zespół],B$6,tbl_ZESPOŁY_dane[GW],$K$1)</f>
        <v>15</v>
      </c>
      <c r="D14" s="66" t="s">
        <v>305</v>
      </c>
      <c r="E14" s="67">
        <f>SUMIFS(tbl_ZESPOŁY_dane[3pa],tbl_ZESPOŁY_dane[zespół],F$6,tbl_ZESPOŁY_dane[GW],$K$1)</f>
        <v>13</v>
      </c>
      <c r="F14" s="76">
        <f t="shared" si="0"/>
        <v>13</v>
      </c>
      <c r="I14" s="76">
        <f t="shared" si="4"/>
        <v>24</v>
      </c>
      <c r="J14" s="67">
        <f>SUMIFS(tbl_ZESPOŁY_dane[3pa],tbl_ZESPOŁY_dane[zespół],I$6,tbl_ZESPOŁY_dane[GW],$K$1)</f>
        <v>24</v>
      </c>
      <c r="K14" s="66" t="s">
        <v>305</v>
      </c>
      <c r="L14" s="67">
        <f>SUMIFS(tbl_ZESPOŁY_dane[3pa],tbl_ZESPOŁY_dane[zespół],M$6,tbl_ZESPOŁY_dane[GW],$K$1)</f>
        <v>22</v>
      </c>
      <c r="M14" s="76">
        <f t="shared" si="1"/>
        <v>22</v>
      </c>
      <c r="P14" s="76">
        <f t="shared" si="5"/>
        <v>29</v>
      </c>
      <c r="Q14" s="67">
        <f>SUMIFS(tbl_ZESPOŁY_dane[3pa],tbl_ZESPOŁY_dane[zespół],P$6,tbl_ZESPOŁY_dane[GW],$K$1)</f>
        <v>29</v>
      </c>
      <c r="R14" s="66" t="s">
        <v>305</v>
      </c>
      <c r="S14" s="67">
        <f>SUMIFS(tbl_ZESPOŁY_dane[3pa],tbl_ZESPOŁY_dane[zespół],T$6,tbl_ZESPOŁY_dane[GW],$K$1)</f>
        <v>15</v>
      </c>
      <c r="T14" s="76">
        <f t="shared" si="2"/>
        <v>15</v>
      </c>
    </row>
    <row r="15" spans="1:20" ht="20" customHeight="1" x14ac:dyDescent="0.35">
      <c r="B15" s="76"/>
      <c r="C15" s="72"/>
      <c r="D15" s="65" t="s">
        <v>307</v>
      </c>
      <c r="E15" s="72"/>
      <c r="F15" s="76">
        <f t="shared" si="0"/>
        <v>0</v>
      </c>
      <c r="I15" s="76"/>
      <c r="J15" s="72"/>
      <c r="K15" s="65" t="s">
        <v>307</v>
      </c>
      <c r="L15" s="72"/>
      <c r="M15" s="76">
        <f t="shared" si="1"/>
        <v>0</v>
      </c>
      <c r="P15" s="76"/>
      <c r="Q15" s="72"/>
      <c r="R15" s="65" t="s">
        <v>307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8</v>
      </c>
      <c r="C16" s="67">
        <f>SUMIFS(tbl_ZESPOŁY_dane[ftm],tbl_ZESPOŁY_dane[zespół],B$6,tbl_ZESPOŁY_dane[GW],$K$1)</f>
        <v>8</v>
      </c>
      <c r="D16" s="66" t="s">
        <v>304</v>
      </c>
      <c r="E16" s="67">
        <f>SUMIFS(tbl_ZESPOŁY_dane[ftm],tbl_ZESPOŁY_dane[zespół],F$6,tbl_ZESPOŁY_dane[GW],$K$1)</f>
        <v>2</v>
      </c>
      <c r="F16" s="76">
        <f t="shared" si="0"/>
        <v>2</v>
      </c>
      <c r="I16" s="76">
        <f t="shared" si="4"/>
        <v>12</v>
      </c>
      <c r="J16" s="67">
        <f>SUMIFS(tbl_ZESPOŁY_dane[ftm],tbl_ZESPOŁY_dane[zespół],I$6,tbl_ZESPOŁY_dane[GW],$K$1)</f>
        <v>12</v>
      </c>
      <c r="K16" s="66" t="s">
        <v>304</v>
      </c>
      <c r="L16" s="67">
        <f>SUMIFS(tbl_ZESPOŁY_dane[ftm],tbl_ZESPOŁY_dane[zespół],M$6,tbl_ZESPOŁY_dane[GW],$K$1)</f>
        <v>1</v>
      </c>
      <c r="M16" s="76">
        <f t="shared" si="1"/>
        <v>1</v>
      </c>
      <c r="P16" s="76">
        <f t="shared" si="5"/>
        <v>9</v>
      </c>
      <c r="Q16" s="67">
        <f>SUMIFS(tbl_ZESPOŁY_dane[ftm],tbl_ZESPOŁY_dane[zespół],P$6,tbl_ZESPOŁY_dane[GW],$K$1)</f>
        <v>9</v>
      </c>
      <c r="R16" s="66" t="s">
        <v>304</v>
      </c>
      <c r="S16" s="67">
        <f>SUMIFS(tbl_ZESPOŁY_dane[ftm],tbl_ZESPOŁY_dane[zespół],T$6,tbl_ZESPOŁY_dane[GW],$K$1)</f>
        <v>5</v>
      </c>
      <c r="T16" s="76">
        <f t="shared" si="2"/>
        <v>5</v>
      </c>
    </row>
    <row r="17" spans="2:20" ht="20" customHeight="1" x14ac:dyDescent="0.35">
      <c r="B17" s="76">
        <f t="shared" si="3"/>
        <v>12</v>
      </c>
      <c r="C17" s="67">
        <f>SUMIFS(tbl_ZESPOŁY_dane[fta],tbl_ZESPOŁY_dane[zespół],B$6,tbl_ZESPOŁY_dane[GW],$K$1)</f>
        <v>12</v>
      </c>
      <c r="D17" s="66" t="s">
        <v>305</v>
      </c>
      <c r="E17" s="67">
        <f>SUMIFS(tbl_ZESPOŁY_dane[fta],tbl_ZESPOŁY_dane[zespół],F$6,tbl_ZESPOŁY_dane[GW],$K$1)</f>
        <v>8</v>
      </c>
      <c r="F17" s="76">
        <f t="shared" si="0"/>
        <v>8</v>
      </c>
      <c r="I17" s="76">
        <f t="shared" si="4"/>
        <v>19</v>
      </c>
      <c r="J17" s="67">
        <f>SUMIFS(tbl_ZESPOŁY_dane[fta],tbl_ZESPOŁY_dane[zespół],I$6,tbl_ZESPOŁY_dane[GW],$K$1)</f>
        <v>19</v>
      </c>
      <c r="K17" s="66" t="s">
        <v>305</v>
      </c>
      <c r="L17" s="67">
        <f>SUMIFS(tbl_ZESPOŁY_dane[fta],tbl_ZESPOŁY_dane[zespół],M$6,tbl_ZESPOŁY_dane[GW],$K$1)</f>
        <v>2</v>
      </c>
      <c r="M17" s="76">
        <f t="shared" si="1"/>
        <v>2</v>
      </c>
      <c r="P17" s="76">
        <f t="shared" si="5"/>
        <v>17</v>
      </c>
      <c r="Q17" s="67">
        <f>SUMIFS(tbl_ZESPOŁY_dane[fta],tbl_ZESPOŁY_dane[zespół],P$6,tbl_ZESPOŁY_dane[GW],$K$1)</f>
        <v>17</v>
      </c>
      <c r="R17" s="66" t="s">
        <v>305</v>
      </c>
      <c r="S17" s="67">
        <f>SUMIFS(tbl_ZESPOŁY_dane[fta],tbl_ZESPOŁY_dane[zespół],T$6,tbl_ZESPOŁY_dane[GW],$K$1)</f>
        <v>8</v>
      </c>
      <c r="T17" s="76">
        <f t="shared" si="2"/>
        <v>8</v>
      </c>
    </row>
    <row r="18" spans="2:20" ht="20" customHeight="1" x14ac:dyDescent="0.35">
      <c r="B18" s="76"/>
      <c r="C18" s="72"/>
      <c r="D18" s="65" t="s">
        <v>319</v>
      </c>
      <c r="E18" s="72"/>
      <c r="F18" s="76"/>
      <c r="I18" s="76"/>
      <c r="J18" s="72"/>
      <c r="K18" s="65" t="s">
        <v>319</v>
      </c>
      <c r="L18" s="72"/>
      <c r="M18" s="76"/>
      <c r="P18" s="76"/>
      <c r="Q18" s="72"/>
      <c r="R18" s="65" t="s">
        <v>319</v>
      </c>
      <c r="S18" s="72"/>
      <c r="T18" s="76"/>
    </row>
    <row r="19" spans="2:20" ht="20" customHeight="1" x14ac:dyDescent="0.35">
      <c r="B19" s="77">
        <f t="shared" si="3"/>
        <v>0.28947368421052633</v>
      </c>
      <c r="C19" s="68">
        <f>SUMIFS(tbl_ZESPOŁY_dane[2P%],tbl_ZESPOŁY_dane[zespół],B$6,tbl_ZESPOŁY_dane[GW],$K$1)</f>
        <v>0.28947368421052633</v>
      </c>
      <c r="D19" s="66" t="s">
        <v>320</v>
      </c>
      <c r="E19" s="68">
        <f>SUMIFS(tbl_ZESPOŁY_dane[2P%],tbl_ZESPOŁY_dane[zespół],F$6,tbl_ZESPOŁY_dane[GW],$K$1)</f>
        <v>0.25757575757575757</v>
      </c>
      <c r="F19" s="78">
        <f>E19</f>
        <v>0.25757575757575757</v>
      </c>
      <c r="I19" s="77">
        <f t="shared" si="4"/>
        <v>0.37777777777777777</v>
      </c>
      <c r="J19" s="68">
        <f>SUMIFS(tbl_ZESPOŁY_dane[2P%],tbl_ZESPOŁY_dane[zespół],I$6,tbl_ZESPOŁY_dane[GW],$K$1)</f>
        <v>0.37777777777777777</v>
      </c>
      <c r="K19" s="66" t="s">
        <v>320</v>
      </c>
      <c r="L19" s="68">
        <f>SUMIFS(tbl_ZESPOŁY_dane[2P%],tbl_ZESPOŁY_dane[zespół],M$6,tbl_ZESPOŁY_dane[GW],$K$1)</f>
        <v>0.35416666666666669</v>
      </c>
      <c r="M19" s="78">
        <f>L19</f>
        <v>0.35416666666666669</v>
      </c>
      <c r="P19" s="77">
        <f t="shared" si="5"/>
        <v>0.48717948717948717</v>
      </c>
      <c r="Q19" s="68">
        <f>SUMIFS(tbl_ZESPOŁY_dane[2P%],tbl_ZESPOŁY_dane[zespół],P$6,tbl_ZESPOŁY_dane[GW],$K$1)</f>
        <v>0.48717948717948717</v>
      </c>
      <c r="R19" s="66" t="s">
        <v>320</v>
      </c>
      <c r="S19" s="68">
        <f>SUMIFS(tbl_ZESPOŁY_dane[2P%],tbl_ZESPOŁY_dane[zespół],T$6,tbl_ZESPOŁY_dane[GW],$K$1)</f>
        <v>0.37037037037037035</v>
      </c>
      <c r="T19" s="78">
        <f>S19</f>
        <v>0.37037037037037035</v>
      </c>
    </row>
    <row r="20" spans="2:20" ht="20" customHeight="1" x14ac:dyDescent="0.35">
      <c r="B20" s="77">
        <f t="shared" si="3"/>
        <v>0.26666666666666666</v>
      </c>
      <c r="C20" s="68">
        <f>SUMIFS(tbl_ZESPOŁY_dane[3p%],tbl_ZESPOŁY_dane[zespół],B$6,tbl_ZESPOŁY_dane[GW],$K$1)</f>
        <v>0.26666666666666666</v>
      </c>
      <c r="D20" s="66" t="s">
        <v>321</v>
      </c>
      <c r="E20" s="68">
        <f>SUMIFS(tbl_ZESPOŁY_dane[3p%],tbl_ZESPOŁY_dane[zespół],F$6,tbl_ZESPOŁY_dane[GW],$K$1)</f>
        <v>0.38461538461538464</v>
      </c>
      <c r="F20" s="78">
        <f t="shared" ref="F20:F22" si="6">E20</f>
        <v>0.38461538461538464</v>
      </c>
      <c r="I20" s="77">
        <f t="shared" si="4"/>
        <v>0.16666666666666666</v>
      </c>
      <c r="J20" s="68">
        <f>SUMIFS(tbl_ZESPOŁY_dane[3p%],tbl_ZESPOŁY_dane[zespół],I$6,tbl_ZESPOŁY_dane[GW],$K$1)</f>
        <v>0.16666666666666666</v>
      </c>
      <c r="K20" s="66" t="s">
        <v>321</v>
      </c>
      <c r="L20" s="68">
        <f>SUMIFS(tbl_ZESPOŁY_dane[3p%],tbl_ZESPOŁY_dane[zespół],M$6,tbl_ZESPOŁY_dane[GW],$K$1)</f>
        <v>0.13636363636363635</v>
      </c>
      <c r="M20" s="78">
        <f t="shared" ref="M20:M22" si="7">L20</f>
        <v>0.13636363636363635</v>
      </c>
      <c r="P20" s="77">
        <f t="shared" si="5"/>
        <v>0.20689655172413793</v>
      </c>
      <c r="Q20" s="68">
        <f>SUMIFS(tbl_ZESPOŁY_dane[3p%],tbl_ZESPOŁY_dane[zespół],P$6,tbl_ZESPOŁY_dane[GW],$K$1)</f>
        <v>0.20689655172413793</v>
      </c>
      <c r="R20" s="66" t="s">
        <v>321</v>
      </c>
      <c r="S20" s="68">
        <f>SUMIFS(tbl_ZESPOŁY_dane[3p%],tbl_ZESPOŁY_dane[zespół],T$6,tbl_ZESPOŁY_dane[GW],$K$1)</f>
        <v>0.33333333333333331</v>
      </c>
      <c r="T20" s="78">
        <f t="shared" ref="T20:T22" si="8">S20</f>
        <v>0.33333333333333331</v>
      </c>
    </row>
    <row r="21" spans="2:20" ht="20" customHeight="1" x14ac:dyDescent="0.35">
      <c r="B21" s="77">
        <f t="shared" si="3"/>
        <v>0.66666666666666663</v>
      </c>
      <c r="C21" s="68">
        <f>SUMIFS(tbl_ZESPOŁY_dane[ft%],tbl_ZESPOŁY_dane[zespół],B$6,tbl_ZESPOŁY_dane[GW],$K$1)</f>
        <v>0.66666666666666663</v>
      </c>
      <c r="D21" s="66" t="s">
        <v>322</v>
      </c>
      <c r="E21" s="68">
        <f>SUMIFS(tbl_ZESPOŁY_dane[ft%],tbl_ZESPOŁY_dane[zespół],F$6,tbl_ZESPOŁY_dane[GW],$K$1)</f>
        <v>0.25</v>
      </c>
      <c r="F21" s="78">
        <f t="shared" si="6"/>
        <v>0.25</v>
      </c>
      <c r="I21" s="77">
        <f t="shared" si="4"/>
        <v>0.63157894736842102</v>
      </c>
      <c r="J21" s="68">
        <f>SUMIFS(tbl_ZESPOŁY_dane[ft%],tbl_ZESPOŁY_dane[zespół],I$6,tbl_ZESPOŁY_dane[GW],$K$1)</f>
        <v>0.63157894736842102</v>
      </c>
      <c r="K21" s="66" t="s">
        <v>322</v>
      </c>
      <c r="L21" s="68">
        <f>SUMIFS(tbl_ZESPOŁY_dane[ft%],tbl_ZESPOŁY_dane[zespół],M$6,tbl_ZESPOŁY_dane[GW],$K$1)</f>
        <v>0.5</v>
      </c>
      <c r="M21" s="78">
        <f t="shared" si="7"/>
        <v>0.5</v>
      </c>
      <c r="P21" s="77">
        <f t="shared" si="5"/>
        <v>0.52941176470588236</v>
      </c>
      <c r="Q21" s="68">
        <f>SUMIFS(tbl_ZESPOŁY_dane[ft%],tbl_ZESPOŁY_dane[zespół],P$6,tbl_ZESPOŁY_dane[GW],$K$1)</f>
        <v>0.52941176470588236</v>
      </c>
      <c r="R21" s="66" t="s">
        <v>322</v>
      </c>
      <c r="S21" s="68">
        <f>SUMIFS(tbl_ZESPOŁY_dane[ft%],tbl_ZESPOŁY_dane[zespół],T$6,tbl_ZESPOŁY_dane[GW],$K$1)</f>
        <v>0.625</v>
      </c>
      <c r="T21" s="78">
        <f t="shared" si="8"/>
        <v>0.625</v>
      </c>
    </row>
    <row r="22" spans="2:20" ht="20" customHeight="1" x14ac:dyDescent="0.35">
      <c r="B22" s="77">
        <f t="shared" si="3"/>
        <v>0.36032944406314343</v>
      </c>
      <c r="C22" s="68">
        <f>SUMIFS(tbl_ZESPOŁY_dane[TS%],tbl_ZESPOŁY_dane[zespół],B$6,tbl_ZESPOŁY_dane[GW],$K$1)</f>
        <v>0.36032944406314343</v>
      </c>
      <c r="D22" s="66" t="s">
        <v>314</v>
      </c>
      <c r="E22" s="68">
        <f>SUMIFS(tbl_ZESPOŁY_dane[TS%],tbl_ZESPOŁY_dane[zespół],F$6,tbl_ZESPOŁY_dane[GW],$K$1)</f>
        <v>0.30901599612215225</v>
      </c>
      <c r="F22" s="78">
        <f t="shared" si="6"/>
        <v>0.30901599612215225</v>
      </c>
      <c r="I22" s="77">
        <f t="shared" si="4"/>
        <v>0.37487073422957601</v>
      </c>
      <c r="J22" s="68">
        <f>SUMIFS(tbl_ZESPOŁY_dane[TS%],tbl_ZESPOŁY_dane[zespół],I$6,tbl_ZESPOŁY_dane[GW],$K$1)</f>
        <v>0.37487073422957601</v>
      </c>
      <c r="K22" s="66" t="s">
        <v>314</v>
      </c>
      <c r="L22" s="68">
        <f>SUMIFS(tbl_ZESPOŁY_dane[TS%],tbl_ZESPOŁY_dane[zespół],M$6,tbl_ZESPOŁY_dane[GW],$K$1)</f>
        <v>0.31038374717832962</v>
      </c>
      <c r="M22" s="78">
        <f t="shared" si="7"/>
        <v>0.31038374717832962</v>
      </c>
      <c r="P22" s="77">
        <f t="shared" si="5"/>
        <v>0.42395336512983567</v>
      </c>
      <c r="Q22" s="68">
        <f>SUMIFS(tbl_ZESPOŁY_dane[TS%],tbl_ZESPOŁY_dane[zespół],P$6,tbl_ZESPOŁY_dane[GW],$K$1)</f>
        <v>0.42395336512983567</v>
      </c>
      <c r="R22" s="66" t="s">
        <v>314</v>
      </c>
      <c r="S22" s="68">
        <f>SUMIFS(tbl_ZESPOŁY_dane[TS%],tbl_ZESPOŁY_dane[zespół],T$6,tbl_ZESPOŁY_dane[GW],$K$1)</f>
        <v>0.41367898510755657</v>
      </c>
      <c r="T22" s="78">
        <f t="shared" si="8"/>
        <v>0.41367898510755657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6</v>
      </c>
      <c r="C24" s="86">
        <f>SUMIFS(tbl_ZESPOŁY_dane[oreb],tbl_ZESPOŁY_dane[zespół],B$6,tbl_ZESPOŁY_dane[GW],$K$1)</f>
        <v>6</v>
      </c>
      <c r="D24" s="66" t="s">
        <v>308</v>
      </c>
      <c r="E24" s="86">
        <f>SUMIFS(tbl_ZESPOŁY_dane[oreb],tbl_ZESPOŁY_dane[zespół],F$6,tbl_ZESPOŁY_dane[GW],$K$1)</f>
        <v>20</v>
      </c>
      <c r="F24" s="76">
        <f t="shared" si="0"/>
        <v>20</v>
      </c>
      <c r="I24" s="76">
        <f t="shared" si="4"/>
        <v>10</v>
      </c>
      <c r="J24" s="86">
        <f>SUMIFS(tbl_ZESPOŁY_dane[oreb],tbl_ZESPOŁY_dane[zespół],I$6,tbl_ZESPOŁY_dane[GW],$K$1)</f>
        <v>10</v>
      </c>
      <c r="K24" s="66" t="s">
        <v>308</v>
      </c>
      <c r="L24" s="86">
        <f>SUMIFS(tbl_ZESPOŁY_dane[oreb],tbl_ZESPOŁY_dane[zespół],M$6,tbl_ZESPOŁY_dane[GW],$K$1)</f>
        <v>18</v>
      </c>
      <c r="M24" s="76">
        <f t="shared" si="1"/>
        <v>18</v>
      </c>
      <c r="P24" s="76">
        <f t="shared" si="5"/>
        <v>7</v>
      </c>
      <c r="Q24" s="86">
        <f>SUMIFS(tbl_ZESPOŁY_dane[oreb],tbl_ZESPOŁY_dane[zespół],P$6,tbl_ZESPOŁY_dane[GW],$K$1)</f>
        <v>7</v>
      </c>
      <c r="R24" s="66" t="s">
        <v>308</v>
      </c>
      <c r="S24" s="86">
        <f>SUMIFS(tbl_ZESPOŁY_dane[oreb],tbl_ZESPOŁY_dane[zespół],T$6,tbl_ZESPOŁY_dane[GW],$K$1)</f>
        <v>9</v>
      </c>
      <c r="T24" s="76">
        <f t="shared" si="2"/>
        <v>9</v>
      </c>
    </row>
    <row r="25" spans="2:20" ht="20" customHeight="1" x14ac:dyDescent="0.35">
      <c r="B25" s="76">
        <f t="shared" si="3"/>
        <v>29</v>
      </c>
      <c r="C25" s="86">
        <f>SUMIFS(tbl_ZESPOŁY_dane[dreb],tbl_ZESPOŁY_dane[zespół],B$6,tbl_ZESPOŁY_dane[GW],$K$1)</f>
        <v>29</v>
      </c>
      <c r="D25" s="66" t="s">
        <v>309</v>
      </c>
      <c r="E25" s="86">
        <f>SUMIFS(tbl_ZESPOŁY_dane[dreb],tbl_ZESPOŁY_dane[zespół],F$6,tbl_ZESPOŁY_dane[GW],$K$1)</f>
        <v>26</v>
      </c>
      <c r="F25" s="76">
        <f t="shared" si="0"/>
        <v>26</v>
      </c>
      <c r="I25" s="76">
        <f t="shared" si="4"/>
        <v>21</v>
      </c>
      <c r="J25" s="86">
        <f>SUMIFS(tbl_ZESPOŁY_dane[dreb],tbl_ZESPOŁY_dane[zespół],I$6,tbl_ZESPOŁY_dane[GW],$K$1)</f>
        <v>21</v>
      </c>
      <c r="K25" s="66" t="s">
        <v>309</v>
      </c>
      <c r="L25" s="86">
        <f>SUMIFS(tbl_ZESPOŁY_dane[dreb],tbl_ZESPOŁY_dane[zespół],M$6,tbl_ZESPOŁY_dane[GW],$K$1)</f>
        <v>27</v>
      </c>
      <c r="M25" s="76">
        <f t="shared" si="1"/>
        <v>27</v>
      </c>
      <c r="P25" s="76">
        <f t="shared" si="5"/>
        <v>30</v>
      </c>
      <c r="Q25" s="86">
        <f>SUMIFS(tbl_ZESPOŁY_dane[dreb],tbl_ZESPOŁY_dane[zespół],P$6,tbl_ZESPOŁY_dane[GW],$K$1)</f>
        <v>30</v>
      </c>
      <c r="R25" s="66" t="s">
        <v>309</v>
      </c>
      <c r="S25" s="86">
        <f>SUMIFS(tbl_ZESPOŁY_dane[dreb],tbl_ZESPOŁY_dane[zespół],T$6,tbl_ZESPOŁY_dane[GW],$K$1)</f>
        <v>32</v>
      </c>
      <c r="T25" s="76">
        <f t="shared" si="2"/>
        <v>32</v>
      </c>
    </row>
    <row r="26" spans="2:20" ht="20" customHeight="1" x14ac:dyDescent="0.35">
      <c r="B26" s="76">
        <f t="shared" si="3"/>
        <v>35</v>
      </c>
      <c r="C26" s="86">
        <f>SUMIFS(tbl_ZESPOŁY_dane[reb total],tbl_ZESPOŁY_dane[zespół],B$6,tbl_ZESPOŁY_dane[GW],$K$1)</f>
        <v>35</v>
      </c>
      <c r="D26" s="66" t="s">
        <v>310</v>
      </c>
      <c r="E26" s="86">
        <f>SUMIFS(tbl_ZESPOŁY_dane[reb total],tbl_ZESPOŁY_dane[zespół],F$6,tbl_ZESPOŁY_dane[GW],$K$1)</f>
        <v>46</v>
      </c>
      <c r="F26" s="76">
        <f t="shared" si="0"/>
        <v>46</v>
      </c>
      <c r="I26" s="76">
        <f t="shared" si="4"/>
        <v>31</v>
      </c>
      <c r="J26" s="86">
        <f>SUMIFS(tbl_ZESPOŁY_dane[reb total],tbl_ZESPOŁY_dane[zespół],I$6,tbl_ZESPOŁY_dane[GW],$K$1)</f>
        <v>31</v>
      </c>
      <c r="K26" s="66" t="s">
        <v>310</v>
      </c>
      <c r="L26" s="86">
        <f>SUMIFS(tbl_ZESPOŁY_dane[reb total],tbl_ZESPOŁY_dane[zespół],M$6,tbl_ZESPOŁY_dane[GW],$K$1)</f>
        <v>45</v>
      </c>
      <c r="M26" s="76">
        <f t="shared" si="1"/>
        <v>45</v>
      </c>
      <c r="P26" s="76">
        <f t="shared" si="5"/>
        <v>37</v>
      </c>
      <c r="Q26" s="86">
        <f>SUMIFS(tbl_ZESPOŁY_dane[reb total],tbl_ZESPOŁY_dane[zespół],P$6,tbl_ZESPOŁY_dane[GW],$K$1)</f>
        <v>37</v>
      </c>
      <c r="R26" s="66" t="s">
        <v>310</v>
      </c>
      <c r="S26" s="86">
        <f>SUMIFS(tbl_ZESPOŁY_dane[reb total],tbl_ZESPOŁY_dane[zespół],T$6,tbl_ZESPOŁY_dane[GW],$K$1)</f>
        <v>41</v>
      </c>
      <c r="T26" s="76">
        <f t="shared" si="2"/>
        <v>41</v>
      </c>
    </row>
    <row r="27" spans="2:20" ht="20" customHeight="1" x14ac:dyDescent="0.35">
      <c r="B27" s="76">
        <f t="shared" si="3"/>
        <v>9</v>
      </c>
      <c r="C27" s="86">
        <f>SUMIFS(tbl_ZESPOŁY_dane[asst],tbl_ZESPOŁY_dane[zespół],B$6,tbl_ZESPOŁY_dane[GW],$K$1)</f>
        <v>9</v>
      </c>
      <c r="D27" s="66" t="s">
        <v>311</v>
      </c>
      <c r="E27" s="86">
        <f>SUMIFS(tbl_ZESPOŁY_dane[asst],tbl_ZESPOŁY_dane[zespół],F$6,tbl_ZESPOŁY_dane[GW],$K$1)</f>
        <v>8</v>
      </c>
      <c r="F27" s="76">
        <f t="shared" si="0"/>
        <v>8</v>
      </c>
      <c r="I27" s="76">
        <f t="shared" si="4"/>
        <v>11</v>
      </c>
      <c r="J27" s="86">
        <f>SUMIFS(tbl_ZESPOŁY_dane[asst],tbl_ZESPOŁY_dane[zespół],I$6,tbl_ZESPOŁY_dane[GW],$K$1)</f>
        <v>11</v>
      </c>
      <c r="K27" s="66" t="s">
        <v>311</v>
      </c>
      <c r="L27" s="86">
        <f>SUMIFS(tbl_ZESPOŁY_dane[asst],tbl_ZESPOŁY_dane[zespół],M$6,tbl_ZESPOŁY_dane[GW],$K$1)</f>
        <v>9</v>
      </c>
      <c r="M27" s="76">
        <f t="shared" si="1"/>
        <v>9</v>
      </c>
      <c r="P27" s="76">
        <f t="shared" si="5"/>
        <v>16</v>
      </c>
      <c r="Q27" s="86">
        <f>SUMIFS(tbl_ZESPOŁY_dane[asst],tbl_ZESPOŁY_dane[zespół],P$6,tbl_ZESPOŁY_dane[GW],$K$1)</f>
        <v>16</v>
      </c>
      <c r="R27" s="66" t="s">
        <v>311</v>
      </c>
      <c r="S27" s="86">
        <f>SUMIFS(tbl_ZESPOŁY_dane[asst],tbl_ZESPOŁY_dane[zespół],T$6,tbl_ZESPOŁY_dane[GW],$K$1)</f>
        <v>15</v>
      </c>
      <c r="T27" s="76">
        <f t="shared" si="2"/>
        <v>15</v>
      </c>
    </row>
    <row r="28" spans="2:20" ht="20" customHeight="1" x14ac:dyDescent="0.35">
      <c r="B28" s="76">
        <f t="shared" si="3"/>
        <v>12</v>
      </c>
      <c r="C28" s="86">
        <f>SUMIFS(tbl_ZESPOŁY_dane[stl],tbl_ZESPOŁY_dane[zespół],B$6,tbl_ZESPOŁY_dane[GW],$K$1)</f>
        <v>12</v>
      </c>
      <c r="D28" s="66" t="s">
        <v>312</v>
      </c>
      <c r="E28" s="86">
        <f>SUMIFS(tbl_ZESPOŁY_dane[stl],tbl_ZESPOŁY_dane[zespół],F$6,tbl_ZESPOŁY_dane[GW],$K$1)</f>
        <v>10</v>
      </c>
      <c r="F28" s="76">
        <f t="shared" si="0"/>
        <v>10</v>
      </c>
      <c r="I28" s="76">
        <f t="shared" si="4"/>
        <v>19</v>
      </c>
      <c r="J28" s="86">
        <f>SUMIFS(tbl_ZESPOŁY_dane[stl],tbl_ZESPOŁY_dane[zespół],I$6,tbl_ZESPOŁY_dane[GW],$K$1)</f>
        <v>19</v>
      </c>
      <c r="K28" s="66" t="s">
        <v>312</v>
      </c>
      <c r="L28" s="86">
        <f>SUMIFS(tbl_ZESPOŁY_dane[stl],tbl_ZESPOŁY_dane[zespół],M$6,tbl_ZESPOŁY_dane[GW],$K$1)</f>
        <v>9</v>
      </c>
      <c r="M28" s="76">
        <f t="shared" si="1"/>
        <v>9</v>
      </c>
      <c r="P28" s="76">
        <f t="shared" si="5"/>
        <v>15</v>
      </c>
      <c r="Q28" s="86">
        <f>SUMIFS(tbl_ZESPOŁY_dane[stl],tbl_ZESPOŁY_dane[zespół],P$6,tbl_ZESPOŁY_dane[GW],$K$1)</f>
        <v>15</v>
      </c>
      <c r="R28" s="66" t="s">
        <v>312</v>
      </c>
      <c r="S28" s="86">
        <f>SUMIFS(tbl_ZESPOŁY_dane[stl],tbl_ZESPOŁY_dane[zespół],T$6,tbl_ZESPOŁY_dane[GW],$K$1)</f>
        <v>12</v>
      </c>
      <c r="T28" s="76">
        <f t="shared" si="2"/>
        <v>12</v>
      </c>
    </row>
    <row r="29" spans="2:20" ht="20" customHeight="1" x14ac:dyDescent="0.35">
      <c r="B29" s="76">
        <f t="shared" si="3"/>
        <v>7</v>
      </c>
      <c r="C29" s="86">
        <f>SUMIFS(tbl_ZESPOŁY_dane[blk],tbl_ZESPOŁY_dane[zespół],B$6,tbl_ZESPOŁY_dane[GW],$K$1)</f>
        <v>7</v>
      </c>
      <c r="D29" s="66" t="s">
        <v>313</v>
      </c>
      <c r="E29" s="86">
        <f>SUMIFS(tbl_ZESPOŁY_dane[blk],tbl_ZESPOŁY_dane[zespół],F$6,tbl_ZESPOŁY_dane[GW],$K$1)</f>
        <v>1</v>
      </c>
      <c r="F29" s="76">
        <f t="shared" si="0"/>
        <v>1</v>
      </c>
      <c r="I29" s="76">
        <f t="shared" si="4"/>
        <v>4</v>
      </c>
      <c r="J29" s="86">
        <f>SUMIFS(tbl_ZESPOŁY_dane[blk],tbl_ZESPOŁY_dane[zespół],I$6,tbl_ZESPOŁY_dane[GW],$K$1)</f>
        <v>4</v>
      </c>
      <c r="K29" s="66" t="s">
        <v>313</v>
      </c>
      <c r="L29" s="86">
        <f>SUMIFS(tbl_ZESPOŁY_dane[blk],tbl_ZESPOŁY_dane[zespół],M$6,tbl_ZESPOŁY_dane[GW],$K$1)</f>
        <v>6</v>
      </c>
      <c r="M29" s="76">
        <f t="shared" si="1"/>
        <v>6</v>
      </c>
      <c r="P29" s="76">
        <f t="shared" si="5"/>
        <v>1</v>
      </c>
      <c r="Q29" s="86">
        <f>SUMIFS(tbl_ZESPOŁY_dane[blk],tbl_ZESPOŁY_dane[zespół],P$6,tbl_ZESPOŁY_dane[GW],$K$1)</f>
        <v>1</v>
      </c>
      <c r="R29" s="66" t="s">
        <v>313</v>
      </c>
      <c r="S29" s="86">
        <f>SUMIFS(tbl_ZESPOŁY_dane[blk],tbl_ZESPOŁY_dane[zespół],T$6,tbl_ZESPOŁY_dane[GW],$K$1)</f>
        <v>3</v>
      </c>
      <c r="T29" s="76">
        <f t="shared" si="2"/>
        <v>3</v>
      </c>
    </row>
    <row r="30" spans="2:20" ht="20" customHeight="1" x14ac:dyDescent="0.35">
      <c r="B30" s="76">
        <f t="shared" si="3"/>
        <v>52.28</v>
      </c>
      <c r="C30" s="86">
        <f>SUMIFS(tbl_ZESPOŁY_dane[Poss],tbl_ZESPOŁY_dane[zespół],B$6,tbl_ZESPOŁY_dane[GW],$K$1)</f>
        <v>52.28</v>
      </c>
      <c r="D30" s="66" t="s">
        <v>317</v>
      </c>
      <c r="E30" s="86">
        <f>SUMIFS(tbl_ZESPOŁY_dane[Poss],tbl_ZESPOŁY_dane[zespół],F$6,tbl_ZESPOŁY_dane[GW],$K$1)</f>
        <v>62.519999999999996</v>
      </c>
      <c r="F30" s="76">
        <f t="shared" si="0"/>
        <v>62.519999999999996</v>
      </c>
      <c r="I30" s="76">
        <f t="shared" si="4"/>
        <v>67.36</v>
      </c>
      <c r="J30" s="86">
        <f>SUMIFS(tbl_ZESPOŁY_dane[Poss],tbl_ZESPOŁY_dane[zespół],I$6,tbl_ZESPOŁY_dane[GW],$K$1)</f>
        <v>67.36</v>
      </c>
      <c r="K30" s="66" t="s">
        <v>317</v>
      </c>
      <c r="L30" s="86">
        <f>SUMIFS(tbl_ZESPOŁY_dane[Poss],tbl_ZESPOŁY_dane[zespół],M$6,tbl_ZESPOŁY_dane[GW],$K$1)</f>
        <v>52.879999999999995</v>
      </c>
      <c r="M30" s="76">
        <f t="shared" si="1"/>
        <v>52.879999999999995</v>
      </c>
      <c r="P30" s="76">
        <f t="shared" si="5"/>
        <v>68.48</v>
      </c>
      <c r="Q30" s="86">
        <f>SUMIFS(tbl_ZESPOŁY_dane[Poss],tbl_ZESPOŁY_dane[zespół],P$6,tbl_ZESPOŁY_dane[GW],$K$1)</f>
        <v>68.48</v>
      </c>
      <c r="R30" s="66" t="s">
        <v>317</v>
      </c>
      <c r="S30" s="86">
        <f>SUMIFS(tbl_ZESPOŁY_dane[Poss],tbl_ZESPOŁY_dane[zespół],T$6,tbl_ZESPOŁY_dane[GW],$K$1)</f>
        <v>63.519999999999996</v>
      </c>
      <c r="T30" s="76">
        <f t="shared" si="2"/>
        <v>63.519999999999996</v>
      </c>
    </row>
    <row r="31" spans="2:20" ht="20" customHeight="1" x14ac:dyDescent="0.35">
      <c r="B31" s="76">
        <f t="shared" si="3"/>
        <v>80.336648814078032</v>
      </c>
      <c r="C31" s="85">
        <f>SUMIFS(tbl_ZESPOŁY_dane[Orating],tbl_ZESPOŁY_dane[zespół],B$6,tbl_ZESPOŁY_dane[GW],$K$1)</f>
        <v>80.336648814078032</v>
      </c>
      <c r="D31" s="66" t="s">
        <v>315</v>
      </c>
      <c r="E31" s="85">
        <f>SUMIFS(tbl_ZESPOŁY_dane[Orating],tbl_ZESPOŁY_dane[zespół],F$6,tbl_ZESPOŁY_dane[GW],$K$1)</f>
        <v>81.573896353167001</v>
      </c>
      <c r="F31" s="76">
        <f t="shared" si="0"/>
        <v>81.573896353167001</v>
      </c>
      <c r="I31" s="76">
        <f t="shared" si="4"/>
        <v>86.104513064133016</v>
      </c>
      <c r="J31" s="85">
        <f>SUMIFS(tbl_ZESPOŁY_dane[Orating],tbl_ZESPOŁY_dane[zespół],I$6,tbl_ZESPOŁY_dane[GW],$K$1)</f>
        <v>86.104513064133016</v>
      </c>
      <c r="K31" s="66" t="s">
        <v>315</v>
      </c>
      <c r="L31" s="85">
        <f>SUMIFS(tbl_ZESPOŁY_dane[Orating],tbl_ZESPOŁY_dane[zespół],M$6,tbl_ZESPOŁY_dane[GW],$K$1)</f>
        <v>83.207261724659602</v>
      </c>
      <c r="M31" s="76">
        <f t="shared" si="1"/>
        <v>83.207261724659602</v>
      </c>
      <c r="P31" s="76">
        <f t="shared" si="5"/>
        <v>93.45794392523365</v>
      </c>
      <c r="Q31" s="85">
        <f>SUMIFS(tbl_ZESPOŁY_dane[Orating],tbl_ZESPOŁY_dane[zespół],P$6,tbl_ZESPOŁY_dane[GW],$K$1)</f>
        <v>93.45794392523365</v>
      </c>
      <c r="R31" s="66" t="s">
        <v>315</v>
      </c>
      <c r="S31" s="85">
        <f>SUMIFS(tbl_ZESPOŁY_dane[Orating],tbl_ZESPOŁY_dane[zespół],T$6,tbl_ZESPOŁY_dane[GW],$K$1)</f>
        <v>94.458438287153655</v>
      </c>
      <c r="T31" s="76">
        <f t="shared" si="2"/>
        <v>94.458438287153655</v>
      </c>
    </row>
    <row r="32" spans="2:20" ht="20" customHeight="1" x14ac:dyDescent="0.35">
      <c r="B32" s="76">
        <f t="shared" si="3"/>
        <v>81.573896353167001</v>
      </c>
      <c r="C32" s="85">
        <f>SUMIFS(tbl_ZESPOŁY_dane[Drating],tbl_ZESPOŁY_dane[zespół],B$6,tbl_ZESPOŁY_dane[GW],$K$1)</f>
        <v>81.573896353167001</v>
      </c>
      <c r="D32" s="66" t="s">
        <v>316</v>
      </c>
      <c r="E32" s="85">
        <f>SUMIFS(tbl_ZESPOŁY_dane[Drating],tbl_ZESPOŁY_dane[zespół],F$6,tbl_ZESPOŁY_dane[GW],$K$1)</f>
        <v>80.336648814078032</v>
      </c>
      <c r="F32" s="76">
        <f t="shared" si="0"/>
        <v>80.336648814078032</v>
      </c>
      <c r="I32" s="76">
        <f t="shared" si="4"/>
        <v>83.207261724659602</v>
      </c>
      <c r="J32" s="85">
        <f>SUMIFS(tbl_ZESPOŁY_dane[Drating],tbl_ZESPOŁY_dane[zespół],I$6,tbl_ZESPOŁY_dane[GW],$K$1)</f>
        <v>83.207261724659602</v>
      </c>
      <c r="K32" s="66" t="s">
        <v>316</v>
      </c>
      <c r="L32" s="85">
        <f>SUMIFS(tbl_ZESPOŁY_dane[Drating],tbl_ZESPOŁY_dane[zespół],M$6,tbl_ZESPOŁY_dane[GW],$K$1)</f>
        <v>86.104513064133016</v>
      </c>
      <c r="M32" s="76">
        <f t="shared" si="1"/>
        <v>86.104513064133016</v>
      </c>
      <c r="P32" s="76">
        <f t="shared" si="5"/>
        <v>94.458438287153655</v>
      </c>
      <c r="Q32" s="85">
        <f>SUMIFS(tbl_ZESPOŁY_dane[Drating],tbl_ZESPOŁY_dane[zespół],P$6,tbl_ZESPOŁY_dane[GW],$K$1)</f>
        <v>94.458438287153655</v>
      </c>
      <c r="R32" s="66" t="s">
        <v>316</v>
      </c>
      <c r="S32" s="85">
        <f>SUMIFS(tbl_ZESPOŁY_dane[Drating],tbl_ZESPOŁY_dane[zespół],T$6,tbl_ZESPOŁY_dane[GW],$K$1)</f>
        <v>93.45794392523365</v>
      </c>
      <c r="T32" s="76">
        <f t="shared" si="2"/>
        <v>93.45794392523365</v>
      </c>
    </row>
  </sheetData>
  <sheetProtection algorithmName="SHA-512" hashValue="jZ6crYTXcbVAnv0ZtMi6uM25+nP6n4lxzoJE5j/Xyb6Zy1Xa/ueA+SzCEBkZHdJGETytXOQmNS0eUtxGA+jMWA==" saltValue="JswJcTNomaYQn8xZ7JSkMw==" spinCount="100000" sheet="1" objects="1" scenarios="1"/>
  <conditionalFormatting sqref="B8:B17">
    <cfRule type="dataBar" priority="24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{14911454-BCAF-4914-8966-BA04E40905E6}</x14:id>
        </ext>
      </extLst>
    </cfRule>
  </conditionalFormatting>
  <conditionalFormatting sqref="B19:B22">
    <cfRule type="dataBar" priority="22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{281A88C3-E3AF-4940-B1FD-588C1152461D}</x14:id>
        </ext>
      </extLst>
    </cfRule>
  </conditionalFormatting>
  <conditionalFormatting sqref="B24:B29">
    <cfRule type="dataBar" priority="20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{73B3A40B-6FE1-40BC-9078-690F4AE88F86}</x14:id>
        </ext>
      </extLst>
    </cfRule>
  </conditionalFormatting>
  <conditionalFormatting sqref="B30:B32">
    <cfRule type="dataBar" priority="18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{78156FC8-A04B-409C-AAF2-361D1F623158}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{568264CB-B5A7-4E3A-9064-4E3BD6338F44}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{385AD7FF-085C-4CC6-A7A2-318683CAEF47}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{4695D18D-3D24-4BF5-8BD5-D39B3034DE90}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{060D602B-C51A-4000-85B6-D338DF2D22B4}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{FF057ABA-7069-4F29-A4F9-662299E244B1}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{5357EEDA-EF90-4485-8A5D-BF4AFB8DFFA9}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{F2C922F3-E8CE-4D49-BD26-80D33C35FBDA}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{F5EA891E-7BD8-44B0-82BE-83EAF5361DB6}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{4988D1B9-A5F1-40BD-B43A-09C2068B6D5F}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{3B7701B8-9CA1-48AE-A13A-0F6685F3D8A7}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{A673E7EA-B240-4A3D-8678-E7CD1840C11F}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{EA65FCEB-838A-4624-8AD7-B8C0C630718E}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{99B15C88-0B4D-438A-9083-CAA617844E77}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{96ACDF25-D1B7-461C-A3B9-4D725893CACA}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{CED5DD25-6743-4D97-9F06-6CCDA2D6F0D8}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{0654E557-6368-4F7A-92AB-D1F3F7639A2A}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{AE32AF0C-46DB-43DC-92AE-4600AEFA05BC}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{4DFE5883-B39F-46D5-958B-6D5004C59F32}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{2B88DE6F-25BE-4707-91B3-BADECAEE9355}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{86EFEDFB-E3E5-429C-8A11-0344B07556C0}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911454-BCAF-4914-8966-BA04E40905E6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281A88C3-E3AF-4940-B1FD-588C1152461D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73B3A40B-6FE1-40BC-9078-690F4AE88F86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78156FC8-A04B-409C-AAF2-361D1F623158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568264CB-B5A7-4E3A-9064-4E3BD6338F44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385AD7FF-085C-4CC6-A7A2-318683CAEF47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4695D18D-3D24-4BF5-8BD5-D39B3034DE90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060D602B-C51A-4000-85B6-D338DF2D22B4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FF057ABA-7069-4F29-A4F9-662299E244B1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5357EEDA-EF90-4485-8A5D-BF4AFB8DFFA9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F2C922F3-E8CE-4D49-BD26-80D33C35FBDA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F5EA891E-7BD8-44B0-82BE-83EAF5361DB6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4988D1B9-A5F1-40BD-B43A-09C2068B6D5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3B7701B8-9CA1-48AE-A13A-0F6685F3D8A7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A673E7EA-B240-4A3D-8678-E7CD1840C11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EA65FCEB-838A-4624-8AD7-B8C0C630718E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99B15C88-0B4D-438A-9083-CAA617844E77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96ACDF25-D1B7-461C-A3B9-4D725893CACA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CED5DD25-6743-4D97-9F06-6CCDA2D6F0D8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0654E557-6368-4F7A-92AB-D1F3F7639A2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AE32AF0C-46DB-43DC-92AE-4600AEFA05BC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4DFE5883-B39F-46D5-958B-6D5004C59F32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2B88DE6F-25BE-4707-91B3-BADECAEE9355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86EFEDFB-E3E5-429C-8A11-0344B07556C0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C46B-6494-4E09-9898-1DF24C1049A7}">
  <dimension ref="A1:T32"/>
  <sheetViews>
    <sheetView workbookViewId="0">
      <selection activeCell="N17" sqref="N17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324</v>
      </c>
      <c r="C1" s="71"/>
      <c r="D1" s="71"/>
      <c r="E1" s="71"/>
      <c r="I1" s="74" t="s">
        <v>325</v>
      </c>
      <c r="J1" s="71"/>
      <c r="K1" s="75">
        <v>4</v>
      </c>
      <c r="L1" s="71"/>
      <c r="Q1" s="71"/>
      <c r="R1" s="71"/>
      <c r="S1" s="71"/>
    </row>
    <row r="4" spans="1:20" x14ac:dyDescent="0.35">
      <c r="B4" s="76" t="s">
        <v>326</v>
      </c>
      <c r="D4" s="83" t="s">
        <v>318</v>
      </c>
      <c r="F4" s="76"/>
      <c r="I4" s="76" t="s">
        <v>326</v>
      </c>
      <c r="K4" s="83" t="s">
        <v>318</v>
      </c>
      <c r="M4" s="76"/>
      <c r="P4" s="76" t="s">
        <v>326</v>
      </c>
      <c r="R4" s="83" t="s">
        <v>318</v>
      </c>
      <c r="T4" s="76"/>
    </row>
    <row r="5" spans="1:20" ht="20" customHeight="1" thickBot="1" x14ac:dyDescent="0.4">
      <c r="B5" s="76"/>
      <c r="D5" s="84">
        <f>$K$1</f>
        <v>4</v>
      </c>
      <c r="F5" s="76"/>
      <c r="I5" s="76"/>
      <c r="K5" s="84">
        <f>$K$1</f>
        <v>4</v>
      </c>
      <c r="M5" s="76"/>
      <c r="P5" s="76"/>
      <c r="R5" s="84">
        <f>$K$1</f>
        <v>4</v>
      </c>
      <c r="T5" s="76"/>
    </row>
    <row r="6" spans="1:20" s="87" customFormat="1" ht="40" customHeight="1" thickBot="1" x14ac:dyDescent="0.55000000000000004">
      <c r="B6" s="79" t="s">
        <v>46</v>
      </c>
      <c r="C6" s="80"/>
      <c r="D6" s="69"/>
      <c r="E6" s="81"/>
      <c r="F6" s="82" t="s">
        <v>19</v>
      </c>
      <c r="I6" s="79" t="s">
        <v>48</v>
      </c>
      <c r="J6" s="80"/>
      <c r="K6" s="69"/>
      <c r="L6" s="81"/>
      <c r="M6" s="79" t="s">
        <v>50</v>
      </c>
      <c r="P6" s="79" t="s">
        <v>52</v>
      </c>
      <c r="Q6" s="80"/>
      <c r="R6" s="69"/>
      <c r="S6" s="81"/>
      <c r="T6" s="82" t="s">
        <v>25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36</v>
      </c>
      <c r="C8" s="67">
        <f>SUMIFS(tbl_ZESPOŁY_dane[pts],tbl_ZESPOŁY_dane[zespół],B$6,tbl_ZESPOŁY_dane[GW],$K$1)</f>
        <v>36</v>
      </c>
      <c r="D8" s="66" t="s">
        <v>302</v>
      </c>
      <c r="E8" s="67">
        <f>SUMIFS(tbl_ZESPOŁY_dane[pts],tbl_ZESPOŁY_dane[zespół],F$6,tbl_ZESPOŁY_dane[GW],$K$1)</f>
        <v>41</v>
      </c>
      <c r="F8" s="76">
        <f>E8</f>
        <v>41</v>
      </c>
      <c r="I8" s="76">
        <f>J8</f>
        <v>58</v>
      </c>
      <c r="J8" s="67">
        <f>SUMIFS(tbl_ZESPOŁY_dane[pts],tbl_ZESPOŁY_dane[zespół],I$6,tbl_ZESPOŁY_dane[GW],$K$1)</f>
        <v>58</v>
      </c>
      <c r="K8" s="66" t="s">
        <v>302</v>
      </c>
      <c r="L8" s="67">
        <f>SUMIFS(tbl_ZESPOŁY_dane[pts],tbl_ZESPOŁY_dane[zespół],M$6,tbl_ZESPOŁY_dane[GW],$K$1)</f>
        <v>53</v>
      </c>
      <c r="M8" s="76">
        <f>L8</f>
        <v>53</v>
      </c>
      <c r="P8" s="76">
        <f>Q8</f>
        <v>71</v>
      </c>
      <c r="Q8" s="67">
        <f>SUMIFS(tbl_ZESPOŁY_dane[pts],tbl_ZESPOŁY_dane[zespół],P$6,tbl_ZESPOŁY_dane[GW],$K$1)</f>
        <v>71</v>
      </c>
      <c r="R8" s="66" t="s">
        <v>302</v>
      </c>
      <c r="S8" s="67">
        <f>SUMIFS(tbl_ZESPOŁY_dane[pts],tbl_ZESPOŁY_dane[zespół],T$6,tbl_ZESPOŁY_dane[GW],$K$1)</f>
        <v>50</v>
      </c>
      <c r="T8" s="76">
        <f>S8</f>
        <v>50</v>
      </c>
    </row>
    <row r="9" spans="1:20" ht="20" customHeight="1" x14ac:dyDescent="0.35">
      <c r="B9" s="76"/>
      <c r="C9" s="72"/>
      <c r="D9" s="65" t="s">
        <v>303</v>
      </c>
      <c r="E9" s="72"/>
      <c r="F9" s="76">
        <f t="shared" ref="F9:F32" si="0">E9</f>
        <v>0</v>
      </c>
      <c r="I9" s="76"/>
      <c r="J9" s="72"/>
      <c r="K9" s="65" t="s">
        <v>303</v>
      </c>
      <c r="L9" s="72"/>
      <c r="M9" s="76">
        <f t="shared" ref="M9:M32" si="1">L9</f>
        <v>0</v>
      </c>
      <c r="P9" s="76"/>
      <c r="Q9" s="72"/>
      <c r="R9" s="65" t="s">
        <v>303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14</v>
      </c>
      <c r="C10" s="67">
        <f>SUMIFS(tbl_ZESPOŁY_dane[fgm],tbl_ZESPOŁY_dane[zespół],B$6,tbl_ZESPOŁY_dane[GW],$K$1)</f>
        <v>14</v>
      </c>
      <c r="D10" s="66" t="s">
        <v>304</v>
      </c>
      <c r="E10" s="67">
        <f>SUMIFS(tbl_ZESPOŁY_dane[fgm],tbl_ZESPOŁY_dane[zespół],F$6,tbl_ZESPOŁY_dane[GW],$K$1)</f>
        <v>14</v>
      </c>
      <c r="F10" s="76">
        <f t="shared" si="0"/>
        <v>14</v>
      </c>
      <c r="I10" s="76">
        <f t="shared" ref="I10:I32" si="4">J10</f>
        <v>22</v>
      </c>
      <c r="J10" s="67">
        <f>SUMIFS(tbl_ZESPOŁY_dane[fgm],tbl_ZESPOŁY_dane[zespół],I$6,tbl_ZESPOŁY_dane[GW],$K$1)</f>
        <v>22</v>
      </c>
      <c r="K10" s="66" t="s">
        <v>304</v>
      </c>
      <c r="L10" s="67">
        <f>SUMIFS(tbl_ZESPOŁY_dane[fgm],tbl_ZESPOŁY_dane[zespół],M$6,tbl_ZESPOŁY_dane[GW],$K$1)</f>
        <v>20</v>
      </c>
      <c r="M10" s="76">
        <f t="shared" si="1"/>
        <v>20</v>
      </c>
      <c r="P10" s="76">
        <f t="shared" ref="P10:P32" si="5">Q10</f>
        <v>32</v>
      </c>
      <c r="Q10" s="67">
        <f>SUMIFS(tbl_ZESPOŁY_dane[fgm],tbl_ZESPOŁY_dane[zespół],P$6,tbl_ZESPOŁY_dane[GW],$K$1)</f>
        <v>32</v>
      </c>
      <c r="R10" s="66" t="s">
        <v>304</v>
      </c>
      <c r="S10" s="67">
        <f>SUMIFS(tbl_ZESPOŁY_dane[fgm],tbl_ZESPOŁY_dane[zespół],T$6,tbl_ZESPOŁY_dane[GW],$K$1)</f>
        <v>18</v>
      </c>
      <c r="T10" s="76">
        <f t="shared" si="2"/>
        <v>18</v>
      </c>
    </row>
    <row r="11" spans="1:20" ht="20" customHeight="1" x14ac:dyDescent="0.35">
      <c r="B11" s="76">
        <f t="shared" si="3"/>
        <v>58</v>
      </c>
      <c r="C11" s="67">
        <f>SUMIFS(tbl_ZESPOŁY_dane[fga],tbl_ZESPOŁY_dane[zespół],B$6,tbl_ZESPOŁY_dane[GW],$K$1)</f>
        <v>58</v>
      </c>
      <c r="D11" s="66" t="s">
        <v>305</v>
      </c>
      <c r="E11" s="67">
        <f>SUMIFS(tbl_ZESPOŁY_dane[fga],tbl_ZESPOŁY_dane[zespół],F$6,tbl_ZESPOŁY_dane[GW],$K$1)</f>
        <v>64</v>
      </c>
      <c r="F11" s="76">
        <f t="shared" si="0"/>
        <v>64</v>
      </c>
      <c r="I11" s="76">
        <f t="shared" si="4"/>
        <v>85</v>
      </c>
      <c r="J11" s="67">
        <f>SUMIFS(tbl_ZESPOŁY_dane[fga],tbl_ZESPOŁY_dane[zespół],I$6,tbl_ZESPOŁY_dane[GW],$K$1)</f>
        <v>85</v>
      </c>
      <c r="K11" s="66" t="s">
        <v>305</v>
      </c>
      <c r="L11" s="67">
        <f>SUMIFS(tbl_ZESPOŁY_dane[fga],tbl_ZESPOŁY_dane[zespół],M$6,tbl_ZESPOŁY_dane[GW],$K$1)</f>
        <v>71</v>
      </c>
      <c r="M11" s="76">
        <f t="shared" si="1"/>
        <v>71</v>
      </c>
      <c r="P11" s="76">
        <f t="shared" si="5"/>
        <v>80</v>
      </c>
      <c r="Q11" s="67">
        <f>SUMIFS(tbl_ZESPOŁY_dane[fga],tbl_ZESPOŁY_dane[zespół],P$6,tbl_ZESPOŁY_dane[GW],$K$1)</f>
        <v>80</v>
      </c>
      <c r="R11" s="66" t="s">
        <v>305</v>
      </c>
      <c r="S11" s="67">
        <f>SUMIFS(tbl_ZESPOŁY_dane[fga],tbl_ZESPOŁY_dane[zespół],T$6,tbl_ZESPOŁY_dane[GW],$K$1)</f>
        <v>67</v>
      </c>
      <c r="T11" s="76">
        <f t="shared" si="2"/>
        <v>67</v>
      </c>
    </row>
    <row r="12" spans="1:20" ht="20" customHeight="1" x14ac:dyDescent="0.35">
      <c r="B12" s="76"/>
      <c r="C12" s="72"/>
      <c r="D12" s="65" t="s">
        <v>306</v>
      </c>
      <c r="E12" s="72"/>
      <c r="F12" s="76">
        <f t="shared" si="0"/>
        <v>0</v>
      </c>
      <c r="I12" s="76"/>
      <c r="J12" s="72"/>
      <c r="K12" s="65" t="s">
        <v>306</v>
      </c>
      <c r="L12" s="72"/>
      <c r="M12" s="76">
        <f t="shared" si="1"/>
        <v>0</v>
      </c>
      <c r="P12" s="76"/>
      <c r="Q12" s="72"/>
      <c r="R12" s="65" t="s">
        <v>306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1</v>
      </c>
      <c r="C13" s="67">
        <f>SUMIFS(tbl_ZESPOŁY_dane[3pm],tbl_ZESPOŁY_dane[zespół],B$6,tbl_ZESPOŁY_dane[GW],$K$1)</f>
        <v>1</v>
      </c>
      <c r="D13" s="66" t="s">
        <v>304</v>
      </c>
      <c r="E13" s="67">
        <f>SUMIFS(tbl_ZESPOŁY_dane[3pm],tbl_ZESPOŁY_dane[zespół],F$6,tbl_ZESPOŁY_dane[GW],$K$1)</f>
        <v>3</v>
      </c>
      <c r="F13" s="76">
        <f t="shared" si="0"/>
        <v>3</v>
      </c>
      <c r="I13" s="76">
        <f t="shared" si="4"/>
        <v>5</v>
      </c>
      <c r="J13" s="67">
        <f>SUMIFS(tbl_ZESPOŁY_dane[3pm],tbl_ZESPOŁY_dane[zespół],I$6,tbl_ZESPOŁY_dane[GW],$K$1)</f>
        <v>5</v>
      </c>
      <c r="K13" s="66" t="s">
        <v>304</v>
      </c>
      <c r="L13" s="67">
        <f>SUMIFS(tbl_ZESPOŁY_dane[3pm],tbl_ZESPOŁY_dane[zespół],M$6,tbl_ZESPOŁY_dane[GW],$K$1)</f>
        <v>12</v>
      </c>
      <c r="M13" s="76">
        <f t="shared" si="1"/>
        <v>12</v>
      </c>
      <c r="P13" s="76">
        <f t="shared" si="5"/>
        <v>4</v>
      </c>
      <c r="Q13" s="67">
        <f>SUMIFS(tbl_ZESPOŁY_dane[3pm],tbl_ZESPOŁY_dane[zespół],P$6,tbl_ZESPOŁY_dane[GW],$K$1)</f>
        <v>4</v>
      </c>
      <c r="R13" s="66" t="s">
        <v>304</v>
      </c>
      <c r="S13" s="67">
        <f>SUMIFS(tbl_ZESPOŁY_dane[3pm],tbl_ZESPOŁY_dane[zespół],T$6,tbl_ZESPOŁY_dane[GW],$K$1)</f>
        <v>11</v>
      </c>
      <c r="T13" s="76">
        <f t="shared" si="2"/>
        <v>11</v>
      </c>
    </row>
    <row r="14" spans="1:20" ht="20" customHeight="1" x14ac:dyDescent="0.35">
      <c r="B14" s="76">
        <f t="shared" si="3"/>
        <v>19</v>
      </c>
      <c r="C14" s="67">
        <f>SUMIFS(tbl_ZESPOŁY_dane[3pa],tbl_ZESPOŁY_dane[zespół],B$6,tbl_ZESPOŁY_dane[GW],$K$1)</f>
        <v>19</v>
      </c>
      <c r="D14" s="66" t="s">
        <v>305</v>
      </c>
      <c r="E14" s="67">
        <f>SUMIFS(tbl_ZESPOŁY_dane[3pa],tbl_ZESPOŁY_dane[zespół],F$6,tbl_ZESPOŁY_dane[GW],$K$1)</f>
        <v>16</v>
      </c>
      <c r="F14" s="76">
        <f t="shared" si="0"/>
        <v>16</v>
      </c>
      <c r="I14" s="76">
        <f t="shared" si="4"/>
        <v>28</v>
      </c>
      <c r="J14" s="67">
        <f>SUMIFS(tbl_ZESPOŁY_dane[3pa],tbl_ZESPOŁY_dane[zespół],I$6,tbl_ZESPOŁY_dane[GW],$K$1)</f>
        <v>28</v>
      </c>
      <c r="K14" s="66" t="s">
        <v>305</v>
      </c>
      <c r="L14" s="67">
        <f>SUMIFS(tbl_ZESPOŁY_dane[3pa],tbl_ZESPOŁY_dane[zespół],M$6,tbl_ZESPOŁY_dane[GW],$K$1)</f>
        <v>41</v>
      </c>
      <c r="M14" s="76">
        <f t="shared" si="1"/>
        <v>41</v>
      </c>
      <c r="P14" s="76">
        <f t="shared" si="5"/>
        <v>15</v>
      </c>
      <c r="Q14" s="67">
        <f>SUMIFS(tbl_ZESPOŁY_dane[3pa],tbl_ZESPOŁY_dane[zespół],P$6,tbl_ZESPOŁY_dane[GW],$K$1)</f>
        <v>15</v>
      </c>
      <c r="R14" s="66" t="s">
        <v>305</v>
      </c>
      <c r="S14" s="67">
        <f>SUMIFS(tbl_ZESPOŁY_dane[3pa],tbl_ZESPOŁY_dane[zespół],T$6,tbl_ZESPOŁY_dane[GW],$K$1)</f>
        <v>45</v>
      </c>
      <c r="T14" s="76">
        <f t="shared" si="2"/>
        <v>45</v>
      </c>
    </row>
    <row r="15" spans="1:20" ht="20" customHeight="1" x14ac:dyDescent="0.35">
      <c r="B15" s="76"/>
      <c r="C15" s="72"/>
      <c r="D15" s="65" t="s">
        <v>307</v>
      </c>
      <c r="E15" s="72"/>
      <c r="F15" s="76">
        <f t="shared" si="0"/>
        <v>0</v>
      </c>
      <c r="I15" s="76"/>
      <c r="J15" s="72"/>
      <c r="K15" s="65" t="s">
        <v>307</v>
      </c>
      <c r="L15" s="72"/>
      <c r="M15" s="76">
        <f t="shared" si="1"/>
        <v>0</v>
      </c>
      <c r="P15" s="76"/>
      <c r="Q15" s="72"/>
      <c r="R15" s="65" t="s">
        <v>307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7</v>
      </c>
      <c r="C16" s="67">
        <f>SUMIFS(tbl_ZESPOŁY_dane[ftm],tbl_ZESPOŁY_dane[zespół],B$6,tbl_ZESPOŁY_dane[GW],$K$1)</f>
        <v>7</v>
      </c>
      <c r="D16" s="66" t="s">
        <v>304</v>
      </c>
      <c r="E16" s="67">
        <f>SUMIFS(tbl_ZESPOŁY_dane[ftm],tbl_ZESPOŁY_dane[zespół],F$6,tbl_ZESPOŁY_dane[GW],$K$1)</f>
        <v>10</v>
      </c>
      <c r="F16" s="76">
        <f t="shared" si="0"/>
        <v>10</v>
      </c>
      <c r="I16" s="76">
        <f t="shared" si="4"/>
        <v>9</v>
      </c>
      <c r="J16" s="67">
        <f>SUMIFS(tbl_ZESPOŁY_dane[ftm],tbl_ZESPOŁY_dane[zespół],I$6,tbl_ZESPOŁY_dane[GW],$K$1)</f>
        <v>9</v>
      </c>
      <c r="K16" s="66" t="s">
        <v>304</v>
      </c>
      <c r="L16" s="67">
        <f>SUMIFS(tbl_ZESPOŁY_dane[ftm],tbl_ZESPOŁY_dane[zespół],M$6,tbl_ZESPOŁY_dane[GW],$K$1)</f>
        <v>1</v>
      </c>
      <c r="M16" s="76">
        <f t="shared" si="1"/>
        <v>1</v>
      </c>
      <c r="P16" s="76">
        <f t="shared" si="5"/>
        <v>3</v>
      </c>
      <c r="Q16" s="67">
        <f>SUMIFS(tbl_ZESPOŁY_dane[ftm],tbl_ZESPOŁY_dane[zespół],P$6,tbl_ZESPOŁY_dane[GW],$K$1)</f>
        <v>3</v>
      </c>
      <c r="R16" s="66" t="s">
        <v>304</v>
      </c>
      <c r="S16" s="67">
        <f>SUMIFS(tbl_ZESPOŁY_dane[ftm],tbl_ZESPOŁY_dane[zespół],T$6,tbl_ZESPOŁY_dane[GW],$K$1)</f>
        <v>1</v>
      </c>
      <c r="T16" s="76">
        <f t="shared" si="2"/>
        <v>1</v>
      </c>
    </row>
    <row r="17" spans="2:20" ht="20" customHeight="1" x14ac:dyDescent="0.35">
      <c r="B17" s="76">
        <f t="shared" si="3"/>
        <v>14</v>
      </c>
      <c r="C17" s="67">
        <f>SUMIFS(tbl_ZESPOŁY_dane[fta],tbl_ZESPOŁY_dane[zespół],B$6,tbl_ZESPOŁY_dane[GW],$K$1)</f>
        <v>14</v>
      </c>
      <c r="D17" s="66" t="s">
        <v>305</v>
      </c>
      <c r="E17" s="67">
        <f>SUMIFS(tbl_ZESPOŁY_dane[fta],tbl_ZESPOŁY_dane[zespół],F$6,tbl_ZESPOŁY_dane[GW],$K$1)</f>
        <v>14</v>
      </c>
      <c r="F17" s="76">
        <f t="shared" si="0"/>
        <v>14</v>
      </c>
      <c r="I17" s="76">
        <f t="shared" si="4"/>
        <v>21</v>
      </c>
      <c r="J17" s="67">
        <f>SUMIFS(tbl_ZESPOŁY_dane[fta],tbl_ZESPOŁY_dane[zespół],I$6,tbl_ZESPOŁY_dane[GW],$K$1)</f>
        <v>21</v>
      </c>
      <c r="K17" s="66" t="s">
        <v>305</v>
      </c>
      <c r="L17" s="67">
        <f>SUMIFS(tbl_ZESPOŁY_dane[fta],tbl_ZESPOŁY_dane[zespół],M$6,tbl_ZESPOŁY_dane[GW],$K$1)</f>
        <v>1</v>
      </c>
      <c r="M17" s="76">
        <f t="shared" si="1"/>
        <v>1</v>
      </c>
      <c r="P17" s="76">
        <f t="shared" si="5"/>
        <v>5</v>
      </c>
      <c r="Q17" s="67">
        <f>SUMIFS(tbl_ZESPOŁY_dane[fta],tbl_ZESPOŁY_dane[zespół],P$6,tbl_ZESPOŁY_dane[GW],$K$1)</f>
        <v>5</v>
      </c>
      <c r="R17" s="66" t="s">
        <v>305</v>
      </c>
      <c r="S17" s="67">
        <f>SUMIFS(tbl_ZESPOŁY_dane[fta],tbl_ZESPOŁY_dane[zespół],T$6,tbl_ZESPOŁY_dane[GW],$K$1)</f>
        <v>6</v>
      </c>
      <c r="T17" s="76">
        <f t="shared" si="2"/>
        <v>6</v>
      </c>
    </row>
    <row r="18" spans="2:20" ht="20" customHeight="1" x14ac:dyDescent="0.35">
      <c r="B18" s="76"/>
      <c r="C18" s="72"/>
      <c r="D18" s="65" t="s">
        <v>319</v>
      </c>
      <c r="E18" s="72"/>
      <c r="F18" s="76"/>
      <c r="I18" s="76"/>
      <c r="J18" s="72"/>
      <c r="K18" s="65" t="s">
        <v>319</v>
      </c>
      <c r="L18" s="72"/>
      <c r="M18" s="76"/>
      <c r="P18" s="76"/>
      <c r="Q18" s="72"/>
      <c r="R18" s="65" t="s">
        <v>319</v>
      </c>
      <c r="S18" s="72"/>
      <c r="T18" s="76"/>
    </row>
    <row r="19" spans="2:20" ht="20" customHeight="1" x14ac:dyDescent="0.35">
      <c r="B19" s="77">
        <f t="shared" si="3"/>
        <v>0.33333333333333331</v>
      </c>
      <c r="C19" s="68">
        <f>SUMIFS(tbl_ZESPOŁY_dane[2P%],tbl_ZESPOŁY_dane[zespół],B$6,tbl_ZESPOŁY_dane[GW],$K$1)</f>
        <v>0.33333333333333331</v>
      </c>
      <c r="D19" s="66" t="s">
        <v>320</v>
      </c>
      <c r="E19" s="68">
        <f>SUMIFS(tbl_ZESPOŁY_dane[2P%],tbl_ZESPOŁY_dane[zespół],F$6,tbl_ZESPOŁY_dane[GW],$K$1)</f>
        <v>0.22916666666666666</v>
      </c>
      <c r="F19" s="78">
        <f>E19</f>
        <v>0.22916666666666666</v>
      </c>
      <c r="I19" s="77">
        <f t="shared" si="4"/>
        <v>0.2982456140350877</v>
      </c>
      <c r="J19" s="68">
        <f>SUMIFS(tbl_ZESPOŁY_dane[2P%],tbl_ZESPOŁY_dane[zespół],I$6,tbl_ZESPOŁY_dane[GW],$K$1)</f>
        <v>0.2982456140350877</v>
      </c>
      <c r="K19" s="66" t="s">
        <v>320</v>
      </c>
      <c r="L19" s="68">
        <f>SUMIFS(tbl_ZESPOŁY_dane[2P%],tbl_ZESPOŁY_dane[zespół],M$6,tbl_ZESPOŁY_dane[GW],$K$1)</f>
        <v>0.26666666666666666</v>
      </c>
      <c r="M19" s="78">
        <f>L19</f>
        <v>0.26666666666666666</v>
      </c>
      <c r="P19" s="77">
        <f t="shared" si="5"/>
        <v>0.43076923076923079</v>
      </c>
      <c r="Q19" s="68">
        <f>SUMIFS(tbl_ZESPOŁY_dane[2P%],tbl_ZESPOŁY_dane[zespół],P$6,tbl_ZESPOŁY_dane[GW],$K$1)</f>
        <v>0.43076923076923079</v>
      </c>
      <c r="R19" s="66" t="s">
        <v>320</v>
      </c>
      <c r="S19" s="68">
        <f>SUMIFS(tbl_ZESPOŁY_dane[2P%],tbl_ZESPOŁY_dane[zespół],T$6,tbl_ZESPOŁY_dane[GW],$K$1)</f>
        <v>0.31818181818181818</v>
      </c>
      <c r="T19" s="78">
        <f>S19</f>
        <v>0.31818181818181818</v>
      </c>
    </row>
    <row r="20" spans="2:20" ht="20" customHeight="1" x14ac:dyDescent="0.35">
      <c r="B20" s="77">
        <f t="shared" si="3"/>
        <v>5.2631578947368418E-2</v>
      </c>
      <c r="C20" s="68">
        <f>SUMIFS(tbl_ZESPOŁY_dane[3p%],tbl_ZESPOŁY_dane[zespół],B$6,tbl_ZESPOŁY_dane[GW],$K$1)</f>
        <v>5.2631578947368418E-2</v>
      </c>
      <c r="D20" s="66" t="s">
        <v>321</v>
      </c>
      <c r="E20" s="68">
        <f>SUMIFS(tbl_ZESPOŁY_dane[3p%],tbl_ZESPOŁY_dane[zespół],F$6,tbl_ZESPOŁY_dane[GW],$K$1)</f>
        <v>0.1875</v>
      </c>
      <c r="F20" s="78">
        <f t="shared" ref="F20:F22" si="6">E20</f>
        <v>0.1875</v>
      </c>
      <c r="I20" s="77">
        <f t="shared" si="4"/>
        <v>0.17857142857142858</v>
      </c>
      <c r="J20" s="68">
        <f>SUMIFS(tbl_ZESPOŁY_dane[3p%],tbl_ZESPOŁY_dane[zespół],I$6,tbl_ZESPOŁY_dane[GW],$K$1)</f>
        <v>0.17857142857142858</v>
      </c>
      <c r="K20" s="66" t="s">
        <v>321</v>
      </c>
      <c r="L20" s="68">
        <f>SUMIFS(tbl_ZESPOŁY_dane[3p%],tbl_ZESPOŁY_dane[zespół],M$6,tbl_ZESPOŁY_dane[GW],$K$1)</f>
        <v>0.29268292682926828</v>
      </c>
      <c r="M20" s="78">
        <f t="shared" ref="M20:M22" si="7">L20</f>
        <v>0.29268292682926828</v>
      </c>
      <c r="P20" s="77">
        <f t="shared" si="5"/>
        <v>0.26666666666666666</v>
      </c>
      <c r="Q20" s="68">
        <f>SUMIFS(tbl_ZESPOŁY_dane[3p%],tbl_ZESPOŁY_dane[zespół],P$6,tbl_ZESPOŁY_dane[GW],$K$1)</f>
        <v>0.26666666666666666</v>
      </c>
      <c r="R20" s="66" t="s">
        <v>321</v>
      </c>
      <c r="S20" s="68">
        <f>SUMIFS(tbl_ZESPOŁY_dane[3p%],tbl_ZESPOŁY_dane[zespół],T$6,tbl_ZESPOŁY_dane[GW],$K$1)</f>
        <v>0.24444444444444444</v>
      </c>
      <c r="T20" s="78">
        <f t="shared" ref="T20:T22" si="8">S20</f>
        <v>0.24444444444444444</v>
      </c>
    </row>
    <row r="21" spans="2:20" ht="20" customHeight="1" x14ac:dyDescent="0.35">
      <c r="B21" s="77">
        <f t="shared" si="3"/>
        <v>0.5</v>
      </c>
      <c r="C21" s="68">
        <f>SUMIFS(tbl_ZESPOŁY_dane[ft%],tbl_ZESPOŁY_dane[zespół],B$6,tbl_ZESPOŁY_dane[GW],$K$1)</f>
        <v>0.5</v>
      </c>
      <c r="D21" s="66" t="s">
        <v>322</v>
      </c>
      <c r="E21" s="68">
        <f>SUMIFS(tbl_ZESPOŁY_dane[ft%],tbl_ZESPOŁY_dane[zespół],F$6,tbl_ZESPOŁY_dane[GW],$K$1)</f>
        <v>0.7142857142857143</v>
      </c>
      <c r="F21" s="78">
        <f t="shared" si="6"/>
        <v>0.7142857142857143</v>
      </c>
      <c r="I21" s="77">
        <f t="shared" si="4"/>
        <v>0.42857142857142855</v>
      </c>
      <c r="J21" s="68">
        <f>SUMIFS(tbl_ZESPOŁY_dane[ft%],tbl_ZESPOŁY_dane[zespół],I$6,tbl_ZESPOŁY_dane[GW],$K$1)</f>
        <v>0.42857142857142855</v>
      </c>
      <c r="K21" s="66" t="s">
        <v>322</v>
      </c>
      <c r="L21" s="68">
        <f>SUMIFS(tbl_ZESPOŁY_dane[ft%],tbl_ZESPOŁY_dane[zespół],M$6,tbl_ZESPOŁY_dane[GW],$K$1)</f>
        <v>1</v>
      </c>
      <c r="M21" s="78">
        <f t="shared" si="7"/>
        <v>1</v>
      </c>
      <c r="P21" s="77">
        <f t="shared" si="5"/>
        <v>0.6</v>
      </c>
      <c r="Q21" s="68">
        <f>SUMIFS(tbl_ZESPOŁY_dane[ft%],tbl_ZESPOŁY_dane[zespół],P$6,tbl_ZESPOŁY_dane[GW],$K$1)</f>
        <v>0.6</v>
      </c>
      <c r="R21" s="66" t="s">
        <v>322</v>
      </c>
      <c r="S21" s="68">
        <f>SUMIFS(tbl_ZESPOŁY_dane[ft%],tbl_ZESPOŁY_dane[zespół],T$6,tbl_ZESPOŁY_dane[GW],$K$1)</f>
        <v>0.16666666666666666</v>
      </c>
      <c r="T21" s="78">
        <f t="shared" si="8"/>
        <v>0.16666666666666666</v>
      </c>
    </row>
    <row r="22" spans="2:20" ht="20" customHeight="1" x14ac:dyDescent="0.35">
      <c r="B22" s="77">
        <f t="shared" si="3"/>
        <v>0.28054862842892769</v>
      </c>
      <c r="C22" s="68">
        <f>SUMIFS(tbl_ZESPOŁY_dane[TS%],tbl_ZESPOŁY_dane[zespół],B$6,tbl_ZESPOŁY_dane[GW],$K$1)</f>
        <v>0.28054862842892769</v>
      </c>
      <c r="D22" s="66" t="s">
        <v>314</v>
      </c>
      <c r="E22" s="68">
        <f>SUMIFS(tbl_ZESPOŁY_dane[TS%],tbl_ZESPOŁY_dane[zespół],F$6,tbl_ZESPOŁY_dane[GW],$K$1)</f>
        <v>0.29218928164196123</v>
      </c>
      <c r="F22" s="78">
        <f t="shared" si="6"/>
        <v>0.29218928164196123</v>
      </c>
      <c r="I22" s="77">
        <f t="shared" si="4"/>
        <v>0.30772495755517826</v>
      </c>
      <c r="J22" s="68">
        <f>SUMIFS(tbl_ZESPOŁY_dane[TS%],tbl_ZESPOŁY_dane[zespół],I$6,tbl_ZESPOŁY_dane[GW],$K$1)</f>
        <v>0.30772495755517826</v>
      </c>
      <c r="K22" s="66" t="s">
        <v>314</v>
      </c>
      <c r="L22" s="68">
        <f>SUMIFS(tbl_ZESPOŁY_dane[TS%],tbl_ZESPOŁY_dane[zespół],M$6,tbl_ZESPOŁY_dane[GW],$K$1)</f>
        <v>0.37094064949608063</v>
      </c>
      <c r="M22" s="78">
        <f t="shared" si="7"/>
        <v>0.37094064949608063</v>
      </c>
      <c r="P22" s="77">
        <f t="shared" si="5"/>
        <v>0.43187347931873477</v>
      </c>
      <c r="Q22" s="68">
        <f>SUMIFS(tbl_ZESPOŁY_dane[TS%],tbl_ZESPOŁY_dane[zespół],P$6,tbl_ZESPOŁY_dane[GW],$K$1)</f>
        <v>0.43187347931873477</v>
      </c>
      <c r="R22" s="66" t="s">
        <v>314</v>
      </c>
      <c r="S22" s="68">
        <f>SUMIFS(tbl_ZESPOŁY_dane[TS%],tbl_ZESPOŁY_dane[zespół],T$6,tbl_ZESPOŁY_dane[GW],$K$1)</f>
        <v>0.35898908673176333</v>
      </c>
      <c r="T22" s="78">
        <f t="shared" si="8"/>
        <v>0.35898908673176333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14</v>
      </c>
      <c r="C24" s="86">
        <f>SUMIFS(tbl_ZESPOŁY_dane[oreb],tbl_ZESPOŁY_dane[zespół],B$6,tbl_ZESPOŁY_dane[GW],$K$1)</f>
        <v>14</v>
      </c>
      <c r="D24" s="66" t="s">
        <v>308</v>
      </c>
      <c r="E24" s="86">
        <f>SUMIFS(tbl_ZESPOŁY_dane[oreb],tbl_ZESPOŁY_dane[zespół],F$6,tbl_ZESPOŁY_dane[GW],$K$1)</f>
        <v>18</v>
      </c>
      <c r="F24" s="76">
        <f t="shared" si="0"/>
        <v>18</v>
      </c>
      <c r="I24" s="76">
        <f t="shared" si="4"/>
        <v>17</v>
      </c>
      <c r="J24" s="86">
        <f>SUMIFS(tbl_ZESPOŁY_dane[oreb],tbl_ZESPOŁY_dane[zespół],I$6,tbl_ZESPOŁY_dane[GW],$K$1)</f>
        <v>17</v>
      </c>
      <c r="K24" s="66" t="s">
        <v>308</v>
      </c>
      <c r="L24" s="86">
        <f>SUMIFS(tbl_ZESPOŁY_dane[oreb],tbl_ZESPOŁY_dane[zespół],M$6,tbl_ZESPOŁY_dane[GW],$K$1)</f>
        <v>9</v>
      </c>
      <c r="M24" s="76">
        <f t="shared" si="1"/>
        <v>9</v>
      </c>
      <c r="P24" s="76">
        <f t="shared" si="5"/>
        <v>16</v>
      </c>
      <c r="Q24" s="86">
        <f>SUMIFS(tbl_ZESPOŁY_dane[oreb],tbl_ZESPOŁY_dane[zespół],P$6,tbl_ZESPOŁY_dane[GW],$K$1)</f>
        <v>16</v>
      </c>
      <c r="R24" s="66" t="s">
        <v>308</v>
      </c>
      <c r="S24" s="86">
        <f>SUMIFS(tbl_ZESPOŁY_dane[oreb],tbl_ZESPOŁY_dane[zespół],T$6,tbl_ZESPOŁY_dane[GW],$K$1)</f>
        <v>14</v>
      </c>
      <c r="T24" s="76">
        <f t="shared" si="2"/>
        <v>14</v>
      </c>
    </row>
    <row r="25" spans="2:20" ht="20" customHeight="1" x14ac:dyDescent="0.35">
      <c r="B25" s="76">
        <f t="shared" si="3"/>
        <v>29</v>
      </c>
      <c r="C25" s="86">
        <f>SUMIFS(tbl_ZESPOŁY_dane[dreb],tbl_ZESPOŁY_dane[zespół],B$6,tbl_ZESPOŁY_dane[GW],$K$1)</f>
        <v>29</v>
      </c>
      <c r="D25" s="66" t="s">
        <v>309</v>
      </c>
      <c r="E25" s="86">
        <f>SUMIFS(tbl_ZESPOŁY_dane[dreb],tbl_ZESPOŁY_dane[zespół],F$6,tbl_ZESPOŁY_dane[GW],$K$1)</f>
        <v>28</v>
      </c>
      <c r="F25" s="76">
        <f t="shared" si="0"/>
        <v>28</v>
      </c>
      <c r="I25" s="76">
        <f t="shared" si="4"/>
        <v>32</v>
      </c>
      <c r="J25" s="86">
        <f>SUMIFS(tbl_ZESPOŁY_dane[dreb],tbl_ZESPOŁY_dane[zespół],I$6,tbl_ZESPOŁY_dane[GW],$K$1)</f>
        <v>32</v>
      </c>
      <c r="K25" s="66" t="s">
        <v>309</v>
      </c>
      <c r="L25" s="86">
        <f>SUMIFS(tbl_ZESPOŁY_dane[dreb],tbl_ZESPOŁY_dane[zespół],M$6,tbl_ZESPOŁY_dane[GW],$K$1)</f>
        <v>42</v>
      </c>
      <c r="M25" s="76">
        <f t="shared" si="1"/>
        <v>42</v>
      </c>
      <c r="P25" s="76">
        <f t="shared" si="5"/>
        <v>33</v>
      </c>
      <c r="Q25" s="86">
        <f>SUMIFS(tbl_ZESPOŁY_dane[dreb],tbl_ZESPOŁY_dane[zespół],P$6,tbl_ZESPOŁY_dane[GW],$K$1)</f>
        <v>33</v>
      </c>
      <c r="R25" s="66" t="s">
        <v>309</v>
      </c>
      <c r="S25" s="86">
        <f>SUMIFS(tbl_ZESPOŁY_dane[dreb],tbl_ZESPOŁY_dane[zespół],T$6,tbl_ZESPOŁY_dane[GW],$K$1)</f>
        <v>31</v>
      </c>
      <c r="T25" s="76">
        <f t="shared" si="2"/>
        <v>31</v>
      </c>
    </row>
    <row r="26" spans="2:20" ht="20" customHeight="1" x14ac:dyDescent="0.35">
      <c r="B26" s="76">
        <f t="shared" si="3"/>
        <v>43</v>
      </c>
      <c r="C26" s="86">
        <f>SUMIFS(tbl_ZESPOŁY_dane[reb total],tbl_ZESPOŁY_dane[zespół],B$6,tbl_ZESPOŁY_dane[GW],$K$1)</f>
        <v>43</v>
      </c>
      <c r="D26" s="66" t="s">
        <v>310</v>
      </c>
      <c r="E26" s="86">
        <f>SUMIFS(tbl_ZESPOŁY_dane[reb total],tbl_ZESPOŁY_dane[zespół],F$6,tbl_ZESPOŁY_dane[GW],$K$1)</f>
        <v>46</v>
      </c>
      <c r="F26" s="76">
        <f t="shared" si="0"/>
        <v>46</v>
      </c>
      <c r="I26" s="76">
        <f t="shared" si="4"/>
        <v>49</v>
      </c>
      <c r="J26" s="86">
        <f>SUMIFS(tbl_ZESPOŁY_dane[reb total],tbl_ZESPOŁY_dane[zespół],I$6,tbl_ZESPOŁY_dane[GW],$K$1)</f>
        <v>49</v>
      </c>
      <c r="K26" s="66" t="s">
        <v>310</v>
      </c>
      <c r="L26" s="86">
        <f>SUMIFS(tbl_ZESPOŁY_dane[reb total],tbl_ZESPOŁY_dane[zespół],M$6,tbl_ZESPOŁY_dane[GW],$K$1)</f>
        <v>51</v>
      </c>
      <c r="M26" s="76">
        <f t="shared" si="1"/>
        <v>51</v>
      </c>
      <c r="P26" s="76">
        <f t="shared" si="5"/>
        <v>49</v>
      </c>
      <c r="Q26" s="86">
        <f>SUMIFS(tbl_ZESPOŁY_dane[reb total],tbl_ZESPOŁY_dane[zespół],P$6,tbl_ZESPOŁY_dane[GW],$K$1)</f>
        <v>49</v>
      </c>
      <c r="R26" s="66" t="s">
        <v>310</v>
      </c>
      <c r="S26" s="86">
        <f>SUMIFS(tbl_ZESPOŁY_dane[reb total],tbl_ZESPOŁY_dane[zespół],T$6,tbl_ZESPOŁY_dane[GW],$K$1)</f>
        <v>45</v>
      </c>
      <c r="T26" s="76">
        <f t="shared" si="2"/>
        <v>45</v>
      </c>
    </row>
    <row r="27" spans="2:20" ht="20" customHeight="1" x14ac:dyDescent="0.35">
      <c r="B27" s="76">
        <f t="shared" si="3"/>
        <v>10</v>
      </c>
      <c r="C27" s="86">
        <f>SUMIFS(tbl_ZESPOŁY_dane[asst],tbl_ZESPOŁY_dane[zespół],B$6,tbl_ZESPOŁY_dane[GW],$K$1)</f>
        <v>10</v>
      </c>
      <c r="D27" s="66" t="s">
        <v>311</v>
      </c>
      <c r="E27" s="86">
        <f>SUMIFS(tbl_ZESPOŁY_dane[asst],tbl_ZESPOŁY_dane[zespół],F$6,tbl_ZESPOŁY_dane[GW],$K$1)</f>
        <v>9</v>
      </c>
      <c r="F27" s="76">
        <f t="shared" si="0"/>
        <v>9</v>
      </c>
      <c r="I27" s="76">
        <f t="shared" si="4"/>
        <v>11</v>
      </c>
      <c r="J27" s="86">
        <f>SUMIFS(tbl_ZESPOŁY_dane[asst],tbl_ZESPOŁY_dane[zespół],I$6,tbl_ZESPOŁY_dane[GW],$K$1)</f>
        <v>11</v>
      </c>
      <c r="K27" s="66" t="s">
        <v>311</v>
      </c>
      <c r="L27" s="86">
        <f>SUMIFS(tbl_ZESPOŁY_dane[asst],tbl_ZESPOŁY_dane[zespół],M$6,tbl_ZESPOŁY_dane[GW],$K$1)</f>
        <v>11</v>
      </c>
      <c r="M27" s="76">
        <f t="shared" si="1"/>
        <v>11</v>
      </c>
      <c r="P27" s="76">
        <f t="shared" si="5"/>
        <v>18</v>
      </c>
      <c r="Q27" s="86">
        <f>SUMIFS(tbl_ZESPOŁY_dane[asst],tbl_ZESPOŁY_dane[zespół],P$6,tbl_ZESPOŁY_dane[GW],$K$1)</f>
        <v>18</v>
      </c>
      <c r="R27" s="66" t="s">
        <v>311</v>
      </c>
      <c r="S27" s="86">
        <f>SUMIFS(tbl_ZESPOŁY_dane[asst],tbl_ZESPOŁY_dane[zespół],T$6,tbl_ZESPOŁY_dane[GW],$K$1)</f>
        <v>11</v>
      </c>
      <c r="T27" s="76">
        <f t="shared" si="2"/>
        <v>11</v>
      </c>
    </row>
    <row r="28" spans="2:20" ht="20" customHeight="1" x14ac:dyDescent="0.35">
      <c r="B28" s="76">
        <f t="shared" si="3"/>
        <v>6</v>
      </c>
      <c r="C28" s="86">
        <f>SUMIFS(tbl_ZESPOŁY_dane[stl],tbl_ZESPOŁY_dane[zespół],B$6,tbl_ZESPOŁY_dane[GW],$K$1)</f>
        <v>6</v>
      </c>
      <c r="D28" s="66" t="s">
        <v>312</v>
      </c>
      <c r="E28" s="86">
        <f>SUMIFS(tbl_ZESPOŁY_dane[stl],tbl_ZESPOŁY_dane[zespół],F$6,tbl_ZESPOŁY_dane[GW],$K$1)</f>
        <v>9</v>
      </c>
      <c r="F28" s="76">
        <f t="shared" si="0"/>
        <v>9</v>
      </c>
      <c r="I28" s="76">
        <f t="shared" si="4"/>
        <v>17</v>
      </c>
      <c r="J28" s="86">
        <f>SUMIFS(tbl_ZESPOŁY_dane[stl],tbl_ZESPOŁY_dane[zespół],I$6,tbl_ZESPOŁY_dane[GW],$K$1)</f>
        <v>17</v>
      </c>
      <c r="K28" s="66" t="s">
        <v>312</v>
      </c>
      <c r="L28" s="86">
        <f>SUMIFS(tbl_ZESPOŁY_dane[stl],tbl_ZESPOŁY_dane[zespół],M$6,tbl_ZESPOŁY_dane[GW],$K$1)</f>
        <v>5</v>
      </c>
      <c r="M28" s="76">
        <f t="shared" si="1"/>
        <v>5</v>
      </c>
      <c r="P28" s="76">
        <f t="shared" si="5"/>
        <v>12</v>
      </c>
      <c r="Q28" s="86">
        <f>SUMIFS(tbl_ZESPOŁY_dane[stl],tbl_ZESPOŁY_dane[zespół],P$6,tbl_ZESPOŁY_dane[GW],$K$1)</f>
        <v>12</v>
      </c>
      <c r="R28" s="66" t="s">
        <v>312</v>
      </c>
      <c r="S28" s="86">
        <f>SUMIFS(tbl_ZESPOŁY_dane[stl],tbl_ZESPOŁY_dane[zespół],T$6,tbl_ZESPOŁY_dane[GW],$K$1)</f>
        <v>6</v>
      </c>
      <c r="T28" s="76">
        <f t="shared" si="2"/>
        <v>6</v>
      </c>
    </row>
    <row r="29" spans="2:20" ht="20" customHeight="1" x14ac:dyDescent="0.35">
      <c r="B29" s="76">
        <f t="shared" si="3"/>
        <v>6</v>
      </c>
      <c r="C29" s="86">
        <f>SUMIFS(tbl_ZESPOŁY_dane[blk],tbl_ZESPOŁY_dane[zespół],B$6,tbl_ZESPOŁY_dane[GW],$K$1)</f>
        <v>6</v>
      </c>
      <c r="D29" s="66" t="s">
        <v>313</v>
      </c>
      <c r="E29" s="86">
        <f>SUMIFS(tbl_ZESPOŁY_dane[blk],tbl_ZESPOŁY_dane[zespół],F$6,tbl_ZESPOŁY_dane[GW],$K$1)</f>
        <v>3</v>
      </c>
      <c r="F29" s="76">
        <f t="shared" si="0"/>
        <v>3</v>
      </c>
      <c r="I29" s="76">
        <f t="shared" si="4"/>
        <v>3</v>
      </c>
      <c r="J29" s="86">
        <f>SUMIFS(tbl_ZESPOŁY_dane[blk],tbl_ZESPOŁY_dane[zespół],I$6,tbl_ZESPOŁY_dane[GW],$K$1)</f>
        <v>3</v>
      </c>
      <c r="K29" s="66" t="s">
        <v>313</v>
      </c>
      <c r="L29" s="86">
        <f>SUMIFS(tbl_ZESPOŁY_dane[blk],tbl_ZESPOŁY_dane[zespół],M$6,tbl_ZESPOŁY_dane[GW],$K$1)</f>
        <v>6</v>
      </c>
      <c r="M29" s="76">
        <f t="shared" si="1"/>
        <v>6</v>
      </c>
      <c r="P29" s="76">
        <f t="shared" si="5"/>
        <v>2</v>
      </c>
      <c r="Q29" s="86">
        <f>SUMIFS(tbl_ZESPOŁY_dane[blk],tbl_ZESPOŁY_dane[zespół],P$6,tbl_ZESPOŁY_dane[GW],$K$1)</f>
        <v>2</v>
      </c>
      <c r="R29" s="66" t="s">
        <v>313</v>
      </c>
      <c r="S29" s="86">
        <f>SUMIFS(tbl_ZESPOŁY_dane[blk],tbl_ZESPOŁY_dane[zespół],T$6,tbl_ZESPOŁY_dane[GW],$K$1)</f>
        <v>1</v>
      </c>
      <c r="T29" s="76">
        <f t="shared" si="2"/>
        <v>1</v>
      </c>
    </row>
    <row r="30" spans="2:20" ht="20" customHeight="1" x14ac:dyDescent="0.35">
      <c r="B30" s="76">
        <f t="shared" si="3"/>
        <v>50.16</v>
      </c>
      <c r="C30" s="86">
        <f>SUMIFS(tbl_ZESPOŁY_dane[Poss],tbl_ZESPOŁY_dane[zespół],B$6,tbl_ZESPOŁY_dane[GW],$K$1)</f>
        <v>50.16</v>
      </c>
      <c r="D30" s="66" t="s">
        <v>317</v>
      </c>
      <c r="E30" s="86">
        <f>SUMIFS(tbl_ZESPOŁY_dane[Poss],tbl_ZESPOŁY_dane[zespół],F$6,tbl_ZESPOŁY_dane[GW],$K$1)</f>
        <v>52.16</v>
      </c>
      <c r="F30" s="76">
        <f t="shared" si="0"/>
        <v>52.16</v>
      </c>
      <c r="I30" s="76">
        <f t="shared" si="4"/>
        <v>77.239999999999995</v>
      </c>
      <c r="J30" s="86">
        <f>SUMIFS(tbl_ZESPOŁY_dane[Poss],tbl_ZESPOŁY_dane[zespół],I$6,tbl_ZESPOŁY_dane[GW],$K$1)</f>
        <v>77.239999999999995</v>
      </c>
      <c r="K30" s="66" t="s">
        <v>317</v>
      </c>
      <c r="L30" s="86">
        <f>SUMIFS(tbl_ZESPOŁY_dane[Poss],tbl_ZESPOŁY_dane[zespół],M$6,tbl_ZESPOŁY_dane[GW],$K$1)</f>
        <v>62.44</v>
      </c>
      <c r="M30" s="76">
        <f t="shared" si="1"/>
        <v>62.44</v>
      </c>
      <c r="P30" s="76">
        <f t="shared" si="5"/>
        <v>66.2</v>
      </c>
      <c r="Q30" s="86">
        <f>SUMIFS(tbl_ZESPOŁY_dane[Poss],tbl_ZESPOŁY_dane[zespół],P$6,tbl_ZESPOŁY_dane[GW],$K$1)</f>
        <v>66.2</v>
      </c>
      <c r="R30" s="66" t="s">
        <v>317</v>
      </c>
      <c r="S30" s="86">
        <f>SUMIFS(tbl_ZESPOŁY_dane[Poss],tbl_ZESPOŁY_dane[zespół],T$6,tbl_ZESPOŁY_dane[GW],$K$1)</f>
        <v>55.64</v>
      </c>
      <c r="T30" s="76">
        <f t="shared" si="2"/>
        <v>55.64</v>
      </c>
    </row>
    <row r="31" spans="2:20" ht="20" customHeight="1" x14ac:dyDescent="0.35">
      <c r="B31" s="76">
        <f t="shared" si="3"/>
        <v>71.770334928229673</v>
      </c>
      <c r="C31" s="85">
        <f>SUMIFS(tbl_ZESPOŁY_dane[Orating],tbl_ZESPOŁY_dane[zespół],B$6,tbl_ZESPOŁY_dane[GW],$K$1)</f>
        <v>71.770334928229673</v>
      </c>
      <c r="D31" s="66" t="s">
        <v>315</v>
      </c>
      <c r="E31" s="85">
        <f>SUMIFS(tbl_ZESPOŁY_dane[Orating],tbl_ZESPOŁY_dane[zespół],F$6,tbl_ZESPOŁY_dane[GW],$K$1)</f>
        <v>78.604294478527621</v>
      </c>
      <c r="F31" s="76">
        <f t="shared" si="0"/>
        <v>78.604294478527621</v>
      </c>
      <c r="I31" s="76">
        <f t="shared" si="4"/>
        <v>75.090626618332479</v>
      </c>
      <c r="J31" s="85">
        <f>SUMIFS(tbl_ZESPOŁY_dane[Orating],tbl_ZESPOŁY_dane[zespół],I$6,tbl_ZESPOŁY_dane[GW],$K$1)</f>
        <v>75.090626618332479</v>
      </c>
      <c r="K31" s="66" t="s">
        <v>315</v>
      </c>
      <c r="L31" s="85">
        <f>SUMIFS(tbl_ZESPOŁY_dane[Orating],tbl_ZESPOŁY_dane[zespół],M$6,tbl_ZESPOŁY_dane[GW],$K$1)</f>
        <v>84.88148622677771</v>
      </c>
      <c r="M31" s="76">
        <f t="shared" si="1"/>
        <v>84.88148622677771</v>
      </c>
      <c r="P31" s="76">
        <f t="shared" si="5"/>
        <v>107.25075528700907</v>
      </c>
      <c r="Q31" s="85">
        <f>SUMIFS(tbl_ZESPOŁY_dane[Orating],tbl_ZESPOŁY_dane[zespół],P$6,tbl_ZESPOŁY_dane[GW],$K$1)</f>
        <v>107.25075528700907</v>
      </c>
      <c r="R31" s="66" t="s">
        <v>315</v>
      </c>
      <c r="S31" s="85">
        <f>SUMIFS(tbl_ZESPOŁY_dane[Orating],tbl_ZESPOŁY_dane[zespół],T$6,tbl_ZESPOŁY_dane[GW],$K$1)</f>
        <v>89.863407620416965</v>
      </c>
      <c r="T31" s="76">
        <f t="shared" si="2"/>
        <v>89.863407620416965</v>
      </c>
    </row>
    <row r="32" spans="2:20" ht="20" customHeight="1" x14ac:dyDescent="0.35">
      <c r="B32" s="76">
        <f t="shared" si="3"/>
        <v>78.604294478527621</v>
      </c>
      <c r="C32" s="85">
        <f>SUMIFS(tbl_ZESPOŁY_dane[Drating],tbl_ZESPOŁY_dane[zespół],B$6,tbl_ZESPOŁY_dane[GW],$K$1)</f>
        <v>78.604294478527621</v>
      </c>
      <c r="D32" s="66" t="s">
        <v>316</v>
      </c>
      <c r="E32" s="85">
        <f>SUMIFS(tbl_ZESPOŁY_dane[Drating],tbl_ZESPOŁY_dane[zespół],F$6,tbl_ZESPOŁY_dane[GW],$K$1)</f>
        <v>71.770334928229673</v>
      </c>
      <c r="F32" s="76">
        <f t="shared" si="0"/>
        <v>71.770334928229673</v>
      </c>
      <c r="I32" s="76">
        <f t="shared" si="4"/>
        <v>84.88148622677771</v>
      </c>
      <c r="J32" s="85">
        <f>SUMIFS(tbl_ZESPOŁY_dane[Drating],tbl_ZESPOŁY_dane[zespół],I$6,tbl_ZESPOŁY_dane[GW],$K$1)</f>
        <v>84.88148622677771</v>
      </c>
      <c r="K32" s="66" t="s">
        <v>316</v>
      </c>
      <c r="L32" s="85">
        <f>SUMIFS(tbl_ZESPOŁY_dane[Drating],tbl_ZESPOŁY_dane[zespół],M$6,tbl_ZESPOŁY_dane[GW],$K$1)</f>
        <v>75.090626618332479</v>
      </c>
      <c r="M32" s="76">
        <f t="shared" si="1"/>
        <v>75.090626618332479</v>
      </c>
      <c r="P32" s="76">
        <f t="shared" si="5"/>
        <v>89.863407620416965</v>
      </c>
      <c r="Q32" s="85">
        <f>SUMIFS(tbl_ZESPOŁY_dane[Drating],tbl_ZESPOŁY_dane[zespół],P$6,tbl_ZESPOŁY_dane[GW],$K$1)</f>
        <v>89.863407620416965</v>
      </c>
      <c r="R32" s="66" t="s">
        <v>316</v>
      </c>
      <c r="S32" s="85">
        <f>SUMIFS(tbl_ZESPOŁY_dane[Drating],tbl_ZESPOŁY_dane[zespół],T$6,tbl_ZESPOŁY_dane[GW],$K$1)</f>
        <v>107.25075528700907</v>
      </c>
      <c r="T32" s="76">
        <f t="shared" si="2"/>
        <v>107.25075528700907</v>
      </c>
    </row>
  </sheetData>
  <sheetProtection algorithmName="SHA-512" hashValue="4j68PLVZQbPDPxBx7ubNWa/FAaUS/EaylvxlXhJJ7Pc0BpH35/XoruI5Uick2gVAMOZouCHrO/6Wm7KivxMn2Q==" saltValue="P64T+3TpgUQrhuUroYSl4g==" spinCount="100000" sheet="1" objects="1" scenarios="1"/>
  <conditionalFormatting sqref="B8:B17">
    <cfRule type="dataBar" priority="24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{98C6497C-9F6E-427E-92EC-FEBD4958BD90}</x14:id>
        </ext>
      </extLst>
    </cfRule>
  </conditionalFormatting>
  <conditionalFormatting sqref="B19:B22">
    <cfRule type="dataBar" priority="22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{541E0F8C-F9C2-4F3F-B9EE-35316507B840}</x14:id>
        </ext>
      </extLst>
    </cfRule>
  </conditionalFormatting>
  <conditionalFormatting sqref="B24:B29">
    <cfRule type="dataBar" priority="20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{1C8AED7D-1A91-41C6-95DD-96B9966E1259}</x14:id>
        </ext>
      </extLst>
    </cfRule>
  </conditionalFormatting>
  <conditionalFormatting sqref="B30:B32">
    <cfRule type="dataBar" priority="18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{B3A73D0E-545C-45F6-82B1-A8698FC46035}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{F13EEB61-7514-4BCF-AE19-E1EF45173D37}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{1ABDAA96-ADC4-4DE0-A4DD-72A9B0A47CAF}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{3003CEAF-AA4E-4B9D-84B8-01D46832D516}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{8E873057-9E08-41F3-913D-60F77526FF02}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{F25F8CB9-5DC2-4A58-BD7C-C7ECDE348167}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{19A31E1D-3A35-46BD-8665-302867D54C8B}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{1B5C938C-8584-4460-8056-41EA8291747D}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{238326AB-FCF5-4880-B9E6-8090BDDCEE18}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{5CDBB384-A8C0-485E-B2EB-C326C1A27E1F}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{F71DEE12-5D28-4E01-BFAF-8E439A894888}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{FB43A12A-9AFB-4803-BE17-88DF1E044E7F}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{55AFF0DD-939A-41D9-8797-F1F6012E3388}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{4FEDC310-634A-40DF-B5F7-CD5136112043}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{18C2BF31-C767-437F-863C-370B400F526A}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{55C4BE8D-9626-434B-9461-0CECEB848F7E}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{521D6006-2A1E-4B2B-8FD6-665A06449AB6}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{D2876682-B9AD-46D6-9B17-BA89DD102C1B}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{27F45780-690E-4750-8375-581667B065D3}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{ACBBED65-3ED9-4166-8D1C-D372EEEE8D73}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{35215224-EEB8-43EE-8E99-E0C29E25C6F5}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C6497C-9F6E-427E-92EC-FEBD4958BD90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541E0F8C-F9C2-4F3F-B9EE-35316507B840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1C8AED7D-1A91-41C6-95DD-96B9966E1259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B3A73D0E-545C-45F6-82B1-A8698FC46035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F13EEB61-7514-4BCF-AE19-E1EF45173D37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1ABDAA96-ADC4-4DE0-A4DD-72A9B0A47CAF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3003CEAF-AA4E-4B9D-84B8-01D46832D516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8E873057-9E08-41F3-913D-60F77526FF02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F25F8CB9-5DC2-4A58-BD7C-C7ECDE348167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19A31E1D-3A35-46BD-8665-302867D54C8B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1B5C938C-8584-4460-8056-41EA8291747D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238326AB-FCF5-4880-B9E6-8090BDDCEE18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5CDBB384-A8C0-485E-B2EB-C326C1A27E1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F71DEE12-5D28-4E01-BFAF-8E439A894888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FB43A12A-9AFB-4803-BE17-88DF1E044E7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55AFF0DD-939A-41D9-8797-F1F6012E3388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4FEDC310-634A-40DF-B5F7-CD5136112043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18C2BF31-C767-437F-863C-370B400F526A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55C4BE8D-9626-434B-9461-0CECEB848F7E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521D6006-2A1E-4B2B-8FD6-665A06449AB6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D2876682-B9AD-46D6-9B17-BA89DD102C1B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27F45780-690E-4750-8375-581667B065D3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ACBBED65-3ED9-4166-8D1C-D372EEEE8D73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35215224-EEB8-43EE-8E99-E0C29E25C6F5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DB33-8A46-49D4-BA67-E59868A7B48D}">
  <dimension ref="A1:T32"/>
  <sheetViews>
    <sheetView workbookViewId="0">
      <selection activeCell="N26" sqref="N26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324</v>
      </c>
      <c r="C1" s="71"/>
      <c r="D1" s="71"/>
      <c r="E1" s="71"/>
      <c r="I1" s="74" t="s">
        <v>325</v>
      </c>
      <c r="J1" s="71"/>
      <c r="K1" s="75">
        <v>5</v>
      </c>
      <c r="L1" s="71"/>
      <c r="Q1" s="71"/>
      <c r="R1" s="71"/>
      <c r="S1" s="71"/>
    </row>
    <row r="4" spans="1:20" x14ac:dyDescent="0.35">
      <c r="B4" s="76" t="s">
        <v>326</v>
      </c>
      <c r="D4" s="83" t="s">
        <v>318</v>
      </c>
      <c r="F4" s="76"/>
      <c r="I4" s="76" t="s">
        <v>326</v>
      </c>
      <c r="K4" s="83" t="s">
        <v>318</v>
      </c>
      <c r="M4" s="76"/>
      <c r="P4" s="76" t="s">
        <v>326</v>
      </c>
      <c r="R4" s="83" t="s">
        <v>318</v>
      </c>
      <c r="T4" s="76"/>
    </row>
    <row r="5" spans="1:20" ht="20" customHeight="1" thickBot="1" x14ac:dyDescent="0.4">
      <c r="B5" s="76"/>
      <c r="D5" s="84">
        <f>$K$1</f>
        <v>5</v>
      </c>
      <c r="F5" s="76"/>
      <c r="I5" s="76"/>
      <c r="K5" s="84">
        <f>$K$1</f>
        <v>5</v>
      </c>
      <c r="M5" s="76"/>
      <c r="P5" s="76"/>
      <c r="R5" s="84">
        <f>$K$1</f>
        <v>5</v>
      </c>
      <c r="T5" s="76"/>
    </row>
    <row r="6" spans="1:20" s="87" customFormat="1" ht="40" customHeight="1" thickBot="1" x14ac:dyDescent="0.55000000000000004">
      <c r="B6" s="79" t="s">
        <v>46</v>
      </c>
      <c r="C6" s="80"/>
      <c r="D6" s="69"/>
      <c r="E6" s="81"/>
      <c r="F6" s="82" t="s">
        <v>52</v>
      </c>
      <c r="I6" s="79" t="s">
        <v>48</v>
      </c>
      <c r="J6" s="80"/>
      <c r="K6" s="69"/>
      <c r="L6" s="81"/>
      <c r="M6" s="82" t="s">
        <v>19</v>
      </c>
      <c r="P6" s="79" t="s">
        <v>50</v>
      </c>
      <c r="Q6" s="80"/>
      <c r="R6" s="69"/>
      <c r="S6" s="81"/>
      <c r="T6" s="82" t="s">
        <v>25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0</v>
      </c>
      <c r="C8" s="67">
        <f>SUMIFS(tbl_ZESPOŁY_dane[pts],tbl_ZESPOŁY_dane[zespół],B$6,tbl_ZESPOŁY_dane[GW],$K$1)</f>
        <v>0</v>
      </c>
      <c r="D8" s="66" t="s">
        <v>302</v>
      </c>
      <c r="E8" s="67">
        <f>SUMIFS(tbl_ZESPOŁY_dane[pts],tbl_ZESPOŁY_dane[zespół],F$6,tbl_ZESPOŁY_dane[GW],$K$1)</f>
        <v>0</v>
      </c>
      <c r="F8" s="76">
        <f>E8</f>
        <v>0</v>
      </c>
      <c r="I8" s="76">
        <f>J8</f>
        <v>0</v>
      </c>
      <c r="J8" s="67">
        <f>SUMIFS(tbl_ZESPOŁY_dane[pts],tbl_ZESPOŁY_dane[zespół],I$6,tbl_ZESPOŁY_dane[GW],$K$1)</f>
        <v>0</v>
      </c>
      <c r="K8" s="66" t="s">
        <v>302</v>
      </c>
      <c r="L8" s="67">
        <f>SUMIFS(tbl_ZESPOŁY_dane[pts],tbl_ZESPOŁY_dane[zespół],M$6,tbl_ZESPOŁY_dane[GW],$K$1)</f>
        <v>0</v>
      </c>
      <c r="M8" s="76">
        <f>L8</f>
        <v>0</v>
      </c>
      <c r="P8" s="76">
        <f>Q8</f>
        <v>0</v>
      </c>
      <c r="Q8" s="67">
        <f>SUMIFS(tbl_ZESPOŁY_dane[pts],tbl_ZESPOŁY_dane[zespół],P$6,tbl_ZESPOŁY_dane[GW],$K$1)</f>
        <v>0</v>
      </c>
      <c r="R8" s="66" t="s">
        <v>302</v>
      </c>
      <c r="S8" s="67">
        <f>SUMIFS(tbl_ZESPOŁY_dane[pts],tbl_ZESPOŁY_dane[zespół],T$6,tbl_ZESPOŁY_dane[GW],$K$1)</f>
        <v>0</v>
      </c>
      <c r="T8" s="76">
        <f>S8</f>
        <v>0</v>
      </c>
    </row>
    <row r="9" spans="1:20" ht="20" customHeight="1" x14ac:dyDescent="0.35">
      <c r="B9" s="76"/>
      <c r="C9" s="72"/>
      <c r="D9" s="65" t="s">
        <v>303</v>
      </c>
      <c r="E9" s="72"/>
      <c r="F9" s="76">
        <f t="shared" ref="F9:F32" si="0">E9</f>
        <v>0</v>
      </c>
      <c r="I9" s="76"/>
      <c r="J9" s="72"/>
      <c r="K9" s="65" t="s">
        <v>303</v>
      </c>
      <c r="L9" s="72"/>
      <c r="M9" s="76">
        <f t="shared" ref="M9:M32" si="1">L9</f>
        <v>0</v>
      </c>
      <c r="P9" s="76"/>
      <c r="Q9" s="72"/>
      <c r="R9" s="65" t="s">
        <v>303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0</v>
      </c>
      <c r="C10" s="67">
        <f>SUMIFS(tbl_ZESPOŁY_dane[fgm],tbl_ZESPOŁY_dane[zespół],B$6,tbl_ZESPOŁY_dane[GW],$K$1)</f>
        <v>0</v>
      </c>
      <c r="D10" s="66" t="s">
        <v>304</v>
      </c>
      <c r="E10" s="67">
        <f>SUMIFS(tbl_ZESPOŁY_dane[fgm],tbl_ZESPOŁY_dane[zespół],F$6,tbl_ZESPOŁY_dane[GW],$K$1)</f>
        <v>0</v>
      </c>
      <c r="F10" s="76">
        <f t="shared" si="0"/>
        <v>0</v>
      </c>
      <c r="I10" s="76">
        <f t="shared" ref="I10:I32" si="4">J10</f>
        <v>0</v>
      </c>
      <c r="J10" s="67">
        <f>SUMIFS(tbl_ZESPOŁY_dane[fgm],tbl_ZESPOŁY_dane[zespół],I$6,tbl_ZESPOŁY_dane[GW],$K$1)</f>
        <v>0</v>
      </c>
      <c r="K10" s="66" t="s">
        <v>304</v>
      </c>
      <c r="L10" s="67">
        <f>SUMIFS(tbl_ZESPOŁY_dane[fgm],tbl_ZESPOŁY_dane[zespół],M$6,tbl_ZESPOŁY_dane[GW],$K$1)</f>
        <v>0</v>
      </c>
      <c r="M10" s="76">
        <f t="shared" si="1"/>
        <v>0</v>
      </c>
      <c r="P10" s="76">
        <f t="shared" ref="P10:P32" si="5">Q10</f>
        <v>0</v>
      </c>
      <c r="Q10" s="67">
        <f>SUMIFS(tbl_ZESPOŁY_dane[fgm],tbl_ZESPOŁY_dane[zespół],P$6,tbl_ZESPOŁY_dane[GW],$K$1)</f>
        <v>0</v>
      </c>
      <c r="R10" s="66" t="s">
        <v>304</v>
      </c>
      <c r="S10" s="67">
        <f>SUMIFS(tbl_ZESPOŁY_dane[fgm],tbl_ZESPOŁY_dane[zespół],T$6,tbl_ZESPOŁY_dane[GW],$K$1)</f>
        <v>0</v>
      </c>
      <c r="T10" s="76">
        <f t="shared" si="2"/>
        <v>0</v>
      </c>
    </row>
    <row r="11" spans="1:20" ht="20" customHeight="1" x14ac:dyDescent="0.35">
      <c r="B11" s="76">
        <f t="shared" si="3"/>
        <v>0</v>
      </c>
      <c r="C11" s="67">
        <f>SUMIFS(tbl_ZESPOŁY_dane[fga],tbl_ZESPOŁY_dane[zespół],B$6,tbl_ZESPOŁY_dane[GW],$K$1)</f>
        <v>0</v>
      </c>
      <c r="D11" s="66" t="s">
        <v>305</v>
      </c>
      <c r="E11" s="67">
        <f>SUMIFS(tbl_ZESPOŁY_dane[fga],tbl_ZESPOŁY_dane[zespół],F$6,tbl_ZESPOŁY_dane[GW],$K$1)</f>
        <v>0</v>
      </c>
      <c r="F11" s="76">
        <f t="shared" si="0"/>
        <v>0</v>
      </c>
      <c r="I11" s="76">
        <f t="shared" si="4"/>
        <v>0</v>
      </c>
      <c r="J11" s="67">
        <f>SUMIFS(tbl_ZESPOŁY_dane[fga],tbl_ZESPOŁY_dane[zespół],I$6,tbl_ZESPOŁY_dane[GW],$K$1)</f>
        <v>0</v>
      </c>
      <c r="K11" s="66" t="s">
        <v>305</v>
      </c>
      <c r="L11" s="67">
        <f>SUMIFS(tbl_ZESPOŁY_dane[fga],tbl_ZESPOŁY_dane[zespół],M$6,tbl_ZESPOŁY_dane[GW],$K$1)</f>
        <v>0</v>
      </c>
      <c r="M11" s="76">
        <f t="shared" si="1"/>
        <v>0</v>
      </c>
      <c r="P11" s="76">
        <f t="shared" si="5"/>
        <v>0</v>
      </c>
      <c r="Q11" s="67">
        <f>SUMIFS(tbl_ZESPOŁY_dane[fga],tbl_ZESPOŁY_dane[zespół],P$6,tbl_ZESPOŁY_dane[GW],$K$1)</f>
        <v>0</v>
      </c>
      <c r="R11" s="66" t="s">
        <v>305</v>
      </c>
      <c r="S11" s="67">
        <f>SUMIFS(tbl_ZESPOŁY_dane[fga],tbl_ZESPOŁY_dane[zespół],T$6,tbl_ZESPOŁY_dane[GW],$K$1)</f>
        <v>0</v>
      </c>
      <c r="T11" s="76">
        <f t="shared" si="2"/>
        <v>0</v>
      </c>
    </row>
    <row r="12" spans="1:20" ht="20" customHeight="1" x14ac:dyDescent="0.35">
      <c r="B12" s="76"/>
      <c r="C12" s="72"/>
      <c r="D12" s="65" t="s">
        <v>306</v>
      </c>
      <c r="E12" s="72"/>
      <c r="F12" s="76">
        <f t="shared" si="0"/>
        <v>0</v>
      </c>
      <c r="I12" s="76"/>
      <c r="J12" s="72"/>
      <c r="K12" s="65" t="s">
        <v>306</v>
      </c>
      <c r="L12" s="72"/>
      <c r="M12" s="76">
        <f t="shared" si="1"/>
        <v>0</v>
      </c>
      <c r="P12" s="76"/>
      <c r="Q12" s="72"/>
      <c r="R12" s="65" t="s">
        <v>306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0</v>
      </c>
      <c r="C13" s="67">
        <f>SUMIFS(tbl_ZESPOŁY_dane[3pm],tbl_ZESPOŁY_dane[zespół],B$6,tbl_ZESPOŁY_dane[GW],$K$1)</f>
        <v>0</v>
      </c>
      <c r="D13" s="66" t="s">
        <v>304</v>
      </c>
      <c r="E13" s="67">
        <f>SUMIFS(tbl_ZESPOŁY_dane[3pm],tbl_ZESPOŁY_dane[zespół],F$6,tbl_ZESPOŁY_dane[GW],$K$1)</f>
        <v>0</v>
      </c>
      <c r="F13" s="76">
        <f t="shared" si="0"/>
        <v>0</v>
      </c>
      <c r="I13" s="76">
        <f t="shared" si="4"/>
        <v>0</v>
      </c>
      <c r="J13" s="67">
        <f>SUMIFS(tbl_ZESPOŁY_dane[3pm],tbl_ZESPOŁY_dane[zespół],I$6,tbl_ZESPOŁY_dane[GW],$K$1)</f>
        <v>0</v>
      </c>
      <c r="K13" s="66" t="s">
        <v>304</v>
      </c>
      <c r="L13" s="67">
        <f>SUMIFS(tbl_ZESPOŁY_dane[3pm],tbl_ZESPOŁY_dane[zespół],M$6,tbl_ZESPOŁY_dane[GW],$K$1)</f>
        <v>0</v>
      </c>
      <c r="M13" s="76">
        <f t="shared" si="1"/>
        <v>0</v>
      </c>
      <c r="P13" s="76">
        <f t="shared" si="5"/>
        <v>0</v>
      </c>
      <c r="Q13" s="67">
        <f>SUMIFS(tbl_ZESPOŁY_dane[3pm],tbl_ZESPOŁY_dane[zespół],P$6,tbl_ZESPOŁY_dane[GW],$K$1)</f>
        <v>0</v>
      </c>
      <c r="R13" s="66" t="s">
        <v>304</v>
      </c>
      <c r="S13" s="67">
        <f>SUMIFS(tbl_ZESPOŁY_dane[3pm],tbl_ZESPOŁY_dane[zespół],T$6,tbl_ZESPOŁY_dane[GW],$K$1)</f>
        <v>0</v>
      </c>
      <c r="T13" s="76">
        <f t="shared" si="2"/>
        <v>0</v>
      </c>
    </row>
    <row r="14" spans="1:20" ht="20" customHeight="1" x14ac:dyDescent="0.35">
      <c r="B14" s="76">
        <f t="shared" si="3"/>
        <v>0</v>
      </c>
      <c r="C14" s="67">
        <f>SUMIFS(tbl_ZESPOŁY_dane[3pa],tbl_ZESPOŁY_dane[zespół],B$6,tbl_ZESPOŁY_dane[GW],$K$1)</f>
        <v>0</v>
      </c>
      <c r="D14" s="66" t="s">
        <v>305</v>
      </c>
      <c r="E14" s="67">
        <f>SUMIFS(tbl_ZESPOŁY_dane[3pa],tbl_ZESPOŁY_dane[zespół],F$6,tbl_ZESPOŁY_dane[GW],$K$1)</f>
        <v>0</v>
      </c>
      <c r="F14" s="76">
        <f t="shared" si="0"/>
        <v>0</v>
      </c>
      <c r="I14" s="76">
        <f t="shared" si="4"/>
        <v>0</v>
      </c>
      <c r="J14" s="67">
        <f>SUMIFS(tbl_ZESPOŁY_dane[3pa],tbl_ZESPOŁY_dane[zespół],I$6,tbl_ZESPOŁY_dane[GW],$K$1)</f>
        <v>0</v>
      </c>
      <c r="K14" s="66" t="s">
        <v>305</v>
      </c>
      <c r="L14" s="67">
        <f>SUMIFS(tbl_ZESPOŁY_dane[3pa],tbl_ZESPOŁY_dane[zespół],M$6,tbl_ZESPOŁY_dane[GW],$K$1)</f>
        <v>0</v>
      </c>
      <c r="M14" s="76">
        <f t="shared" si="1"/>
        <v>0</v>
      </c>
      <c r="P14" s="76">
        <f t="shared" si="5"/>
        <v>0</v>
      </c>
      <c r="Q14" s="67">
        <f>SUMIFS(tbl_ZESPOŁY_dane[3pa],tbl_ZESPOŁY_dane[zespół],P$6,tbl_ZESPOŁY_dane[GW],$K$1)</f>
        <v>0</v>
      </c>
      <c r="R14" s="66" t="s">
        <v>305</v>
      </c>
      <c r="S14" s="67">
        <f>SUMIFS(tbl_ZESPOŁY_dane[3pa],tbl_ZESPOŁY_dane[zespół],T$6,tbl_ZESPOŁY_dane[GW],$K$1)</f>
        <v>0</v>
      </c>
      <c r="T14" s="76">
        <f t="shared" si="2"/>
        <v>0</v>
      </c>
    </row>
    <row r="15" spans="1:20" ht="20" customHeight="1" x14ac:dyDescent="0.35">
      <c r="B15" s="76"/>
      <c r="C15" s="72"/>
      <c r="D15" s="65" t="s">
        <v>307</v>
      </c>
      <c r="E15" s="72"/>
      <c r="F15" s="76">
        <f t="shared" si="0"/>
        <v>0</v>
      </c>
      <c r="I15" s="76"/>
      <c r="J15" s="72"/>
      <c r="K15" s="65" t="s">
        <v>307</v>
      </c>
      <c r="L15" s="72"/>
      <c r="M15" s="76">
        <f t="shared" si="1"/>
        <v>0</v>
      </c>
      <c r="P15" s="76"/>
      <c r="Q15" s="72"/>
      <c r="R15" s="65" t="s">
        <v>307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0</v>
      </c>
      <c r="C16" s="67">
        <f>SUMIFS(tbl_ZESPOŁY_dane[ftm],tbl_ZESPOŁY_dane[zespół],B$6,tbl_ZESPOŁY_dane[GW],$K$1)</f>
        <v>0</v>
      </c>
      <c r="D16" s="66" t="s">
        <v>304</v>
      </c>
      <c r="E16" s="67">
        <f>SUMIFS(tbl_ZESPOŁY_dane[ftm],tbl_ZESPOŁY_dane[zespół],F$6,tbl_ZESPOŁY_dane[GW],$K$1)</f>
        <v>0</v>
      </c>
      <c r="F16" s="76">
        <f t="shared" si="0"/>
        <v>0</v>
      </c>
      <c r="I16" s="76">
        <f t="shared" si="4"/>
        <v>0</v>
      </c>
      <c r="J16" s="67">
        <f>SUMIFS(tbl_ZESPOŁY_dane[ftm],tbl_ZESPOŁY_dane[zespół],I$6,tbl_ZESPOŁY_dane[GW],$K$1)</f>
        <v>0</v>
      </c>
      <c r="K16" s="66" t="s">
        <v>304</v>
      </c>
      <c r="L16" s="67">
        <f>SUMIFS(tbl_ZESPOŁY_dane[ftm],tbl_ZESPOŁY_dane[zespół],M$6,tbl_ZESPOŁY_dane[GW],$K$1)</f>
        <v>0</v>
      </c>
      <c r="M16" s="76">
        <f t="shared" si="1"/>
        <v>0</v>
      </c>
      <c r="P16" s="76">
        <f t="shared" si="5"/>
        <v>0</v>
      </c>
      <c r="Q16" s="67">
        <f>SUMIFS(tbl_ZESPOŁY_dane[ftm],tbl_ZESPOŁY_dane[zespół],P$6,tbl_ZESPOŁY_dane[GW],$K$1)</f>
        <v>0</v>
      </c>
      <c r="R16" s="66" t="s">
        <v>304</v>
      </c>
      <c r="S16" s="67">
        <f>SUMIFS(tbl_ZESPOŁY_dane[ftm],tbl_ZESPOŁY_dane[zespół],T$6,tbl_ZESPOŁY_dane[GW],$K$1)</f>
        <v>0</v>
      </c>
      <c r="T16" s="76">
        <f t="shared" si="2"/>
        <v>0</v>
      </c>
    </row>
    <row r="17" spans="2:20" ht="20" customHeight="1" x14ac:dyDescent="0.35">
      <c r="B17" s="76">
        <f t="shared" si="3"/>
        <v>0</v>
      </c>
      <c r="C17" s="67">
        <f>SUMIFS(tbl_ZESPOŁY_dane[fta],tbl_ZESPOŁY_dane[zespół],B$6,tbl_ZESPOŁY_dane[GW],$K$1)</f>
        <v>0</v>
      </c>
      <c r="D17" s="66" t="s">
        <v>305</v>
      </c>
      <c r="E17" s="67">
        <f>SUMIFS(tbl_ZESPOŁY_dane[fta],tbl_ZESPOŁY_dane[zespół],F$6,tbl_ZESPOŁY_dane[GW],$K$1)</f>
        <v>0</v>
      </c>
      <c r="F17" s="76">
        <f t="shared" si="0"/>
        <v>0</v>
      </c>
      <c r="I17" s="76">
        <f t="shared" si="4"/>
        <v>0</v>
      </c>
      <c r="J17" s="67">
        <f>SUMIFS(tbl_ZESPOŁY_dane[fta],tbl_ZESPOŁY_dane[zespół],I$6,tbl_ZESPOŁY_dane[GW],$K$1)</f>
        <v>0</v>
      </c>
      <c r="K17" s="66" t="s">
        <v>305</v>
      </c>
      <c r="L17" s="67">
        <f>SUMIFS(tbl_ZESPOŁY_dane[fta],tbl_ZESPOŁY_dane[zespół],M$6,tbl_ZESPOŁY_dane[GW],$K$1)</f>
        <v>0</v>
      </c>
      <c r="M17" s="76">
        <f t="shared" si="1"/>
        <v>0</v>
      </c>
      <c r="P17" s="76">
        <f t="shared" si="5"/>
        <v>0</v>
      </c>
      <c r="Q17" s="67">
        <f>SUMIFS(tbl_ZESPOŁY_dane[fta],tbl_ZESPOŁY_dane[zespół],P$6,tbl_ZESPOŁY_dane[GW],$K$1)</f>
        <v>0</v>
      </c>
      <c r="R17" s="66" t="s">
        <v>305</v>
      </c>
      <c r="S17" s="67">
        <f>SUMIFS(tbl_ZESPOŁY_dane[fta],tbl_ZESPOŁY_dane[zespół],T$6,tbl_ZESPOŁY_dane[GW],$K$1)</f>
        <v>0</v>
      </c>
      <c r="T17" s="76">
        <f t="shared" si="2"/>
        <v>0</v>
      </c>
    </row>
    <row r="18" spans="2:20" ht="20" customHeight="1" x14ac:dyDescent="0.35">
      <c r="B18" s="76"/>
      <c r="C18" s="72"/>
      <c r="D18" s="65" t="s">
        <v>319</v>
      </c>
      <c r="E18" s="72"/>
      <c r="F18" s="76"/>
      <c r="I18" s="76"/>
      <c r="J18" s="72"/>
      <c r="K18" s="65" t="s">
        <v>319</v>
      </c>
      <c r="L18" s="72"/>
      <c r="M18" s="76"/>
      <c r="P18" s="76"/>
      <c r="Q18" s="72"/>
      <c r="R18" s="65" t="s">
        <v>319</v>
      </c>
      <c r="S18" s="72"/>
      <c r="T18" s="76"/>
    </row>
    <row r="19" spans="2:20" ht="20" customHeight="1" x14ac:dyDescent="0.35">
      <c r="B19" s="77">
        <f t="shared" si="3"/>
        <v>0</v>
      </c>
      <c r="C19" s="68">
        <f>SUMIFS(tbl_ZESPOŁY_dane[2P%],tbl_ZESPOŁY_dane[zespół],B$6,tbl_ZESPOŁY_dane[GW],$K$1)</f>
        <v>0</v>
      </c>
      <c r="D19" s="66" t="s">
        <v>320</v>
      </c>
      <c r="E19" s="68">
        <f>SUMIFS(tbl_ZESPOŁY_dane[2P%],tbl_ZESPOŁY_dane[zespół],F$6,tbl_ZESPOŁY_dane[GW],$K$1)</f>
        <v>0</v>
      </c>
      <c r="F19" s="78">
        <f>E19</f>
        <v>0</v>
      </c>
      <c r="I19" s="77">
        <f t="shared" si="4"/>
        <v>0</v>
      </c>
      <c r="J19" s="68">
        <f>SUMIFS(tbl_ZESPOŁY_dane[2P%],tbl_ZESPOŁY_dane[zespół],I$6,tbl_ZESPOŁY_dane[GW],$K$1)</f>
        <v>0</v>
      </c>
      <c r="K19" s="66" t="s">
        <v>320</v>
      </c>
      <c r="L19" s="68">
        <f>SUMIFS(tbl_ZESPOŁY_dane[2P%],tbl_ZESPOŁY_dane[zespół],M$6,tbl_ZESPOŁY_dane[GW],$K$1)</f>
        <v>0</v>
      </c>
      <c r="M19" s="78">
        <f>L19</f>
        <v>0</v>
      </c>
      <c r="P19" s="77">
        <f t="shared" si="5"/>
        <v>0</v>
      </c>
      <c r="Q19" s="68">
        <f>SUMIFS(tbl_ZESPOŁY_dane[2P%],tbl_ZESPOŁY_dane[zespół],P$6,tbl_ZESPOŁY_dane[GW],$K$1)</f>
        <v>0</v>
      </c>
      <c r="R19" s="66" t="s">
        <v>320</v>
      </c>
      <c r="S19" s="68">
        <f>SUMIFS(tbl_ZESPOŁY_dane[2P%],tbl_ZESPOŁY_dane[zespół],T$6,tbl_ZESPOŁY_dane[GW],$K$1)</f>
        <v>0</v>
      </c>
      <c r="T19" s="78">
        <f>S19</f>
        <v>0</v>
      </c>
    </row>
    <row r="20" spans="2:20" ht="20" customHeight="1" x14ac:dyDescent="0.35">
      <c r="B20" s="77">
        <f t="shared" si="3"/>
        <v>0</v>
      </c>
      <c r="C20" s="68">
        <f>SUMIFS(tbl_ZESPOŁY_dane[3p%],tbl_ZESPOŁY_dane[zespół],B$6,tbl_ZESPOŁY_dane[GW],$K$1)</f>
        <v>0</v>
      </c>
      <c r="D20" s="66" t="s">
        <v>321</v>
      </c>
      <c r="E20" s="68">
        <f>SUMIFS(tbl_ZESPOŁY_dane[3p%],tbl_ZESPOŁY_dane[zespół],F$6,tbl_ZESPOŁY_dane[GW],$K$1)</f>
        <v>0</v>
      </c>
      <c r="F20" s="78">
        <f t="shared" ref="F20:F22" si="6">E20</f>
        <v>0</v>
      </c>
      <c r="I20" s="77">
        <f t="shared" si="4"/>
        <v>0</v>
      </c>
      <c r="J20" s="68">
        <f>SUMIFS(tbl_ZESPOŁY_dane[3p%],tbl_ZESPOŁY_dane[zespół],I$6,tbl_ZESPOŁY_dane[GW],$K$1)</f>
        <v>0</v>
      </c>
      <c r="K20" s="66" t="s">
        <v>321</v>
      </c>
      <c r="L20" s="68">
        <f>SUMIFS(tbl_ZESPOŁY_dane[3p%],tbl_ZESPOŁY_dane[zespół],M$6,tbl_ZESPOŁY_dane[GW],$K$1)</f>
        <v>0</v>
      </c>
      <c r="M20" s="78">
        <f t="shared" ref="M20:M22" si="7">L20</f>
        <v>0</v>
      </c>
      <c r="P20" s="77">
        <f t="shared" si="5"/>
        <v>0</v>
      </c>
      <c r="Q20" s="68">
        <f>SUMIFS(tbl_ZESPOŁY_dane[3p%],tbl_ZESPOŁY_dane[zespół],P$6,tbl_ZESPOŁY_dane[GW],$K$1)</f>
        <v>0</v>
      </c>
      <c r="R20" s="66" t="s">
        <v>321</v>
      </c>
      <c r="S20" s="68">
        <f>SUMIFS(tbl_ZESPOŁY_dane[3p%],tbl_ZESPOŁY_dane[zespół],T$6,tbl_ZESPOŁY_dane[GW],$K$1)</f>
        <v>0</v>
      </c>
      <c r="T20" s="78">
        <f t="shared" ref="T20:T22" si="8">S20</f>
        <v>0</v>
      </c>
    </row>
    <row r="21" spans="2:20" ht="20" customHeight="1" x14ac:dyDescent="0.35">
      <c r="B21" s="77">
        <f t="shared" si="3"/>
        <v>0</v>
      </c>
      <c r="C21" s="68">
        <f>SUMIFS(tbl_ZESPOŁY_dane[ft%],tbl_ZESPOŁY_dane[zespół],B$6,tbl_ZESPOŁY_dane[GW],$K$1)</f>
        <v>0</v>
      </c>
      <c r="D21" s="66" t="s">
        <v>322</v>
      </c>
      <c r="E21" s="68">
        <f>SUMIFS(tbl_ZESPOŁY_dane[ft%],tbl_ZESPOŁY_dane[zespół],F$6,tbl_ZESPOŁY_dane[GW],$K$1)</f>
        <v>0</v>
      </c>
      <c r="F21" s="78">
        <f t="shared" si="6"/>
        <v>0</v>
      </c>
      <c r="I21" s="77">
        <f t="shared" si="4"/>
        <v>0</v>
      </c>
      <c r="J21" s="68">
        <f>SUMIFS(tbl_ZESPOŁY_dane[ft%],tbl_ZESPOŁY_dane[zespół],I$6,tbl_ZESPOŁY_dane[GW],$K$1)</f>
        <v>0</v>
      </c>
      <c r="K21" s="66" t="s">
        <v>322</v>
      </c>
      <c r="L21" s="68">
        <f>SUMIFS(tbl_ZESPOŁY_dane[ft%],tbl_ZESPOŁY_dane[zespół],M$6,tbl_ZESPOŁY_dane[GW],$K$1)</f>
        <v>0</v>
      </c>
      <c r="M21" s="78">
        <f t="shared" si="7"/>
        <v>0</v>
      </c>
      <c r="P21" s="77">
        <f t="shared" si="5"/>
        <v>0</v>
      </c>
      <c r="Q21" s="68">
        <f>SUMIFS(tbl_ZESPOŁY_dane[ft%],tbl_ZESPOŁY_dane[zespół],P$6,tbl_ZESPOŁY_dane[GW],$K$1)</f>
        <v>0</v>
      </c>
      <c r="R21" s="66" t="s">
        <v>322</v>
      </c>
      <c r="S21" s="68">
        <f>SUMIFS(tbl_ZESPOŁY_dane[ft%],tbl_ZESPOŁY_dane[zespół],T$6,tbl_ZESPOŁY_dane[GW],$K$1)</f>
        <v>0</v>
      </c>
      <c r="T21" s="78">
        <f t="shared" si="8"/>
        <v>0</v>
      </c>
    </row>
    <row r="22" spans="2:20" ht="20" customHeight="1" x14ac:dyDescent="0.35">
      <c r="B22" s="77">
        <f t="shared" si="3"/>
        <v>0</v>
      </c>
      <c r="C22" s="68">
        <f>SUMIFS(tbl_ZESPOŁY_dane[TS%],tbl_ZESPOŁY_dane[zespół],B$6,tbl_ZESPOŁY_dane[GW],$K$1)</f>
        <v>0</v>
      </c>
      <c r="D22" s="66" t="s">
        <v>314</v>
      </c>
      <c r="E22" s="68">
        <f>SUMIFS(tbl_ZESPOŁY_dane[TS%],tbl_ZESPOŁY_dane[zespół],F$6,tbl_ZESPOŁY_dane[GW],$K$1)</f>
        <v>0</v>
      </c>
      <c r="F22" s="78">
        <f t="shared" si="6"/>
        <v>0</v>
      </c>
      <c r="I22" s="77">
        <f t="shared" si="4"/>
        <v>0</v>
      </c>
      <c r="J22" s="68">
        <f>SUMIFS(tbl_ZESPOŁY_dane[TS%],tbl_ZESPOŁY_dane[zespół],I$6,tbl_ZESPOŁY_dane[GW],$K$1)</f>
        <v>0</v>
      </c>
      <c r="K22" s="66" t="s">
        <v>314</v>
      </c>
      <c r="L22" s="68">
        <f>SUMIFS(tbl_ZESPOŁY_dane[TS%],tbl_ZESPOŁY_dane[zespół],M$6,tbl_ZESPOŁY_dane[GW],$K$1)</f>
        <v>0</v>
      </c>
      <c r="M22" s="78">
        <f t="shared" si="7"/>
        <v>0</v>
      </c>
      <c r="P22" s="77">
        <f t="shared" si="5"/>
        <v>0</v>
      </c>
      <c r="Q22" s="68">
        <f>SUMIFS(tbl_ZESPOŁY_dane[TS%],tbl_ZESPOŁY_dane[zespół],P$6,tbl_ZESPOŁY_dane[GW],$K$1)</f>
        <v>0</v>
      </c>
      <c r="R22" s="66" t="s">
        <v>314</v>
      </c>
      <c r="S22" s="68">
        <f>SUMIFS(tbl_ZESPOŁY_dane[TS%],tbl_ZESPOŁY_dane[zespół],T$6,tbl_ZESPOŁY_dane[GW],$K$1)</f>
        <v>0</v>
      </c>
      <c r="T22" s="78">
        <f t="shared" si="8"/>
        <v>0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0</v>
      </c>
      <c r="C24" s="86">
        <f>SUMIFS(tbl_ZESPOŁY_dane[oreb],tbl_ZESPOŁY_dane[zespół],B$6,tbl_ZESPOŁY_dane[GW],$K$1)</f>
        <v>0</v>
      </c>
      <c r="D24" s="66" t="s">
        <v>308</v>
      </c>
      <c r="E24" s="86">
        <f>SUMIFS(tbl_ZESPOŁY_dane[oreb],tbl_ZESPOŁY_dane[zespół],F$6,tbl_ZESPOŁY_dane[GW],$K$1)</f>
        <v>0</v>
      </c>
      <c r="F24" s="76">
        <f t="shared" si="0"/>
        <v>0</v>
      </c>
      <c r="I24" s="76">
        <f t="shared" si="4"/>
        <v>0</v>
      </c>
      <c r="J24" s="86">
        <f>SUMIFS(tbl_ZESPOŁY_dane[oreb],tbl_ZESPOŁY_dane[zespół],I$6,tbl_ZESPOŁY_dane[GW],$K$1)</f>
        <v>0</v>
      </c>
      <c r="K24" s="66" t="s">
        <v>308</v>
      </c>
      <c r="L24" s="86">
        <f>SUMIFS(tbl_ZESPOŁY_dane[oreb],tbl_ZESPOŁY_dane[zespół],M$6,tbl_ZESPOŁY_dane[GW],$K$1)</f>
        <v>0</v>
      </c>
      <c r="M24" s="76">
        <f t="shared" si="1"/>
        <v>0</v>
      </c>
      <c r="P24" s="76">
        <f t="shared" si="5"/>
        <v>0</v>
      </c>
      <c r="Q24" s="86">
        <f>SUMIFS(tbl_ZESPOŁY_dane[oreb],tbl_ZESPOŁY_dane[zespół],P$6,tbl_ZESPOŁY_dane[GW],$K$1)</f>
        <v>0</v>
      </c>
      <c r="R24" s="66" t="s">
        <v>308</v>
      </c>
      <c r="S24" s="86">
        <f>SUMIFS(tbl_ZESPOŁY_dane[oreb],tbl_ZESPOŁY_dane[zespół],T$6,tbl_ZESPOŁY_dane[GW],$K$1)</f>
        <v>0</v>
      </c>
      <c r="T24" s="76">
        <f t="shared" si="2"/>
        <v>0</v>
      </c>
    </row>
    <row r="25" spans="2:20" ht="20" customHeight="1" x14ac:dyDescent="0.35">
      <c r="B25" s="76">
        <f t="shared" si="3"/>
        <v>0</v>
      </c>
      <c r="C25" s="86">
        <f>SUMIFS(tbl_ZESPOŁY_dane[dreb],tbl_ZESPOŁY_dane[zespół],B$6,tbl_ZESPOŁY_dane[GW],$K$1)</f>
        <v>0</v>
      </c>
      <c r="D25" s="66" t="s">
        <v>309</v>
      </c>
      <c r="E25" s="86">
        <f>SUMIFS(tbl_ZESPOŁY_dane[dreb],tbl_ZESPOŁY_dane[zespół],F$6,tbl_ZESPOŁY_dane[GW],$K$1)</f>
        <v>0</v>
      </c>
      <c r="F25" s="76">
        <f t="shared" si="0"/>
        <v>0</v>
      </c>
      <c r="I25" s="76">
        <f t="shared" si="4"/>
        <v>0</v>
      </c>
      <c r="J25" s="86">
        <f>SUMIFS(tbl_ZESPOŁY_dane[dreb],tbl_ZESPOŁY_dane[zespół],I$6,tbl_ZESPOŁY_dane[GW],$K$1)</f>
        <v>0</v>
      </c>
      <c r="K25" s="66" t="s">
        <v>309</v>
      </c>
      <c r="L25" s="86">
        <f>SUMIFS(tbl_ZESPOŁY_dane[dreb],tbl_ZESPOŁY_dane[zespół],M$6,tbl_ZESPOŁY_dane[GW],$K$1)</f>
        <v>0</v>
      </c>
      <c r="M25" s="76">
        <f t="shared" si="1"/>
        <v>0</v>
      </c>
      <c r="P25" s="76">
        <f t="shared" si="5"/>
        <v>0</v>
      </c>
      <c r="Q25" s="86">
        <f>SUMIFS(tbl_ZESPOŁY_dane[dreb],tbl_ZESPOŁY_dane[zespół],P$6,tbl_ZESPOŁY_dane[GW],$K$1)</f>
        <v>0</v>
      </c>
      <c r="R25" s="66" t="s">
        <v>309</v>
      </c>
      <c r="S25" s="86">
        <f>SUMIFS(tbl_ZESPOŁY_dane[dreb],tbl_ZESPOŁY_dane[zespół],T$6,tbl_ZESPOŁY_dane[GW],$K$1)</f>
        <v>0</v>
      </c>
      <c r="T25" s="76">
        <f t="shared" si="2"/>
        <v>0</v>
      </c>
    </row>
    <row r="26" spans="2:20" ht="20" customHeight="1" x14ac:dyDescent="0.35">
      <c r="B26" s="76">
        <f t="shared" si="3"/>
        <v>0</v>
      </c>
      <c r="C26" s="86">
        <f>SUMIFS(tbl_ZESPOŁY_dane[reb total],tbl_ZESPOŁY_dane[zespół],B$6,tbl_ZESPOŁY_dane[GW],$K$1)</f>
        <v>0</v>
      </c>
      <c r="D26" s="66" t="s">
        <v>310</v>
      </c>
      <c r="E26" s="86">
        <f>SUMIFS(tbl_ZESPOŁY_dane[reb total],tbl_ZESPOŁY_dane[zespół],F$6,tbl_ZESPOŁY_dane[GW],$K$1)</f>
        <v>0</v>
      </c>
      <c r="F26" s="76">
        <f t="shared" si="0"/>
        <v>0</v>
      </c>
      <c r="I26" s="76">
        <f t="shared" si="4"/>
        <v>0</v>
      </c>
      <c r="J26" s="86">
        <f>SUMIFS(tbl_ZESPOŁY_dane[reb total],tbl_ZESPOŁY_dane[zespół],I$6,tbl_ZESPOŁY_dane[GW],$K$1)</f>
        <v>0</v>
      </c>
      <c r="K26" s="66" t="s">
        <v>310</v>
      </c>
      <c r="L26" s="86">
        <f>SUMIFS(tbl_ZESPOŁY_dane[reb total],tbl_ZESPOŁY_dane[zespół],M$6,tbl_ZESPOŁY_dane[GW],$K$1)</f>
        <v>0</v>
      </c>
      <c r="M26" s="76">
        <f t="shared" si="1"/>
        <v>0</v>
      </c>
      <c r="P26" s="76">
        <f t="shared" si="5"/>
        <v>0</v>
      </c>
      <c r="Q26" s="86">
        <f>SUMIFS(tbl_ZESPOŁY_dane[reb total],tbl_ZESPOŁY_dane[zespół],P$6,tbl_ZESPOŁY_dane[GW],$K$1)</f>
        <v>0</v>
      </c>
      <c r="R26" s="66" t="s">
        <v>310</v>
      </c>
      <c r="S26" s="86">
        <f>SUMIFS(tbl_ZESPOŁY_dane[reb total],tbl_ZESPOŁY_dane[zespół],T$6,tbl_ZESPOŁY_dane[GW],$K$1)</f>
        <v>0</v>
      </c>
      <c r="T26" s="76">
        <f t="shared" si="2"/>
        <v>0</v>
      </c>
    </row>
    <row r="27" spans="2:20" ht="20" customHeight="1" x14ac:dyDescent="0.35">
      <c r="B27" s="76">
        <f t="shared" si="3"/>
        <v>0</v>
      </c>
      <c r="C27" s="86">
        <f>SUMIFS(tbl_ZESPOŁY_dane[asst],tbl_ZESPOŁY_dane[zespół],B$6,tbl_ZESPOŁY_dane[GW],$K$1)</f>
        <v>0</v>
      </c>
      <c r="D27" s="66" t="s">
        <v>311</v>
      </c>
      <c r="E27" s="86">
        <f>SUMIFS(tbl_ZESPOŁY_dane[asst],tbl_ZESPOŁY_dane[zespół],F$6,tbl_ZESPOŁY_dane[GW],$K$1)</f>
        <v>0</v>
      </c>
      <c r="F27" s="76">
        <f t="shared" si="0"/>
        <v>0</v>
      </c>
      <c r="I27" s="76">
        <f t="shared" si="4"/>
        <v>0</v>
      </c>
      <c r="J27" s="86">
        <f>SUMIFS(tbl_ZESPOŁY_dane[asst],tbl_ZESPOŁY_dane[zespół],I$6,tbl_ZESPOŁY_dane[GW],$K$1)</f>
        <v>0</v>
      </c>
      <c r="K27" s="66" t="s">
        <v>311</v>
      </c>
      <c r="L27" s="86">
        <f>SUMIFS(tbl_ZESPOŁY_dane[asst],tbl_ZESPOŁY_dane[zespół],M$6,tbl_ZESPOŁY_dane[GW],$K$1)</f>
        <v>0</v>
      </c>
      <c r="M27" s="76">
        <f t="shared" si="1"/>
        <v>0</v>
      </c>
      <c r="P27" s="76">
        <f t="shared" si="5"/>
        <v>0</v>
      </c>
      <c r="Q27" s="86">
        <f>SUMIFS(tbl_ZESPOŁY_dane[asst],tbl_ZESPOŁY_dane[zespół],P$6,tbl_ZESPOŁY_dane[GW],$K$1)</f>
        <v>0</v>
      </c>
      <c r="R27" s="66" t="s">
        <v>311</v>
      </c>
      <c r="S27" s="86">
        <f>SUMIFS(tbl_ZESPOŁY_dane[asst],tbl_ZESPOŁY_dane[zespół],T$6,tbl_ZESPOŁY_dane[GW],$K$1)</f>
        <v>0</v>
      </c>
      <c r="T27" s="76">
        <f t="shared" si="2"/>
        <v>0</v>
      </c>
    </row>
    <row r="28" spans="2:20" ht="20" customHeight="1" x14ac:dyDescent="0.35">
      <c r="B28" s="76">
        <f t="shared" si="3"/>
        <v>0</v>
      </c>
      <c r="C28" s="86">
        <f>SUMIFS(tbl_ZESPOŁY_dane[stl],tbl_ZESPOŁY_dane[zespół],B$6,tbl_ZESPOŁY_dane[GW],$K$1)</f>
        <v>0</v>
      </c>
      <c r="D28" s="66" t="s">
        <v>312</v>
      </c>
      <c r="E28" s="86">
        <f>SUMIFS(tbl_ZESPOŁY_dane[stl],tbl_ZESPOŁY_dane[zespół],F$6,tbl_ZESPOŁY_dane[GW],$K$1)</f>
        <v>0</v>
      </c>
      <c r="F28" s="76">
        <f t="shared" si="0"/>
        <v>0</v>
      </c>
      <c r="I28" s="76">
        <f t="shared" si="4"/>
        <v>0</v>
      </c>
      <c r="J28" s="86">
        <f>SUMIFS(tbl_ZESPOŁY_dane[stl],tbl_ZESPOŁY_dane[zespół],I$6,tbl_ZESPOŁY_dane[GW],$K$1)</f>
        <v>0</v>
      </c>
      <c r="K28" s="66" t="s">
        <v>312</v>
      </c>
      <c r="L28" s="86">
        <f>SUMIFS(tbl_ZESPOŁY_dane[stl],tbl_ZESPOŁY_dane[zespół],M$6,tbl_ZESPOŁY_dane[GW],$K$1)</f>
        <v>0</v>
      </c>
      <c r="M28" s="76">
        <f t="shared" si="1"/>
        <v>0</v>
      </c>
      <c r="P28" s="76">
        <f t="shared" si="5"/>
        <v>0</v>
      </c>
      <c r="Q28" s="86">
        <f>SUMIFS(tbl_ZESPOŁY_dane[stl],tbl_ZESPOŁY_dane[zespół],P$6,tbl_ZESPOŁY_dane[GW],$K$1)</f>
        <v>0</v>
      </c>
      <c r="R28" s="66" t="s">
        <v>312</v>
      </c>
      <c r="S28" s="86">
        <f>SUMIFS(tbl_ZESPOŁY_dane[stl],tbl_ZESPOŁY_dane[zespół],T$6,tbl_ZESPOŁY_dane[GW],$K$1)</f>
        <v>0</v>
      </c>
      <c r="T28" s="76">
        <f t="shared" si="2"/>
        <v>0</v>
      </c>
    </row>
    <row r="29" spans="2:20" ht="20" customHeight="1" x14ac:dyDescent="0.35">
      <c r="B29" s="76">
        <f t="shared" si="3"/>
        <v>0</v>
      </c>
      <c r="C29" s="86">
        <f>SUMIFS(tbl_ZESPOŁY_dane[blk],tbl_ZESPOŁY_dane[zespół],B$6,tbl_ZESPOŁY_dane[GW],$K$1)</f>
        <v>0</v>
      </c>
      <c r="D29" s="66" t="s">
        <v>313</v>
      </c>
      <c r="E29" s="86">
        <f>SUMIFS(tbl_ZESPOŁY_dane[blk],tbl_ZESPOŁY_dane[zespół],F$6,tbl_ZESPOŁY_dane[GW],$K$1)</f>
        <v>0</v>
      </c>
      <c r="F29" s="76">
        <f t="shared" si="0"/>
        <v>0</v>
      </c>
      <c r="I29" s="76">
        <f t="shared" si="4"/>
        <v>0</v>
      </c>
      <c r="J29" s="86">
        <f>SUMIFS(tbl_ZESPOŁY_dane[blk],tbl_ZESPOŁY_dane[zespół],I$6,tbl_ZESPOŁY_dane[GW],$K$1)</f>
        <v>0</v>
      </c>
      <c r="K29" s="66" t="s">
        <v>313</v>
      </c>
      <c r="L29" s="86">
        <f>SUMIFS(tbl_ZESPOŁY_dane[blk],tbl_ZESPOŁY_dane[zespół],M$6,tbl_ZESPOŁY_dane[GW],$K$1)</f>
        <v>0</v>
      </c>
      <c r="M29" s="76">
        <f t="shared" si="1"/>
        <v>0</v>
      </c>
      <c r="P29" s="76">
        <f t="shared" si="5"/>
        <v>0</v>
      </c>
      <c r="Q29" s="86">
        <f>SUMIFS(tbl_ZESPOŁY_dane[blk],tbl_ZESPOŁY_dane[zespół],P$6,tbl_ZESPOŁY_dane[GW],$K$1)</f>
        <v>0</v>
      </c>
      <c r="R29" s="66" t="s">
        <v>313</v>
      </c>
      <c r="S29" s="86">
        <f>SUMIFS(tbl_ZESPOŁY_dane[blk],tbl_ZESPOŁY_dane[zespół],T$6,tbl_ZESPOŁY_dane[GW],$K$1)</f>
        <v>0</v>
      </c>
      <c r="T29" s="76">
        <f t="shared" si="2"/>
        <v>0</v>
      </c>
    </row>
    <row r="30" spans="2:20" ht="20" customHeight="1" x14ac:dyDescent="0.35">
      <c r="B30" s="76">
        <f t="shared" si="3"/>
        <v>0</v>
      </c>
      <c r="C30" s="86">
        <f>SUMIFS(tbl_ZESPOŁY_dane[Poss],tbl_ZESPOŁY_dane[zespół],B$6,tbl_ZESPOŁY_dane[GW],$K$1)</f>
        <v>0</v>
      </c>
      <c r="D30" s="66" t="s">
        <v>317</v>
      </c>
      <c r="E30" s="86">
        <f>SUMIFS(tbl_ZESPOŁY_dane[Poss],tbl_ZESPOŁY_dane[zespół],F$6,tbl_ZESPOŁY_dane[GW],$K$1)</f>
        <v>0</v>
      </c>
      <c r="F30" s="76">
        <f t="shared" si="0"/>
        <v>0</v>
      </c>
      <c r="I30" s="76">
        <f t="shared" si="4"/>
        <v>0</v>
      </c>
      <c r="J30" s="86">
        <f>SUMIFS(tbl_ZESPOŁY_dane[Poss],tbl_ZESPOŁY_dane[zespół],I$6,tbl_ZESPOŁY_dane[GW],$K$1)</f>
        <v>0</v>
      </c>
      <c r="K30" s="66" t="s">
        <v>317</v>
      </c>
      <c r="L30" s="86">
        <f>SUMIFS(tbl_ZESPOŁY_dane[Poss],tbl_ZESPOŁY_dane[zespół],M$6,tbl_ZESPOŁY_dane[GW],$K$1)</f>
        <v>0</v>
      </c>
      <c r="M30" s="76">
        <f t="shared" si="1"/>
        <v>0</v>
      </c>
      <c r="P30" s="76">
        <f t="shared" si="5"/>
        <v>0</v>
      </c>
      <c r="Q30" s="86">
        <f>SUMIFS(tbl_ZESPOŁY_dane[Poss],tbl_ZESPOŁY_dane[zespół],P$6,tbl_ZESPOŁY_dane[GW],$K$1)</f>
        <v>0</v>
      </c>
      <c r="R30" s="66" t="s">
        <v>317</v>
      </c>
      <c r="S30" s="86">
        <f>SUMIFS(tbl_ZESPOŁY_dane[Poss],tbl_ZESPOŁY_dane[zespół],T$6,tbl_ZESPOŁY_dane[GW],$K$1)</f>
        <v>0</v>
      </c>
      <c r="T30" s="76">
        <f t="shared" si="2"/>
        <v>0</v>
      </c>
    </row>
    <row r="31" spans="2:20" ht="20" customHeight="1" x14ac:dyDescent="0.35">
      <c r="B31" s="76">
        <f t="shared" si="3"/>
        <v>0</v>
      </c>
      <c r="C31" s="85">
        <f>SUMIFS(tbl_ZESPOŁY_dane[Orating],tbl_ZESPOŁY_dane[zespół],B$6,tbl_ZESPOŁY_dane[GW],$K$1)</f>
        <v>0</v>
      </c>
      <c r="D31" s="66" t="s">
        <v>315</v>
      </c>
      <c r="E31" s="85">
        <f>SUMIFS(tbl_ZESPOŁY_dane[Orating],tbl_ZESPOŁY_dane[zespół],F$6,tbl_ZESPOŁY_dane[GW],$K$1)</f>
        <v>0</v>
      </c>
      <c r="F31" s="76">
        <f t="shared" si="0"/>
        <v>0</v>
      </c>
      <c r="I31" s="76">
        <f t="shared" si="4"/>
        <v>0</v>
      </c>
      <c r="J31" s="85">
        <f>SUMIFS(tbl_ZESPOŁY_dane[Orating],tbl_ZESPOŁY_dane[zespół],I$6,tbl_ZESPOŁY_dane[GW],$K$1)</f>
        <v>0</v>
      </c>
      <c r="K31" s="66" t="s">
        <v>315</v>
      </c>
      <c r="L31" s="85">
        <f>SUMIFS(tbl_ZESPOŁY_dane[Orating],tbl_ZESPOŁY_dane[zespół],M$6,tbl_ZESPOŁY_dane[GW],$K$1)</f>
        <v>0</v>
      </c>
      <c r="M31" s="76">
        <f t="shared" si="1"/>
        <v>0</v>
      </c>
      <c r="P31" s="76">
        <f t="shared" si="5"/>
        <v>0</v>
      </c>
      <c r="Q31" s="85">
        <f>SUMIFS(tbl_ZESPOŁY_dane[Orating],tbl_ZESPOŁY_dane[zespół],P$6,tbl_ZESPOŁY_dane[GW],$K$1)</f>
        <v>0</v>
      </c>
      <c r="R31" s="66" t="s">
        <v>315</v>
      </c>
      <c r="S31" s="85">
        <f>SUMIFS(tbl_ZESPOŁY_dane[Orating],tbl_ZESPOŁY_dane[zespół],T$6,tbl_ZESPOŁY_dane[GW],$K$1)</f>
        <v>0</v>
      </c>
      <c r="T31" s="76">
        <f t="shared" si="2"/>
        <v>0</v>
      </c>
    </row>
    <row r="32" spans="2:20" ht="20" customHeight="1" x14ac:dyDescent="0.35">
      <c r="B32" s="76">
        <f t="shared" si="3"/>
        <v>0</v>
      </c>
      <c r="C32" s="85">
        <f>SUMIFS(tbl_ZESPOŁY_dane[Drating],tbl_ZESPOŁY_dane[zespół],B$6,tbl_ZESPOŁY_dane[GW],$K$1)</f>
        <v>0</v>
      </c>
      <c r="D32" s="66" t="s">
        <v>316</v>
      </c>
      <c r="E32" s="85">
        <f>SUMIFS(tbl_ZESPOŁY_dane[Drating],tbl_ZESPOŁY_dane[zespół],F$6,tbl_ZESPOŁY_dane[GW],$K$1)</f>
        <v>0</v>
      </c>
      <c r="F32" s="76">
        <f t="shared" si="0"/>
        <v>0</v>
      </c>
      <c r="I32" s="76">
        <f t="shared" si="4"/>
        <v>0</v>
      </c>
      <c r="J32" s="85">
        <f>SUMIFS(tbl_ZESPOŁY_dane[Drating],tbl_ZESPOŁY_dane[zespół],I$6,tbl_ZESPOŁY_dane[GW],$K$1)</f>
        <v>0</v>
      </c>
      <c r="K32" s="66" t="s">
        <v>316</v>
      </c>
      <c r="L32" s="85">
        <f>SUMIFS(tbl_ZESPOŁY_dane[Drating],tbl_ZESPOŁY_dane[zespół],M$6,tbl_ZESPOŁY_dane[GW],$K$1)</f>
        <v>0</v>
      </c>
      <c r="M32" s="76">
        <f t="shared" si="1"/>
        <v>0</v>
      </c>
      <c r="P32" s="76">
        <f t="shared" si="5"/>
        <v>0</v>
      </c>
      <c r="Q32" s="85">
        <f>SUMIFS(tbl_ZESPOŁY_dane[Drating],tbl_ZESPOŁY_dane[zespół],P$6,tbl_ZESPOŁY_dane[GW],$K$1)</f>
        <v>0</v>
      </c>
      <c r="R32" s="66" t="s">
        <v>316</v>
      </c>
      <c r="S32" s="85">
        <f>SUMIFS(tbl_ZESPOŁY_dane[Drating],tbl_ZESPOŁY_dane[zespół],T$6,tbl_ZESPOŁY_dane[GW],$K$1)</f>
        <v>0</v>
      </c>
      <c r="T32" s="76">
        <f t="shared" si="2"/>
        <v>0</v>
      </c>
    </row>
  </sheetData>
  <sheetProtection algorithmName="SHA-512" hashValue="3Q9VcEZs5mleKTFIkdyHl29O6Q/4PKyPm0n691XuSKjgR3wiJ4jDq9nAe5edEk4Uf67F2u1jBnnZyxwIcl5l7w==" saltValue="lw8ySaX2ob4rjCGPRMPYYA==" spinCount="100000" sheet="1" objects="1" scenarios="1"/>
  <conditionalFormatting sqref="B8:B17">
    <cfRule type="dataBar" priority="24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{D7CC8572-8A39-489B-84B3-F86D9151BADB}</x14:id>
        </ext>
      </extLst>
    </cfRule>
  </conditionalFormatting>
  <conditionalFormatting sqref="B19:B22">
    <cfRule type="dataBar" priority="22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{340E0F71-3CC7-4EA1-8B25-D6C4805B02B9}</x14:id>
        </ext>
      </extLst>
    </cfRule>
  </conditionalFormatting>
  <conditionalFormatting sqref="B24:B29">
    <cfRule type="dataBar" priority="20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{746B453D-2A6E-4C27-9C35-84258C4A72AD}</x14:id>
        </ext>
      </extLst>
    </cfRule>
  </conditionalFormatting>
  <conditionalFormatting sqref="B30:B32">
    <cfRule type="dataBar" priority="18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{9F09AFAB-610F-4CDC-8171-E05B8F91201E}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{C58BC161-2114-4C63-A627-40BC2E7EE5AE}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{B1E4A93D-E8DC-4988-B80C-52663485DC9E}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{3119A758-745F-4D28-8D0A-ED05C14077DB}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{A17F34D4-49A8-48AE-AAA0-D00E77380A94}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{B83394E5-BF74-4312-9032-9B8953F82EC2}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{986D742E-DC73-4EFA-A9CC-F5CE02320D69}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{F40AF4DC-E95C-4142-9472-234F2BE86119}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{8231DBDE-5433-4ECE-8BD3-E738D815BE72}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{D28367A3-C069-4548-9E95-ED7D4D7268B0}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{2EB7540F-7303-45C6-B40B-4473621FBCA8}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{6031AF11-0F89-4D58-8ADD-AFDCCC7BEE26}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{D24B95D0-4029-483F-8FCF-8E688431833C}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{1D8F84AC-D06D-47D8-85F3-6A23289D2A37}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{1A384384-A9D4-4130-BDE4-49940A8BA962}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{59834F43-96E9-4B6B-BF72-F14A4C98422B}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{E1A920CF-98EC-46EF-B0C7-8B49489770C2}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{B91A1931-1573-4AAE-B975-844101A292DF}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{57382B89-CE7D-4C09-86AF-B427FA8F19DD}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{CAC5FB0E-2917-4504-8A39-487DDF5A1745}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{51F33A55-21E0-4532-9A50-F3B18CF6FE8B}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C8572-8A39-489B-84B3-F86D9151BADB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340E0F71-3CC7-4EA1-8B25-D6C4805B02B9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746B453D-2A6E-4C27-9C35-84258C4A72AD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9F09AFAB-610F-4CDC-8171-E05B8F91201E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C58BC161-2114-4C63-A627-40BC2E7EE5AE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B1E4A93D-E8DC-4988-B80C-52663485DC9E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3119A758-745F-4D28-8D0A-ED05C14077DB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A17F34D4-49A8-48AE-AAA0-D00E77380A94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B83394E5-BF74-4312-9032-9B8953F82EC2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986D742E-DC73-4EFA-A9CC-F5CE02320D69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F40AF4DC-E95C-4142-9472-234F2BE86119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8231DBDE-5433-4ECE-8BD3-E738D815BE72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D28367A3-C069-4548-9E95-ED7D4D7268B0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2EB7540F-7303-45C6-B40B-4473621FBCA8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6031AF11-0F89-4D58-8ADD-AFDCCC7BEE26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D24B95D0-4029-483F-8FCF-8E688431833C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1D8F84AC-D06D-47D8-85F3-6A23289D2A37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1A384384-A9D4-4130-BDE4-49940A8BA962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59834F43-96E9-4B6B-BF72-F14A4C98422B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E1A920CF-98EC-46EF-B0C7-8B49489770C2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B91A1931-1573-4AAE-B975-844101A292D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57382B89-CE7D-4C09-86AF-B427FA8F19DD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CAC5FB0E-2917-4504-8A39-487DDF5A1745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51F33A55-21E0-4532-9A50-F3B18CF6FE8B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E354-2FAF-4B2D-898C-EE49E46C8889}">
  <dimension ref="A2:B8"/>
  <sheetViews>
    <sheetView workbookViewId="0">
      <selection activeCell="I14" sqref="I14"/>
    </sheetView>
  </sheetViews>
  <sheetFormatPr defaultRowHeight="14.5" x14ac:dyDescent="0.35"/>
  <cols>
    <col min="1" max="1" width="15.54296875" bestFit="1" customWidth="1"/>
  </cols>
  <sheetData>
    <row r="2" spans="1:2" x14ac:dyDescent="0.35">
      <c r="A2" t="s">
        <v>54</v>
      </c>
      <c r="B2" t="s">
        <v>55</v>
      </c>
    </row>
    <row r="3" spans="1:2" x14ac:dyDescent="0.35">
      <c r="A3" t="s">
        <v>19</v>
      </c>
      <c r="B3" t="s">
        <v>44</v>
      </c>
    </row>
    <row r="4" spans="1:2" x14ac:dyDescent="0.35">
      <c r="A4" t="s">
        <v>25</v>
      </c>
      <c r="B4" t="s">
        <v>45</v>
      </c>
    </row>
    <row r="5" spans="1:2" x14ac:dyDescent="0.35">
      <c r="A5" t="s">
        <v>46</v>
      </c>
      <c r="B5" t="s">
        <v>47</v>
      </c>
    </row>
    <row r="6" spans="1:2" x14ac:dyDescent="0.35">
      <c r="A6" t="s">
        <v>48</v>
      </c>
      <c r="B6" t="s">
        <v>49</v>
      </c>
    </row>
    <row r="7" spans="1:2" x14ac:dyDescent="0.35">
      <c r="A7" t="s">
        <v>50</v>
      </c>
      <c r="B7" t="s">
        <v>51</v>
      </c>
    </row>
    <row r="8" spans="1:2" x14ac:dyDescent="0.35">
      <c r="A8" t="s">
        <v>52</v>
      </c>
      <c r="B8" t="s">
        <v>53</v>
      </c>
    </row>
  </sheetData>
  <sheetProtection algorithmName="SHA-512" hashValue="Tal2FbfAaGioqvkZz1SwfVrXZFJEkc3ldkZ07Ivb6Stpi4p0U4UF3hlikgNvjF0zDlaW1kXXwNVBOTtyuLlxZg==" saltValue="WArTKSJEqWWPZUz4oxdYnA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Dane Zawodników</vt:lpstr>
      <vt:lpstr>Dane Zespołów</vt:lpstr>
      <vt:lpstr>DBI główne</vt:lpstr>
      <vt:lpstr>DBI rzutowe</vt:lpstr>
      <vt:lpstr>DBI pozostałe</vt:lpstr>
      <vt:lpstr>DBZ główne</vt:lpstr>
      <vt:lpstr>DBZ drugie</vt:lpstr>
      <vt:lpstr>DBZ kwarty</vt:lpstr>
      <vt:lpstr>ZAWODNICY SUMY</vt:lpstr>
      <vt:lpstr>ZAWODNICY ŚREDNIE</vt:lpstr>
      <vt:lpstr>ZESPOŁY</vt:lpstr>
      <vt:lpstr>KOLEJKA 1</vt:lpstr>
      <vt:lpstr>KOLEJKA 2</vt:lpstr>
      <vt:lpstr>KOLEJKA 3</vt:lpstr>
      <vt:lpstr>KOLEJKA 4</vt:lpstr>
      <vt:lpstr>KOLEJKA 5</vt:lpstr>
      <vt:lpstr>katalog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Walaszczyk</dc:creator>
  <cp:lastModifiedBy>Karol Walaszczyk</cp:lastModifiedBy>
  <dcterms:created xsi:type="dcterms:W3CDTF">2025-11-18T14:04:09Z</dcterms:created>
  <dcterms:modified xsi:type="dcterms:W3CDTF">2025-12-16T16:33:21Z</dcterms:modified>
</cp:coreProperties>
</file>